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xlsx" ContentType="application/vnd.openxmlformats-officedocument.spreadsheetml.sheet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HP\HP_2026\rebate\2026\Quarterly_2026\"/>
    </mc:Choice>
  </mc:AlternateContent>
  <bookViews>
    <workbookView xWindow="-105" yWindow="-105" windowWidth="23250" windowHeight="12450" tabRatio="672" firstSheet="5" activeTab="10"/>
  </bookViews>
  <sheets>
    <sheet name="說明頁_更新版" sheetId="23" r:id="rId1"/>
    <sheet name="FY23 Summary_1" sheetId="6" r:id="rId2"/>
    <sheet name="FY23 Summary_2" sheetId="16" r:id="rId3"/>
    <sheet name="FY23" sheetId="13" r:id="rId4"/>
    <sheet name="FY24 Summary_1" sheetId="10" r:id="rId5"/>
    <sheet name="FY24 Summary_2" sheetId="17" r:id="rId6"/>
    <sheet name="FY24" sheetId="15" r:id="rId7"/>
    <sheet name="FY25 Summary_1 " sheetId="22" r:id="rId8"/>
    <sheet name="FY25 Summary_2 " sheetId="21" r:id="rId9"/>
    <sheet name="FY25" sheetId="20" r:id="rId10"/>
    <sheet name="FY26 Summary_1 " sheetId="28" r:id="rId11"/>
    <sheet name="FY26 Summary_2 " sheetId="27" r:id="rId12"/>
    <sheet name="FY26" sheetId="26" r:id="rId13"/>
  </sheets>
  <externalReferences>
    <externalReference r:id="rId14"/>
  </externalReferences>
  <definedNames>
    <definedName name="_xlnm._FilterDatabase" localSheetId="3" hidden="1">'FY23'!$B$2:$BK$116</definedName>
    <definedName name="_xlnm._FilterDatabase" localSheetId="6" hidden="1">'FY24'!$A$2:$BO$148</definedName>
    <definedName name="_xlnm._FilterDatabase" localSheetId="9" hidden="1">'FY25'!$A$2:$BR$287</definedName>
    <definedName name="_xlnm._FilterDatabase" localSheetId="12" hidden="1">'FY26'!$A$2:$BO$287</definedName>
    <definedName name="_xlnm.Print_Area" localSheetId="3">'FY23'!$D$1:$AS$116</definedName>
    <definedName name="_xlnm.Print_Area" localSheetId="6">'FY24'!$D$1:$AT$148</definedName>
    <definedName name="_xlnm.Print_Area" localSheetId="9">'FY25'!$D$1:$AT$287</definedName>
    <definedName name="_xlnm.Print_Area" localSheetId="12">'FY26'!$D$1:$AQ$287</definedName>
    <definedName name="Region" localSheetId="12">#REF!</definedName>
    <definedName name="Region" localSheetId="10">#REF!</definedName>
    <definedName name="Region" localSheetId="11">#REF!</definedName>
    <definedName name="Region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I217" i="26" l="1"/>
  <c r="BG217" i="26"/>
  <c r="BE217" i="26"/>
  <c r="BC217" i="26"/>
  <c r="BA217" i="26"/>
  <c r="AY217" i="26"/>
  <c r="AW217" i="26"/>
  <c r="AU217" i="26"/>
  <c r="AS217" i="26"/>
  <c r="BI216" i="26"/>
  <c r="BG216" i="26"/>
  <c r="BE216" i="26"/>
  <c r="BC216" i="26"/>
  <c r="BA216" i="26"/>
  <c r="AY216" i="26"/>
  <c r="AW216" i="26"/>
  <c r="AU216" i="26"/>
  <c r="AS216" i="26"/>
  <c r="BI215" i="26"/>
  <c r="BG215" i="26"/>
  <c r="BE215" i="26"/>
  <c r="BC215" i="26"/>
  <c r="BA215" i="26"/>
  <c r="AY215" i="26"/>
  <c r="AW215" i="26"/>
  <c r="AU215" i="26"/>
  <c r="AS215" i="26"/>
  <c r="BI214" i="26"/>
  <c r="BG214" i="26"/>
  <c r="BE214" i="26"/>
  <c r="BC214" i="26"/>
  <c r="BA214" i="26"/>
  <c r="AY214" i="26"/>
  <c r="AW214" i="26"/>
  <c r="AU214" i="26"/>
  <c r="AS214" i="26"/>
  <c r="BI213" i="26"/>
  <c r="BG213" i="26"/>
  <c r="BE213" i="26"/>
  <c r="BC213" i="26"/>
  <c r="BA213" i="26"/>
  <c r="AY213" i="26"/>
  <c r="AW213" i="26"/>
  <c r="AU213" i="26"/>
  <c r="AS213" i="26"/>
  <c r="BI212" i="26"/>
  <c r="BG212" i="26"/>
  <c r="BE212" i="26"/>
  <c r="BC212" i="26"/>
  <c r="BA212" i="26"/>
  <c r="AY212" i="26"/>
  <c r="AW212" i="26"/>
  <c r="AU212" i="26"/>
  <c r="AS212" i="26"/>
  <c r="BI211" i="26"/>
  <c r="BG211" i="26"/>
  <c r="BE211" i="26"/>
  <c r="BC211" i="26"/>
  <c r="BA211" i="26"/>
  <c r="AY211" i="26"/>
  <c r="AW211" i="26"/>
  <c r="AU211" i="26"/>
  <c r="AS211" i="26"/>
  <c r="BI210" i="26"/>
  <c r="BG210" i="26"/>
  <c r="BE210" i="26"/>
  <c r="BC210" i="26"/>
  <c r="BA210" i="26"/>
  <c r="AY210" i="26"/>
  <c r="AW210" i="26"/>
  <c r="AU210" i="26"/>
  <c r="AS210" i="26"/>
  <c r="BI209" i="26"/>
  <c r="BG209" i="26"/>
  <c r="BE209" i="26"/>
  <c r="BC209" i="26"/>
  <c r="BA209" i="26"/>
  <c r="AY209" i="26"/>
  <c r="AW209" i="26"/>
  <c r="AU209" i="26"/>
  <c r="AS209" i="26"/>
  <c r="BI208" i="26"/>
  <c r="BG208" i="26"/>
  <c r="BE208" i="26"/>
  <c r="BC208" i="26"/>
  <c r="BA208" i="26"/>
  <c r="AY208" i="26"/>
  <c r="AW208" i="26"/>
  <c r="AU208" i="26"/>
  <c r="AS208" i="26"/>
  <c r="BI207" i="26"/>
  <c r="BG207" i="26"/>
  <c r="BE207" i="26"/>
  <c r="BC207" i="26"/>
  <c r="BA207" i="26"/>
  <c r="AY207" i="26"/>
  <c r="AW207" i="26"/>
  <c r="AU207" i="26"/>
  <c r="AS207" i="26"/>
  <c r="BI206" i="26"/>
  <c r="BG206" i="26"/>
  <c r="BE206" i="26"/>
  <c r="BC206" i="26"/>
  <c r="BA206" i="26"/>
  <c r="AY206" i="26"/>
  <c r="AW206" i="26"/>
  <c r="AU206" i="26"/>
  <c r="AS206" i="26"/>
  <c r="BI205" i="26"/>
  <c r="BG205" i="26"/>
  <c r="BE205" i="26"/>
  <c r="BC205" i="26"/>
  <c r="BA205" i="26"/>
  <c r="AY205" i="26"/>
  <c r="AW205" i="26"/>
  <c r="AU205" i="26"/>
  <c r="AS205" i="26"/>
  <c r="BI204" i="26"/>
  <c r="BG204" i="26"/>
  <c r="BE204" i="26"/>
  <c r="BC204" i="26"/>
  <c r="BA204" i="26"/>
  <c r="AY204" i="26"/>
  <c r="AW204" i="26"/>
  <c r="AU204" i="26"/>
  <c r="AS204" i="26"/>
  <c r="BI203" i="26"/>
  <c r="BG203" i="26"/>
  <c r="BE203" i="26"/>
  <c r="BC203" i="26"/>
  <c r="BA203" i="26"/>
  <c r="AY203" i="26"/>
  <c r="AW203" i="26"/>
  <c r="AU203" i="26"/>
  <c r="AS203" i="26"/>
  <c r="BI202" i="26"/>
  <c r="BG202" i="26"/>
  <c r="BE202" i="26"/>
  <c r="BC202" i="26"/>
  <c r="BA202" i="26"/>
  <c r="AY202" i="26"/>
  <c r="AW202" i="26"/>
  <c r="AU202" i="26"/>
  <c r="AS202" i="26"/>
  <c r="BI201" i="26"/>
  <c r="BG201" i="26"/>
  <c r="BE201" i="26"/>
  <c r="BC201" i="26"/>
  <c r="BA201" i="26"/>
  <c r="AY201" i="26"/>
  <c r="AW201" i="26"/>
  <c r="AU201" i="26"/>
  <c r="AS201" i="26"/>
  <c r="BI200" i="26"/>
  <c r="BG200" i="26"/>
  <c r="BE200" i="26"/>
  <c r="BC200" i="26"/>
  <c r="BA200" i="26"/>
  <c r="AY200" i="26"/>
  <c r="AW200" i="26"/>
  <c r="AU200" i="26"/>
  <c r="AS200" i="26"/>
  <c r="BI199" i="26"/>
  <c r="BG199" i="26"/>
  <c r="BE199" i="26"/>
  <c r="BC199" i="26"/>
  <c r="BA199" i="26"/>
  <c r="AY199" i="26"/>
  <c r="AW199" i="26"/>
  <c r="AU199" i="26"/>
  <c r="AS199" i="26"/>
  <c r="BI198" i="26"/>
  <c r="BG198" i="26"/>
  <c r="BE198" i="26"/>
  <c r="BC198" i="26"/>
  <c r="BA198" i="26"/>
  <c r="AY198" i="26"/>
  <c r="AW198" i="26"/>
  <c r="AU198" i="26"/>
  <c r="AS198" i="26"/>
  <c r="BI197" i="26"/>
  <c r="BG197" i="26"/>
  <c r="BE197" i="26"/>
  <c r="BC197" i="26"/>
  <c r="BA197" i="26"/>
  <c r="AY197" i="26"/>
  <c r="AW197" i="26"/>
  <c r="AU197" i="26"/>
  <c r="AS197" i="26"/>
  <c r="BI196" i="26"/>
  <c r="BG196" i="26"/>
  <c r="BE196" i="26"/>
  <c r="BC196" i="26"/>
  <c r="BA196" i="26"/>
  <c r="AY196" i="26"/>
  <c r="AW196" i="26"/>
  <c r="AU196" i="26"/>
  <c r="AS196" i="26"/>
  <c r="BI195" i="26"/>
  <c r="BG195" i="26"/>
  <c r="BE195" i="26"/>
  <c r="BC195" i="26"/>
  <c r="BA195" i="26"/>
  <c r="AY195" i="26"/>
  <c r="AW195" i="26"/>
  <c r="AU195" i="26"/>
  <c r="AS195" i="26"/>
  <c r="BI194" i="26"/>
  <c r="BG194" i="26"/>
  <c r="BE194" i="26"/>
  <c r="BC194" i="26"/>
  <c r="BA194" i="26"/>
  <c r="AY194" i="26"/>
  <c r="AW194" i="26"/>
  <c r="AU194" i="26"/>
  <c r="AS194" i="26"/>
  <c r="BI193" i="26"/>
  <c r="BG193" i="26"/>
  <c r="BE193" i="26"/>
  <c r="BC193" i="26"/>
  <c r="BA193" i="26"/>
  <c r="AY193" i="26"/>
  <c r="AW193" i="26"/>
  <c r="AU193" i="26"/>
  <c r="AS193" i="26"/>
  <c r="BI192" i="26"/>
  <c r="BG192" i="26"/>
  <c r="BE192" i="26"/>
  <c r="BC192" i="26"/>
  <c r="BA192" i="26"/>
  <c r="AY192" i="26"/>
  <c r="AW192" i="26"/>
  <c r="AU192" i="26"/>
  <c r="AS192" i="26"/>
  <c r="BI191" i="26"/>
  <c r="BG191" i="26"/>
  <c r="BE191" i="26"/>
  <c r="BC191" i="26"/>
  <c r="BA191" i="26"/>
  <c r="AY191" i="26"/>
  <c r="AW191" i="26"/>
  <c r="AU191" i="26"/>
  <c r="AS191" i="26"/>
  <c r="BI190" i="26"/>
  <c r="BG190" i="26"/>
  <c r="BE190" i="26"/>
  <c r="BC190" i="26"/>
  <c r="BA190" i="26"/>
  <c r="AY190" i="26"/>
  <c r="AW190" i="26"/>
  <c r="AU190" i="26"/>
  <c r="AS190" i="26"/>
  <c r="BI189" i="26"/>
  <c r="BG189" i="26"/>
  <c r="BE189" i="26"/>
  <c r="BC189" i="26"/>
  <c r="BA189" i="26"/>
  <c r="AY189" i="26"/>
  <c r="AW189" i="26"/>
  <c r="AU189" i="26"/>
  <c r="AS189" i="26"/>
  <c r="BI188" i="26"/>
  <c r="BG188" i="26"/>
  <c r="BE188" i="26"/>
  <c r="BC188" i="26"/>
  <c r="BA188" i="26"/>
  <c r="AY188" i="26"/>
  <c r="AW188" i="26"/>
  <c r="AU188" i="26"/>
  <c r="AS188" i="26"/>
  <c r="BI187" i="26"/>
  <c r="BG187" i="26"/>
  <c r="BE187" i="26"/>
  <c r="BC187" i="26"/>
  <c r="BA187" i="26"/>
  <c r="AY187" i="26"/>
  <c r="AW187" i="26"/>
  <c r="AU187" i="26"/>
  <c r="AS187" i="26"/>
  <c r="BI186" i="26"/>
  <c r="BG186" i="26"/>
  <c r="BE186" i="26"/>
  <c r="BC186" i="26"/>
  <c r="BA186" i="26"/>
  <c r="AY186" i="26"/>
  <c r="AW186" i="26"/>
  <c r="AU186" i="26"/>
  <c r="AS186" i="26"/>
  <c r="BI185" i="26"/>
  <c r="BG185" i="26"/>
  <c r="BE185" i="26"/>
  <c r="BC185" i="26"/>
  <c r="BA185" i="26"/>
  <c r="AY185" i="26"/>
  <c r="AW185" i="26"/>
  <c r="AU185" i="26"/>
  <c r="AS185" i="26"/>
  <c r="BI184" i="26"/>
  <c r="BG184" i="26"/>
  <c r="BE184" i="26"/>
  <c r="BC184" i="26"/>
  <c r="BA184" i="26"/>
  <c r="AY184" i="26"/>
  <c r="AW184" i="26"/>
  <c r="AU184" i="26"/>
  <c r="AS184" i="26"/>
  <c r="BI183" i="26"/>
  <c r="BG183" i="26"/>
  <c r="BE183" i="26"/>
  <c r="BC183" i="26"/>
  <c r="BA183" i="26"/>
  <c r="AY183" i="26"/>
  <c r="AW183" i="26"/>
  <c r="AU183" i="26"/>
  <c r="AS183" i="26"/>
  <c r="BI182" i="26"/>
  <c r="BG182" i="26"/>
  <c r="BE182" i="26"/>
  <c r="BC182" i="26"/>
  <c r="BA182" i="26"/>
  <c r="AY182" i="26"/>
  <c r="AW182" i="26"/>
  <c r="AU182" i="26"/>
  <c r="AS182" i="26"/>
  <c r="BI181" i="26"/>
  <c r="BG181" i="26"/>
  <c r="BE181" i="26"/>
  <c r="BC181" i="26"/>
  <c r="BA181" i="26"/>
  <c r="AY181" i="26"/>
  <c r="AW181" i="26"/>
  <c r="AU181" i="26"/>
  <c r="AS181" i="26"/>
  <c r="BI180" i="26"/>
  <c r="BG180" i="26"/>
  <c r="BE180" i="26"/>
  <c r="BC180" i="26"/>
  <c r="BA180" i="26"/>
  <c r="AY180" i="26"/>
  <c r="AW180" i="26"/>
  <c r="AU180" i="26"/>
  <c r="AS180" i="26"/>
  <c r="BI179" i="26"/>
  <c r="BG179" i="26"/>
  <c r="BE179" i="26"/>
  <c r="BC179" i="26"/>
  <c r="BA179" i="26"/>
  <c r="AY179" i="26"/>
  <c r="AW179" i="26"/>
  <c r="AU179" i="26"/>
  <c r="AS179" i="26"/>
  <c r="BI178" i="26"/>
  <c r="BG178" i="26"/>
  <c r="BE178" i="26"/>
  <c r="BC178" i="26"/>
  <c r="BA178" i="26"/>
  <c r="AY178" i="26"/>
  <c r="AW178" i="26"/>
  <c r="AU178" i="26"/>
  <c r="AS178" i="26"/>
  <c r="BI177" i="26"/>
  <c r="BG177" i="26"/>
  <c r="BE177" i="26"/>
  <c r="BC177" i="26"/>
  <c r="BA177" i="26"/>
  <c r="AY177" i="26"/>
  <c r="AW177" i="26"/>
  <c r="AU177" i="26"/>
  <c r="AS177" i="26"/>
  <c r="BI176" i="26"/>
  <c r="BG176" i="26"/>
  <c r="BE176" i="26"/>
  <c r="BC176" i="26"/>
  <c r="BA176" i="26"/>
  <c r="AY176" i="26"/>
  <c r="AW176" i="26"/>
  <c r="AU176" i="26"/>
  <c r="AS176" i="26"/>
  <c r="BI175" i="26"/>
  <c r="BG175" i="26"/>
  <c r="BE175" i="26"/>
  <c r="BC175" i="26"/>
  <c r="BA175" i="26"/>
  <c r="AY175" i="26"/>
  <c r="AW175" i="26"/>
  <c r="AU175" i="26"/>
  <c r="AS175" i="26"/>
  <c r="BI174" i="26"/>
  <c r="BG174" i="26"/>
  <c r="BE174" i="26"/>
  <c r="BC174" i="26"/>
  <c r="BA174" i="26"/>
  <c r="AY174" i="26"/>
  <c r="AW174" i="26"/>
  <c r="AU174" i="26"/>
  <c r="AS174" i="26"/>
  <c r="BI173" i="26"/>
  <c r="BG173" i="26"/>
  <c r="BE173" i="26"/>
  <c r="BC173" i="26"/>
  <c r="BA173" i="26"/>
  <c r="AY173" i="26"/>
  <c r="AW173" i="26"/>
  <c r="AU173" i="26"/>
  <c r="AS173" i="26"/>
  <c r="BI172" i="26"/>
  <c r="BG172" i="26"/>
  <c r="BE172" i="26"/>
  <c r="BC172" i="26"/>
  <c r="BA172" i="26"/>
  <c r="AY172" i="26"/>
  <c r="AW172" i="26"/>
  <c r="AU172" i="26"/>
  <c r="AS172" i="26"/>
  <c r="BI171" i="26"/>
  <c r="BG171" i="26"/>
  <c r="BE171" i="26"/>
  <c r="BC171" i="26"/>
  <c r="BA171" i="26"/>
  <c r="AY171" i="26"/>
  <c r="AW171" i="26"/>
  <c r="AU171" i="26"/>
  <c r="AS171" i="26"/>
  <c r="BI170" i="26"/>
  <c r="BG170" i="26"/>
  <c r="BE170" i="26"/>
  <c r="BC170" i="26"/>
  <c r="BA170" i="26"/>
  <c r="AY170" i="26"/>
  <c r="AW170" i="26"/>
  <c r="AU170" i="26"/>
  <c r="AS170" i="26"/>
  <c r="BI169" i="26"/>
  <c r="BG169" i="26"/>
  <c r="BE169" i="26"/>
  <c r="BC169" i="26"/>
  <c r="BA169" i="26"/>
  <c r="AY169" i="26"/>
  <c r="AW169" i="26"/>
  <c r="AU169" i="26"/>
  <c r="AS169" i="26"/>
  <c r="BI168" i="26"/>
  <c r="BG168" i="26"/>
  <c r="BE168" i="26"/>
  <c r="BC168" i="26"/>
  <c r="BA168" i="26"/>
  <c r="AY168" i="26"/>
  <c r="AW168" i="26"/>
  <c r="AU168" i="26"/>
  <c r="AS168" i="26"/>
  <c r="BI167" i="26"/>
  <c r="BG167" i="26"/>
  <c r="BE167" i="26"/>
  <c r="BC167" i="26"/>
  <c r="BA167" i="26"/>
  <c r="AY167" i="26"/>
  <c r="AW167" i="26"/>
  <c r="AU167" i="26"/>
  <c r="AS167" i="26"/>
  <c r="BI166" i="26"/>
  <c r="BG166" i="26"/>
  <c r="BE166" i="26"/>
  <c r="BC166" i="26"/>
  <c r="BA166" i="26"/>
  <c r="AY166" i="26"/>
  <c r="AW166" i="26"/>
  <c r="AU166" i="26"/>
  <c r="AS166" i="26"/>
  <c r="BI165" i="26"/>
  <c r="BG165" i="26"/>
  <c r="BE165" i="26"/>
  <c r="BC165" i="26"/>
  <c r="BA165" i="26"/>
  <c r="AY165" i="26"/>
  <c r="AW165" i="26"/>
  <c r="AU165" i="26"/>
  <c r="AS165" i="26"/>
  <c r="BI164" i="26"/>
  <c r="BG164" i="26"/>
  <c r="BE164" i="26"/>
  <c r="BC164" i="26"/>
  <c r="BA164" i="26"/>
  <c r="AY164" i="26"/>
  <c r="AW164" i="26"/>
  <c r="AU164" i="26"/>
  <c r="AS164" i="26"/>
  <c r="BI163" i="26"/>
  <c r="BG163" i="26"/>
  <c r="BE163" i="26"/>
  <c r="BC163" i="26"/>
  <c r="BA163" i="26"/>
  <c r="AY163" i="26"/>
  <c r="AW163" i="26"/>
  <c r="AU163" i="26"/>
  <c r="AS163" i="26"/>
  <c r="BI162" i="26"/>
  <c r="BG162" i="26"/>
  <c r="BE162" i="26"/>
  <c r="BC162" i="26"/>
  <c r="BA162" i="26"/>
  <c r="AY162" i="26"/>
  <c r="AW162" i="26"/>
  <c r="AU162" i="26"/>
  <c r="AS162" i="26"/>
  <c r="BI161" i="26"/>
  <c r="BG161" i="26"/>
  <c r="BE161" i="26"/>
  <c r="BC161" i="26"/>
  <c r="BA161" i="26"/>
  <c r="AY161" i="26"/>
  <c r="AW161" i="26"/>
  <c r="AU161" i="26"/>
  <c r="AS161" i="26"/>
  <c r="BI160" i="26"/>
  <c r="BG160" i="26"/>
  <c r="BE160" i="26"/>
  <c r="BC160" i="26"/>
  <c r="BA160" i="26"/>
  <c r="AY160" i="26"/>
  <c r="AW160" i="26"/>
  <c r="AU160" i="26"/>
  <c r="AS160" i="26"/>
  <c r="BI159" i="26"/>
  <c r="BG159" i="26"/>
  <c r="BE159" i="26"/>
  <c r="BC159" i="26"/>
  <c r="BA159" i="26"/>
  <c r="AY159" i="26"/>
  <c r="AW159" i="26"/>
  <c r="AU159" i="26"/>
  <c r="AS159" i="26"/>
  <c r="BI158" i="26"/>
  <c r="BG158" i="26"/>
  <c r="BE158" i="26"/>
  <c r="BC158" i="26"/>
  <c r="BA158" i="26"/>
  <c r="AY158" i="26"/>
  <c r="AW158" i="26"/>
  <c r="AU158" i="26"/>
  <c r="AS158" i="26"/>
  <c r="BI157" i="26"/>
  <c r="BG157" i="26"/>
  <c r="BE157" i="26"/>
  <c r="BC157" i="26"/>
  <c r="BA157" i="26"/>
  <c r="AY157" i="26"/>
  <c r="AW157" i="26"/>
  <c r="AU157" i="26"/>
  <c r="AS157" i="26"/>
  <c r="BI156" i="26"/>
  <c r="BG156" i="26"/>
  <c r="BE156" i="26"/>
  <c r="BC156" i="26"/>
  <c r="BA156" i="26"/>
  <c r="AY156" i="26"/>
  <c r="AW156" i="26"/>
  <c r="AU156" i="26"/>
  <c r="AS156" i="26"/>
  <c r="BI155" i="26"/>
  <c r="BG155" i="26"/>
  <c r="BE155" i="26"/>
  <c r="BC155" i="26"/>
  <c r="BA155" i="26"/>
  <c r="AY155" i="26"/>
  <c r="AW155" i="26"/>
  <c r="AU155" i="26"/>
  <c r="AS155" i="26"/>
  <c r="BI154" i="26"/>
  <c r="BG154" i="26"/>
  <c r="BE154" i="26"/>
  <c r="BC154" i="26"/>
  <c r="BA154" i="26"/>
  <c r="AY154" i="26"/>
  <c r="AW154" i="26"/>
  <c r="AU154" i="26"/>
  <c r="AS154" i="26"/>
  <c r="BI153" i="26"/>
  <c r="BG153" i="26"/>
  <c r="BE153" i="26"/>
  <c r="BC153" i="26"/>
  <c r="BA153" i="26"/>
  <c r="AY153" i="26"/>
  <c r="AW153" i="26"/>
  <c r="AU153" i="26"/>
  <c r="AS153" i="26"/>
  <c r="BI152" i="26"/>
  <c r="BG152" i="26"/>
  <c r="BE152" i="26"/>
  <c r="BC152" i="26"/>
  <c r="BA152" i="26"/>
  <c r="AY152" i="26"/>
  <c r="AW152" i="26"/>
  <c r="AU152" i="26"/>
  <c r="AS152" i="26"/>
  <c r="BI151" i="26"/>
  <c r="BG151" i="26"/>
  <c r="BE151" i="26"/>
  <c r="BC151" i="26"/>
  <c r="BA151" i="26"/>
  <c r="AY151" i="26"/>
  <c r="AW151" i="26"/>
  <c r="AU151" i="26"/>
  <c r="AS151" i="26"/>
  <c r="BI150" i="26"/>
  <c r="BG150" i="26"/>
  <c r="BE150" i="26"/>
  <c r="BC150" i="26"/>
  <c r="BA150" i="26"/>
  <c r="AY150" i="26"/>
  <c r="AW150" i="26"/>
  <c r="AU150" i="26"/>
  <c r="AS150" i="26"/>
  <c r="BI149" i="26"/>
  <c r="BG149" i="26"/>
  <c r="BE149" i="26"/>
  <c r="BC149" i="26"/>
  <c r="BA149" i="26"/>
  <c r="AY149" i="26"/>
  <c r="AW149" i="26"/>
  <c r="AU149" i="26"/>
  <c r="AS149" i="26"/>
  <c r="BI148" i="26"/>
  <c r="BG148" i="26"/>
  <c r="BE148" i="26"/>
  <c r="BC148" i="26"/>
  <c r="BA148" i="26"/>
  <c r="AY148" i="26"/>
  <c r="AW148" i="26"/>
  <c r="AU148" i="26"/>
  <c r="AS148" i="26"/>
  <c r="BI147" i="26"/>
  <c r="BG147" i="26"/>
  <c r="BE147" i="26"/>
  <c r="BC147" i="26"/>
  <c r="BA147" i="26"/>
  <c r="AY147" i="26"/>
  <c r="AW147" i="26"/>
  <c r="AU147" i="26"/>
  <c r="AS147" i="26"/>
  <c r="BI146" i="26"/>
  <c r="BG146" i="26"/>
  <c r="BE146" i="26"/>
  <c r="BC146" i="26"/>
  <c r="BA146" i="26"/>
  <c r="AY146" i="26"/>
  <c r="AW146" i="26"/>
  <c r="AU146" i="26"/>
  <c r="AS146" i="26"/>
  <c r="BI145" i="26"/>
  <c r="BG145" i="26"/>
  <c r="BE145" i="26"/>
  <c r="BC145" i="26"/>
  <c r="BA145" i="26"/>
  <c r="AY145" i="26"/>
  <c r="AW145" i="26"/>
  <c r="AU145" i="26"/>
  <c r="AS145" i="26"/>
  <c r="BI144" i="26"/>
  <c r="BG144" i="26"/>
  <c r="BE144" i="26"/>
  <c r="BC144" i="26"/>
  <c r="BA144" i="26"/>
  <c r="AY144" i="26"/>
  <c r="AW144" i="26"/>
  <c r="AU144" i="26"/>
  <c r="AS144" i="26"/>
  <c r="BI143" i="26"/>
  <c r="BG143" i="26"/>
  <c r="BE143" i="26"/>
  <c r="BC143" i="26"/>
  <c r="BA143" i="26"/>
  <c r="AY143" i="26"/>
  <c r="AW143" i="26"/>
  <c r="AU143" i="26"/>
  <c r="AS143" i="26"/>
  <c r="BI142" i="26"/>
  <c r="BG142" i="26"/>
  <c r="BE142" i="26"/>
  <c r="BC142" i="26"/>
  <c r="BA142" i="26"/>
  <c r="AY142" i="26"/>
  <c r="AW142" i="26"/>
  <c r="AU142" i="26"/>
  <c r="AS142" i="26"/>
  <c r="BI141" i="26"/>
  <c r="BG141" i="26"/>
  <c r="BE141" i="26"/>
  <c r="BC141" i="26"/>
  <c r="BA141" i="26"/>
  <c r="AY141" i="26"/>
  <c r="AW141" i="26"/>
  <c r="AU141" i="26"/>
  <c r="AS141" i="26"/>
  <c r="BI140" i="26"/>
  <c r="BG140" i="26"/>
  <c r="BE140" i="26"/>
  <c r="BC140" i="26"/>
  <c r="BA140" i="26"/>
  <c r="AY140" i="26"/>
  <c r="AW140" i="26"/>
  <c r="AU140" i="26"/>
  <c r="AS140" i="26"/>
  <c r="BI139" i="26"/>
  <c r="BG139" i="26"/>
  <c r="BE139" i="26"/>
  <c r="BC139" i="26"/>
  <c r="BA139" i="26"/>
  <c r="AY139" i="26"/>
  <c r="AW139" i="26"/>
  <c r="AU139" i="26"/>
  <c r="AS139" i="26"/>
  <c r="BI138" i="26"/>
  <c r="BG138" i="26"/>
  <c r="BE138" i="26"/>
  <c r="BC138" i="26"/>
  <c r="BA138" i="26"/>
  <c r="AY138" i="26"/>
  <c r="AW138" i="26"/>
  <c r="AU138" i="26"/>
  <c r="AS138" i="26"/>
  <c r="BI137" i="26"/>
  <c r="BG137" i="26"/>
  <c r="BE137" i="26"/>
  <c r="BC137" i="26"/>
  <c r="BA137" i="26"/>
  <c r="AY137" i="26"/>
  <c r="AW137" i="26"/>
  <c r="AU137" i="26"/>
  <c r="AS137" i="26"/>
  <c r="BI136" i="26"/>
  <c r="BG136" i="26"/>
  <c r="BE136" i="26"/>
  <c r="BC136" i="26"/>
  <c r="BA136" i="26"/>
  <c r="AY136" i="26"/>
  <c r="AW136" i="26"/>
  <c r="AU136" i="26"/>
  <c r="AS136" i="26"/>
  <c r="BI135" i="26"/>
  <c r="BG135" i="26"/>
  <c r="BE135" i="26"/>
  <c r="BC135" i="26"/>
  <c r="BA135" i="26"/>
  <c r="AY135" i="26"/>
  <c r="AW135" i="26"/>
  <c r="AU135" i="26"/>
  <c r="AS135" i="26"/>
  <c r="BI134" i="26"/>
  <c r="BG134" i="26"/>
  <c r="BE134" i="26"/>
  <c r="BC134" i="26"/>
  <c r="BA134" i="26"/>
  <c r="AY134" i="26"/>
  <c r="AW134" i="26"/>
  <c r="AU134" i="26"/>
  <c r="AS134" i="26"/>
  <c r="BI133" i="26"/>
  <c r="BG133" i="26"/>
  <c r="BE133" i="26"/>
  <c r="BC133" i="26"/>
  <c r="BA133" i="26"/>
  <c r="AY133" i="26"/>
  <c r="AW133" i="26"/>
  <c r="AU133" i="26"/>
  <c r="AS133" i="26"/>
  <c r="BI132" i="26"/>
  <c r="BG132" i="26"/>
  <c r="BE132" i="26"/>
  <c r="BC132" i="26"/>
  <c r="BA132" i="26"/>
  <c r="AY132" i="26"/>
  <c r="AW132" i="26"/>
  <c r="AU132" i="26"/>
  <c r="AS132" i="26"/>
  <c r="BI131" i="26"/>
  <c r="BG131" i="26"/>
  <c r="BE131" i="26"/>
  <c r="BC131" i="26"/>
  <c r="BA131" i="26"/>
  <c r="AY131" i="26"/>
  <c r="AW131" i="26"/>
  <c r="AU131" i="26"/>
  <c r="AS131" i="26"/>
  <c r="BI130" i="26"/>
  <c r="BG130" i="26"/>
  <c r="BE130" i="26"/>
  <c r="BC130" i="26"/>
  <c r="BA130" i="26"/>
  <c r="AY130" i="26"/>
  <c r="AW130" i="26"/>
  <c r="AU130" i="26"/>
  <c r="AS130" i="26"/>
  <c r="BI129" i="26"/>
  <c r="BG129" i="26"/>
  <c r="BE129" i="26"/>
  <c r="BC129" i="26"/>
  <c r="BA129" i="26"/>
  <c r="AY129" i="26"/>
  <c r="AW129" i="26"/>
  <c r="AU129" i="26"/>
  <c r="AS129" i="26"/>
  <c r="BI128" i="26"/>
  <c r="BG128" i="26"/>
  <c r="BE128" i="26"/>
  <c r="BC128" i="26"/>
  <c r="BA128" i="26"/>
  <c r="AY128" i="26"/>
  <c r="AW128" i="26"/>
  <c r="AU128" i="26"/>
  <c r="AS128" i="26"/>
  <c r="BI127" i="26"/>
  <c r="BG127" i="26"/>
  <c r="BE127" i="26"/>
  <c r="BC127" i="26"/>
  <c r="BA127" i="26"/>
  <c r="AY127" i="26"/>
  <c r="AW127" i="26"/>
  <c r="AU127" i="26"/>
  <c r="AS127" i="26"/>
  <c r="BI126" i="26"/>
  <c r="BG126" i="26"/>
  <c r="BE126" i="26"/>
  <c r="BC126" i="26"/>
  <c r="BA126" i="26"/>
  <c r="AY126" i="26"/>
  <c r="AW126" i="26"/>
  <c r="AU126" i="26"/>
  <c r="AS126" i="26"/>
  <c r="BI125" i="26"/>
  <c r="BG125" i="26"/>
  <c r="BE125" i="26"/>
  <c r="BC125" i="26"/>
  <c r="BA125" i="26"/>
  <c r="AY125" i="26"/>
  <c r="AW125" i="26"/>
  <c r="AU125" i="26"/>
  <c r="AS125" i="26"/>
  <c r="BI124" i="26"/>
  <c r="BG124" i="26"/>
  <c r="BE124" i="26"/>
  <c r="BC124" i="26"/>
  <c r="BA124" i="26"/>
  <c r="AY124" i="26"/>
  <c r="AW124" i="26"/>
  <c r="AU124" i="26"/>
  <c r="AS124" i="26"/>
  <c r="BI123" i="26"/>
  <c r="BG123" i="26"/>
  <c r="BE123" i="26"/>
  <c r="BC123" i="26"/>
  <c r="BA123" i="26"/>
  <c r="AY123" i="26"/>
  <c r="AW123" i="26"/>
  <c r="AU123" i="26"/>
  <c r="AS123" i="26"/>
  <c r="BI122" i="26"/>
  <c r="BG122" i="26"/>
  <c r="BE122" i="26"/>
  <c r="BC122" i="26"/>
  <c r="BA122" i="26"/>
  <c r="AY122" i="26"/>
  <c r="AW122" i="26"/>
  <c r="AU122" i="26"/>
  <c r="AS122" i="26"/>
  <c r="BI121" i="26"/>
  <c r="BG121" i="26"/>
  <c r="BE121" i="26"/>
  <c r="BC121" i="26"/>
  <c r="BA121" i="26"/>
  <c r="AY121" i="26"/>
  <c r="AW121" i="26"/>
  <c r="AU121" i="26"/>
  <c r="AS121" i="26"/>
  <c r="BI120" i="26"/>
  <c r="BG120" i="26"/>
  <c r="BE120" i="26"/>
  <c r="BC120" i="26"/>
  <c r="BA120" i="26"/>
  <c r="AY120" i="26"/>
  <c r="AW120" i="26"/>
  <c r="AU120" i="26"/>
  <c r="AS120" i="26"/>
  <c r="BI119" i="26"/>
  <c r="BG119" i="26"/>
  <c r="BE119" i="26"/>
  <c r="BC119" i="26"/>
  <c r="BA119" i="26"/>
  <c r="AY119" i="26"/>
  <c r="AW119" i="26"/>
  <c r="AU119" i="26"/>
  <c r="AS119" i="26"/>
  <c r="BI118" i="26"/>
  <c r="BG118" i="26"/>
  <c r="BE118" i="26"/>
  <c r="BC118" i="26"/>
  <c r="BA118" i="26"/>
  <c r="AY118" i="26"/>
  <c r="AW118" i="26"/>
  <c r="AU118" i="26"/>
  <c r="AS118" i="26"/>
  <c r="BI117" i="26"/>
  <c r="BG117" i="26"/>
  <c r="BE117" i="26"/>
  <c r="BC117" i="26"/>
  <c r="BA117" i="26"/>
  <c r="AY117" i="26"/>
  <c r="AW117" i="26"/>
  <c r="AU117" i="26"/>
  <c r="AS117" i="26"/>
  <c r="BI116" i="26"/>
  <c r="BG116" i="26"/>
  <c r="BE116" i="26"/>
  <c r="BC116" i="26"/>
  <c r="BA116" i="26"/>
  <c r="AY116" i="26"/>
  <c r="AW116" i="26"/>
  <c r="AU116" i="26"/>
  <c r="AS116" i="26"/>
  <c r="BI115" i="26"/>
  <c r="BG115" i="26"/>
  <c r="BE115" i="26"/>
  <c r="BC115" i="26"/>
  <c r="BA115" i="26"/>
  <c r="AY115" i="26"/>
  <c r="AW115" i="26"/>
  <c r="AU115" i="26"/>
  <c r="AS115" i="26"/>
  <c r="BI114" i="26"/>
  <c r="BG114" i="26"/>
  <c r="BE114" i="26"/>
  <c r="BC114" i="26"/>
  <c r="BA114" i="26"/>
  <c r="AY114" i="26"/>
  <c r="AW114" i="26"/>
  <c r="AU114" i="26"/>
  <c r="AS114" i="26"/>
  <c r="BI113" i="26"/>
  <c r="BG113" i="26"/>
  <c r="BE113" i="26"/>
  <c r="BC113" i="26"/>
  <c r="BA113" i="26"/>
  <c r="AY113" i="26"/>
  <c r="AW113" i="26"/>
  <c r="AU113" i="26"/>
  <c r="AS113" i="26"/>
  <c r="BI112" i="26"/>
  <c r="BG112" i="26"/>
  <c r="BE112" i="26"/>
  <c r="BC112" i="26"/>
  <c r="BA112" i="26"/>
  <c r="AY112" i="26"/>
  <c r="AW112" i="26"/>
  <c r="AU112" i="26"/>
  <c r="AS112" i="26"/>
  <c r="BI111" i="26"/>
  <c r="BG111" i="26"/>
  <c r="BE111" i="26"/>
  <c r="BC111" i="26"/>
  <c r="BA111" i="26"/>
  <c r="AY111" i="26"/>
  <c r="AW111" i="26"/>
  <c r="AU111" i="26"/>
  <c r="AS111" i="26"/>
  <c r="BI110" i="26"/>
  <c r="BG110" i="26"/>
  <c r="BE110" i="26"/>
  <c r="BC110" i="26"/>
  <c r="BA110" i="26"/>
  <c r="AY110" i="26"/>
  <c r="AW110" i="26"/>
  <c r="AU110" i="26"/>
  <c r="AS110" i="26"/>
  <c r="BI109" i="26"/>
  <c r="BG109" i="26"/>
  <c r="BE109" i="26"/>
  <c r="BC109" i="26"/>
  <c r="BA109" i="26"/>
  <c r="AY109" i="26"/>
  <c r="AW109" i="26"/>
  <c r="AU109" i="26"/>
  <c r="AS109" i="26"/>
  <c r="BI108" i="26"/>
  <c r="BG108" i="26"/>
  <c r="BE108" i="26"/>
  <c r="BC108" i="26"/>
  <c r="BA108" i="26"/>
  <c r="AY108" i="26"/>
  <c r="AW108" i="26"/>
  <c r="AU108" i="26"/>
  <c r="AS108" i="26"/>
  <c r="BI107" i="26"/>
  <c r="BG107" i="26"/>
  <c r="BE107" i="26"/>
  <c r="BC107" i="26"/>
  <c r="BA107" i="26"/>
  <c r="AY107" i="26"/>
  <c r="AW107" i="26"/>
  <c r="AU107" i="26"/>
  <c r="AS107" i="26"/>
  <c r="BI106" i="26"/>
  <c r="BG106" i="26"/>
  <c r="BE106" i="26"/>
  <c r="BC106" i="26"/>
  <c r="BA106" i="26"/>
  <c r="AY106" i="26"/>
  <c r="AW106" i="26"/>
  <c r="AU106" i="26"/>
  <c r="AS106" i="26"/>
  <c r="BI105" i="26"/>
  <c r="BG105" i="26"/>
  <c r="BE105" i="26"/>
  <c r="BC105" i="26"/>
  <c r="BA105" i="26"/>
  <c r="AY105" i="26"/>
  <c r="AW105" i="26"/>
  <c r="AU105" i="26"/>
  <c r="AS105" i="26"/>
  <c r="BI104" i="26"/>
  <c r="BG104" i="26"/>
  <c r="BE104" i="26"/>
  <c r="BC104" i="26"/>
  <c r="BA104" i="26"/>
  <c r="AY104" i="26"/>
  <c r="AW104" i="26"/>
  <c r="AU104" i="26"/>
  <c r="AS104" i="26"/>
  <c r="BI103" i="26"/>
  <c r="BG103" i="26"/>
  <c r="BE103" i="26"/>
  <c r="BC103" i="26"/>
  <c r="BA103" i="26"/>
  <c r="AY103" i="26"/>
  <c r="AW103" i="26"/>
  <c r="AU103" i="26"/>
  <c r="AS103" i="26"/>
  <c r="BI102" i="26"/>
  <c r="BG102" i="26"/>
  <c r="BE102" i="26"/>
  <c r="BC102" i="26"/>
  <c r="BA102" i="26"/>
  <c r="AY102" i="26"/>
  <c r="AW102" i="26"/>
  <c r="AU102" i="26"/>
  <c r="AS102" i="26"/>
  <c r="BI101" i="26"/>
  <c r="BG101" i="26"/>
  <c r="BE101" i="26"/>
  <c r="BC101" i="26"/>
  <c r="BA101" i="26"/>
  <c r="AY101" i="26"/>
  <c r="AW101" i="26"/>
  <c r="AU101" i="26"/>
  <c r="AS101" i="26"/>
  <c r="BI100" i="26"/>
  <c r="BG100" i="26"/>
  <c r="BE100" i="26"/>
  <c r="BC100" i="26"/>
  <c r="BA100" i="26"/>
  <c r="AY100" i="26"/>
  <c r="AW100" i="26"/>
  <c r="AU100" i="26"/>
  <c r="AS100" i="26"/>
  <c r="BI99" i="26"/>
  <c r="BG99" i="26"/>
  <c r="BE99" i="26"/>
  <c r="BC99" i="26"/>
  <c r="BA99" i="26"/>
  <c r="AY99" i="26"/>
  <c r="AW99" i="26"/>
  <c r="AU99" i="26"/>
  <c r="AS99" i="26"/>
  <c r="BI98" i="26"/>
  <c r="BG98" i="26"/>
  <c r="BE98" i="26"/>
  <c r="BC98" i="26"/>
  <c r="BA98" i="26"/>
  <c r="AY98" i="26"/>
  <c r="AW98" i="26"/>
  <c r="AU98" i="26"/>
  <c r="AS98" i="26"/>
  <c r="BI97" i="26"/>
  <c r="BG97" i="26"/>
  <c r="BE97" i="26"/>
  <c r="BC97" i="26"/>
  <c r="BA97" i="26"/>
  <c r="AY97" i="26"/>
  <c r="AW97" i="26"/>
  <c r="AU97" i="26"/>
  <c r="AS97" i="26"/>
  <c r="BI96" i="26"/>
  <c r="BG96" i="26"/>
  <c r="BE96" i="26"/>
  <c r="BC96" i="26"/>
  <c r="BA96" i="26"/>
  <c r="AY96" i="26"/>
  <c r="AW96" i="26"/>
  <c r="AU96" i="26"/>
  <c r="AS96" i="26"/>
  <c r="BI95" i="26"/>
  <c r="BG95" i="26"/>
  <c r="BE95" i="26"/>
  <c r="BC95" i="26"/>
  <c r="BA95" i="26"/>
  <c r="AY95" i="26"/>
  <c r="AW95" i="26"/>
  <c r="AU95" i="26"/>
  <c r="AS95" i="26"/>
  <c r="BI94" i="26"/>
  <c r="BG94" i="26"/>
  <c r="BE94" i="26"/>
  <c r="BC94" i="26"/>
  <c r="BA94" i="26"/>
  <c r="AY94" i="26"/>
  <c r="AW94" i="26"/>
  <c r="AU94" i="26"/>
  <c r="AS94" i="26"/>
  <c r="BI93" i="26"/>
  <c r="BG93" i="26"/>
  <c r="BE93" i="26"/>
  <c r="BC93" i="26"/>
  <c r="BA93" i="26"/>
  <c r="AY93" i="26"/>
  <c r="AW93" i="26"/>
  <c r="AU93" i="26"/>
  <c r="AS93" i="26"/>
  <c r="BI92" i="26"/>
  <c r="BG92" i="26"/>
  <c r="BE92" i="26"/>
  <c r="BC92" i="26"/>
  <c r="BA92" i="26"/>
  <c r="AY92" i="26"/>
  <c r="AW92" i="26"/>
  <c r="AU92" i="26"/>
  <c r="AS92" i="26"/>
  <c r="BI91" i="26"/>
  <c r="BG91" i="26"/>
  <c r="BE91" i="26"/>
  <c r="BC91" i="26"/>
  <c r="BA91" i="26"/>
  <c r="AY91" i="26"/>
  <c r="AW91" i="26"/>
  <c r="AU91" i="26"/>
  <c r="AS91" i="26"/>
  <c r="BI90" i="26"/>
  <c r="BG90" i="26"/>
  <c r="BE90" i="26"/>
  <c r="BC90" i="26"/>
  <c r="BA90" i="26"/>
  <c r="AY90" i="26"/>
  <c r="AW90" i="26"/>
  <c r="AU90" i="26"/>
  <c r="AS90" i="26"/>
  <c r="BI89" i="26"/>
  <c r="BG89" i="26"/>
  <c r="BE89" i="26"/>
  <c r="BC89" i="26"/>
  <c r="BA89" i="26"/>
  <c r="AY89" i="26"/>
  <c r="AW89" i="26"/>
  <c r="AU89" i="26"/>
  <c r="AS89" i="26"/>
  <c r="AQ217" i="26" l="1"/>
  <c r="AQ216" i="26"/>
  <c r="AQ215" i="26"/>
  <c r="AQ214" i="26"/>
  <c r="AQ213" i="26"/>
  <c r="AQ212" i="26"/>
  <c r="AQ211" i="26"/>
  <c r="AQ210" i="26"/>
  <c r="AQ209" i="26"/>
  <c r="AQ208" i="26"/>
  <c r="AQ207" i="26"/>
  <c r="AQ206" i="26"/>
  <c r="AQ205" i="26"/>
  <c r="AQ204" i="26"/>
  <c r="AQ203" i="26"/>
  <c r="AQ202" i="26"/>
  <c r="AQ201" i="26"/>
  <c r="AQ200" i="26"/>
  <c r="AQ199" i="26"/>
  <c r="AQ198" i="26"/>
  <c r="AQ197" i="26"/>
  <c r="AQ196" i="26"/>
  <c r="AQ195" i="26"/>
  <c r="AQ194" i="26"/>
  <c r="AQ193" i="26"/>
  <c r="AQ192" i="26"/>
  <c r="AQ191" i="26"/>
  <c r="AQ190" i="26"/>
  <c r="AQ189" i="26"/>
  <c r="AQ188" i="26"/>
  <c r="AQ187" i="26"/>
  <c r="AQ186" i="26"/>
  <c r="AQ185" i="26"/>
  <c r="AQ184" i="26"/>
  <c r="AQ183" i="26"/>
  <c r="AQ182" i="26"/>
  <c r="AQ181" i="26"/>
  <c r="AQ180" i="26"/>
  <c r="AQ179" i="26"/>
  <c r="AQ178" i="26"/>
  <c r="AQ177" i="26"/>
  <c r="AQ176" i="26"/>
  <c r="AQ175" i="26"/>
  <c r="AQ174" i="26"/>
  <c r="AQ173" i="26"/>
  <c r="AQ172" i="26"/>
  <c r="AQ171" i="26"/>
  <c r="AQ170" i="26"/>
  <c r="AQ169" i="26"/>
  <c r="AQ168" i="26"/>
  <c r="AQ167" i="26"/>
  <c r="AQ166" i="26"/>
  <c r="AQ165" i="26"/>
  <c r="AQ164" i="26"/>
  <c r="AQ163" i="26"/>
  <c r="AQ162" i="26"/>
  <c r="AQ161" i="26"/>
  <c r="AQ160" i="26"/>
  <c r="AQ159" i="26"/>
  <c r="AQ158" i="26"/>
  <c r="AQ157" i="26"/>
  <c r="AQ156" i="26"/>
  <c r="AQ155" i="26"/>
  <c r="AQ154" i="26"/>
  <c r="AQ153" i="26"/>
  <c r="AQ152" i="26"/>
  <c r="AQ151" i="26"/>
  <c r="AQ150" i="26"/>
  <c r="AQ149" i="26"/>
  <c r="AQ148" i="26"/>
  <c r="AQ147" i="26"/>
  <c r="AQ146" i="26"/>
  <c r="AQ145" i="26"/>
  <c r="AQ144" i="26"/>
  <c r="AQ143" i="26"/>
  <c r="AQ142" i="26"/>
  <c r="AQ141" i="26"/>
  <c r="AQ140" i="26"/>
  <c r="AQ139" i="26"/>
  <c r="AQ138" i="26"/>
  <c r="AQ137" i="26"/>
  <c r="AQ136" i="26"/>
  <c r="AQ135" i="26"/>
  <c r="AQ134" i="26"/>
  <c r="AQ133" i="26"/>
  <c r="AQ132" i="26"/>
  <c r="AQ131" i="26"/>
  <c r="AQ130" i="26"/>
  <c r="AQ129" i="26"/>
  <c r="AQ128" i="26"/>
  <c r="AQ127" i="26"/>
  <c r="AQ126" i="26"/>
  <c r="AQ125" i="26"/>
  <c r="AQ124" i="26"/>
  <c r="AQ123" i="26"/>
  <c r="AQ122" i="26"/>
  <c r="AQ121" i="26"/>
  <c r="AQ120" i="26"/>
  <c r="AQ119" i="26"/>
  <c r="AQ118" i="26"/>
  <c r="AQ117" i="26"/>
  <c r="AQ116" i="26"/>
  <c r="AQ115" i="26"/>
  <c r="AQ114" i="26"/>
  <c r="AQ113" i="26"/>
  <c r="AQ112" i="26"/>
  <c r="AQ111" i="26"/>
  <c r="AQ110" i="26"/>
  <c r="AQ109" i="26"/>
  <c r="AQ108" i="26"/>
  <c r="AQ107" i="26"/>
  <c r="AQ106" i="26"/>
  <c r="AQ105" i="26"/>
  <c r="AQ104" i="26"/>
  <c r="AQ103" i="26"/>
  <c r="AQ102" i="26"/>
  <c r="AQ101" i="26"/>
  <c r="AQ100" i="26"/>
  <c r="AQ99" i="26"/>
  <c r="AQ98" i="26"/>
  <c r="AQ97" i="26"/>
  <c r="AQ96" i="26"/>
  <c r="AQ95" i="26"/>
  <c r="AQ94" i="26"/>
  <c r="AQ93" i="26"/>
  <c r="AQ92" i="26"/>
  <c r="AQ91" i="26"/>
  <c r="AQ90" i="26"/>
  <c r="AQ89" i="26"/>
  <c r="AQ286" i="26" l="1"/>
  <c r="AQ285" i="26"/>
  <c r="AQ284" i="26"/>
  <c r="AQ283" i="26"/>
  <c r="AQ281" i="26"/>
  <c r="AQ279" i="26"/>
  <c r="AQ278" i="26"/>
  <c r="AQ277" i="26"/>
  <c r="AQ276" i="26"/>
  <c r="AQ275" i="26"/>
  <c r="AQ274" i="26"/>
  <c r="AQ273" i="26"/>
  <c r="AQ220" i="26"/>
  <c r="AQ219" i="26"/>
  <c r="AQ218" i="26"/>
  <c r="AQ87" i="26"/>
  <c r="AO287" i="26" l="1"/>
  <c r="AO286" i="26"/>
  <c r="AO285" i="26"/>
  <c r="AO284" i="26"/>
  <c r="AO283" i="26"/>
  <c r="AO282" i="26"/>
  <c r="AO281" i="26"/>
  <c r="AO280" i="26"/>
  <c r="AO279" i="26"/>
  <c r="AO278" i="26"/>
  <c r="AO277" i="26"/>
  <c r="AO276" i="26"/>
  <c r="AO275" i="26"/>
  <c r="AO274" i="26"/>
  <c r="AO273" i="26"/>
  <c r="AO272" i="26"/>
  <c r="AO271" i="26"/>
  <c r="AO270" i="26"/>
  <c r="AO269" i="26"/>
  <c r="AO268" i="26"/>
  <c r="AO267" i="26"/>
  <c r="AO266" i="26"/>
  <c r="AO265" i="26"/>
  <c r="AO264" i="26"/>
  <c r="AO263" i="26"/>
  <c r="AO262" i="26"/>
  <c r="AO261" i="26"/>
  <c r="AO260" i="26"/>
  <c r="AO259" i="26"/>
  <c r="AO258" i="26"/>
  <c r="AO257" i="26"/>
  <c r="AO256" i="26"/>
  <c r="AO255" i="26"/>
  <c r="AO254" i="26"/>
  <c r="AO253" i="26"/>
  <c r="AO252" i="26"/>
  <c r="AO251" i="26"/>
  <c r="AO250" i="26"/>
  <c r="AO249" i="26"/>
  <c r="AO248" i="26"/>
  <c r="AO247" i="26"/>
  <c r="AO246" i="26"/>
  <c r="AO245" i="26"/>
  <c r="AO244" i="26"/>
  <c r="AO243" i="26"/>
  <c r="AO242" i="26"/>
  <c r="AO241" i="26"/>
  <c r="AO240" i="26"/>
  <c r="AO239" i="26"/>
  <c r="AO238" i="26"/>
  <c r="AO237" i="26"/>
  <c r="AO236" i="26"/>
  <c r="AO235" i="26"/>
  <c r="AO234" i="26"/>
  <c r="AO233" i="26"/>
  <c r="AO232" i="26"/>
  <c r="AO231" i="26"/>
  <c r="AO230" i="26"/>
  <c r="AO229" i="26"/>
  <c r="AO228" i="26"/>
  <c r="AO227" i="26"/>
  <c r="AO226" i="26"/>
  <c r="AO225" i="26"/>
  <c r="AO224" i="26"/>
  <c r="AO223" i="26"/>
  <c r="AO222" i="26"/>
  <c r="AO221" i="26"/>
  <c r="AO220" i="26"/>
  <c r="AO219" i="26"/>
  <c r="AO218" i="26"/>
  <c r="AO217" i="26"/>
  <c r="AO216" i="26"/>
  <c r="AO215" i="26"/>
  <c r="AO214" i="26"/>
  <c r="AO213" i="26"/>
  <c r="AO212" i="26"/>
  <c r="AO211" i="26"/>
  <c r="AO210" i="26"/>
  <c r="AO209" i="26"/>
  <c r="AO208" i="26"/>
  <c r="AO207" i="26"/>
  <c r="AO206" i="26"/>
  <c r="AO205" i="26"/>
  <c r="AO204" i="26"/>
  <c r="AO203" i="26"/>
  <c r="AO202" i="26"/>
  <c r="AO201" i="26"/>
  <c r="AO200" i="26"/>
  <c r="AO199" i="26"/>
  <c r="AO198" i="26"/>
  <c r="AO197" i="26"/>
  <c r="AO196" i="26"/>
  <c r="AO195" i="26"/>
  <c r="AO194" i="26"/>
  <c r="AO193" i="26"/>
  <c r="AO192" i="26"/>
  <c r="AO191" i="26"/>
  <c r="AO190" i="26"/>
  <c r="AO189" i="26"/>
  <c r="AO188" i="26"/>
  <c r="AO187" i="26"/>
  <c r="AO186" i="26"/>
  <c r="AO185" i="26"/>
  <c r="AO184" i="26"/>
  <c r="AO183" i="26"/>
  <c r="AO182" i="26"/>
  <c r="AO181" i="26"/>
  <c r="AO180" i="26"/>
  <c r="AO179" i="26"/>
  <c r="AO178" i="26"/>
  <c r="AO177" i="26"/>
  <c r="AO176" i="26"/>
  <c r="AO175" i="26"/>
  <c r="AO174" i="26"/>
  <c r="AO173" i="26"/>
  <c r="AO172" i="26"/>
  <c r="AO171" i="26"/>
  <c r="AO170" i="26"/>
  <c r="AO169" i="26"/>
  <c r="AO168" i="26"/>
  <c r="AO167" i="26"/>
  <c r="AO166" i="26"/>
  <c r="AO165" i="26"/>
  <c r="AO164" i="26"/>
  <c r="AO163" i="26"/>
  <c r="AO162" i="26"/>
  <c r="AO161" i="26"/>
  <c r="AO160" i="26"/>
  <c r="AO159" i="26"/>
  <c r="AO158" i="26"/>
  <c r="AO157" i="26"/>
  <c r="AO156" i="26"/>
  <c r="AO155" i="26"/>
  <c r="AO154" i="26"/>
  <c r="AO153" i="26"/>
  <c r="AO152" i="26"/>
  <c r="AO151" i="26"/>
  <c r="AO150" i="26"/>
  <c r="AO149" i="26"/>
  <c r="AO148" i="26"/>
  <c r="AO147" i="26"/>
  <c r="AO146" i="26"/>
  <c r="AO145" i="26"/>
  <c r="AO144" i="26"/>
  <c r="AO143" i="26"/>
  <c r="AO142" i="26"/>
  <c r="AO141" i="26"/>
  <c r="AO140" i="26"/>
  <c r="AO139" i="26"/>
  <c r="AO138" i="26"/>
  <c r="AO137" i="26"/>
  <c r="AO136" i="26"/>
  <c r="AO135" i="26"/>
  <c r="AO134" i="26"/>
  <c r="AO133" i="26"/>
  <c r="AO132" i="26"/>
  <c r="AO131" i="26"/>
  <c r="AO130" i="26"/>
  <c r="AO129" i="26"/>
  <c r="AO128" i="26"/>
  <c r="AO127" i="26"/>
  <c r="AO126" i="26"/>
  <c r="AO125" i="26"/>
  <c r="AO124" i="26"/>
  <c r="AO123" i="26"/>
  <c r="AO122" i="26"/>
  <c r="AO121" i="26"/>
  <c r="AO120" i="26"/>
  <c r="AO119" i="26"/>
  <c r="AO118" i="26"/>
  <c r="AO117" i="26"/>
  <c r="AO116" i="26"/>
  <c r="AO115" i="26"/>
  <c r="AO114" i="26"/>
  <c r="AO113" i="26"/>
  <c r="AO112" i="26"/>
  <c r="AO111" i="26"/>
  <c r="AO110" i="26"/>
  <c r="AO109" i="26"/>
  <c r="AO108" i="26"/>
  <c r="AO107" i="26"/>
  <c r="AO106" i="26"/>
  <c r="AO105" i="26"/>
  <c r="AO104" i="26"/>
  <c r="AO103" i="26"/>
  <c r="AO102" i="26"/>
  <c r="AO101" i="26"/>
  <c r="AO100" i="26"/>
  <c r="AO99" i="26"/>
  <c r="AO98" i="26"/>
  <c r="AO97" i="26"/>
  <c r="AO96" i="26"/>
  <c r="AO95" i="26"/>
  <c r="AO94" i="26"/>
  <c r="AO93" i="26"/>
  <c r="AO92" i="26"/>
  <c r="AO91" i="26"/>
  <c r="AO90" i="26"/>
  <c r="AO89" i="26"/>
  <c r="AO88" i="26"/>
  <c r="AO87" i="26"/>
  <c r="AO86" i="26"/>
  <c r="AO85" i="26"/>
  <c r="AO84" i="26"/>
  <c r="AO83" i="26"/>
  <c r="AO82" i="26"/>
  <c r="AO81" i="26"/>
  <c r="AO80" i="26"/>
  <c r="AO79" i="26"/>
  <c r="AO78" i="26"/>
  <c r="AO77" i="26"/>
  <c r="AO76" i="26"/>
  <c r="AO75" i="26"/>
  <c r="AO74" i="26"/>
  <c r="AO73" i="26"/>
  <c r="AO72" i="26"/>
  <c r="AO71" i="26"/>
  <c r="AO70" i="26"/>
  <c r="AO69" i="26"/>
  <c r="AO68" i="26"/>
  <c r="AO67" i="26"/>
  <c r="AO66" i="26"/>
  <c r="AO65" i="26"/>
  <c r="AO64" i="26"/>
  <c r="AO63" i="26"/>
  <c r="AO62" i="26"/>
  <c r="AO61" i="26"/>
  <c r="AO60" i="26"/>
  <c r="AO59" i="26"/>
  <c r="AO58" i="26"/>
  <c r="AO57" i="26"/>
  <c r="AO56" i="26"/>
  <c r="AO55" i="26"/>
  <c r="AO54" i="26"/>
  <c r="AO53" i="26"/>
  <c r="AO52" i="26"/>
  <c r="AO51" i="26"/>
  <c r="AO50" i="26"/>
  <c r="AO49" i="26"/>
  <c r="AO48" i="26"/>
  <c r="AO47" i="26"/>
  <c r="AO46" i="26"/>
  <c r="AO45" i="26"/>
  <c r="AO44" i="26"/>
  <c r="AO43" i="26"/>
  <c r="AO42" i="26"/>
  <c r="AO41" i="26"/>
  <c r="AO40" i="26"/>
  <c r="AO39" i="26"/>
  <c r="AO38" i="26"/>
  <c r="AO37" i="26"/>
  <c r="AO36" i="26"/>
  <c r="AO35" i="26"/>
  <c r="AO33" i="26"/>
  <c r="AO31" i="26"/>
  <c r="AO30" i="26"/>
  <c r="AO29" i="26"/>
  <c r="AO28" i="26"/>
  <c r="AO27" i="26"/>
  <c r="AO26" i="26"/>
  <c r="AO25" i="26"/>
  <c r="AO24" i="26"/>
  <c r="AO23" i="26"/>
  <c r="AO22" i="26"/>
  <c r="AO21" i="26"/>
  <c r="AO20" i="26"/>
  <c r="AO19" i="26"/>
  <c r="AO18" i="26"/>
  <c r="AO17" i="26"/>
  <c r="AO16" i="26"/>
  <c r="AO15" i="26"/>
  <c r="AO14" i="26"/>
  <c r="AO13" i="26"/>
  <c r="AO12" i="26"/>
  <c r="AO11" i="26"/>
  <c r="AO10" i="26"/>
  <c r="AO9" i="26"/>
  <c r="AO8" i="26"/>
  <c r="AO7" i="26"/>
  <c r="AO6" i="26"/>
  <c r="AO5" i="26"/>
  <c r="AO4" i="26"/>
  <c r="AN34" i="26" l="1"/>
  <c r="AO34" i="26" s="1"/>
  <c r="AN32" i="26"/>
  <c r="AO32" i="26" s="1"/>
  <c r="G137" i="27" l="1"/>
  <c r="G138" i="27"/>
  <c r="G139" i="27"/>
  <c r="E140" i="27"/>
  <c r="F140" i="27"/>
  <c r="D140" i="27"/>
  <c r="G140" i="27" s="1"/>
  <c r="G142" i="27" s="1"/>
  <c r="E105" i="27"/>
  <c r="F105" i="27"/>
  <c r="D105" i="27"/>
  <c r="E69" i="27"/>
  <c r="F69" i="27"/>
  <c r="E34" i="27"/>
  <c r="F34" i="27"/>
  <c r="G104" i="27"/>
  <c r="G103" i="27"/>
  <c r="G102" i="27"/>
  <c r="G68" i="27"/>
  <c r="G67" i="27"/>
  <c r="G66" i="27"/>
  <c r="G65" i="27"/>
  <c r="G31" i="27"/>
  <c r="G32" i="27"/>
  <c r="G33" i="27"/>
  <c r="G30" i="27"/>
  <c r="F27" i="28"/>
  <c r="F26" i="28"/>
  <c r="F20" i="28"/>
  <c r="F19" i="28"/>
  <c r="F13" i="28"/>
  <c r="F12" i="28"/>
  <c r="F6" i="28"/>
  <c r="F5" i="28"/>
  <c r="G131" i="27"/>
  <c r="G130" i="27"/>
  <c r="G129" i="27"/>
  <c r="G128" i="27"/>
  <c r="G127" i="27"/>
  <c r="G126" i="27"/>
  <c r="G125" i="27"/>
  <c r="G124" i="27"/>
  <c r="G123" i="27"/>
  <c r="G122" i="27"/>
  <c r="G121" i="27"/>
  <c r="G120" i="27"/>
  <c r="G119" i="27"/>
  <c r="G118" i="27"/>
  <c r="G117" i="27"/>
  <c r="G116" i="27"/>
  <c r="G115" i="27"/>
  <c r="G114" i="27"/>
  <c r="G113" i="27"/>
  <c r="G112" i="27"/>
  <c r="G111" i="27"/>
  <c r="G106" i="27"/>
  <c r="G96" i="27"/>
  <c r="G95" i="27"/>
  <c r="G94" i="27"/>
  <c r="G93" i="27"/>
  <c r="G92" i="27"/>
  <c r="G91" i="27"/>
  <c r="G90" i="27"/>
  <c r="G89" i="27"/>
  <c r="G88" i="27"/>
  <c r="G87" i="27"/>
  <c r="G86" i="27"/>
  <c r="G85" i="27"/>
  <c r="G84" i="27"/>
  <c r="G83" i="27"/>
  <c r="G82" i="27"/>
  <c r="G81" i="27"/>
  <c r="G80" i="27"/>
  <c r="G79" i="27"/>
  <c r="G78" i="27"/>
  <c r="G77" i="27"/>
  <c r="G76" i="27"/>
  <c r="D69" i="27"/>
  <c r="G60" i="27"/>
  <c r="G59" i="27"/>
  <c r="G58" i="27"/>
  <c r="G57" i="27"/>
  <c r="G56" i="27"/>
  <c r="G55" i="27"/>
  <c r="G54" i="27"/>
  <c r="G53" i="27"/>
  <c r="G52" i="27"/>
  <c r="G51" i="27"/>
  <c r="G50" i="27"/>
  <c r="G49" i="27"/>
  <c r="G48" i="27"/>
  <c r="G47" i="27"/>
  <c r="G46" i="27"/>
  <c r="G45" i="27"/>
  <c r="G44" i="27"/>
  <c r="G43" i="27"/>
  <c r="G42" i="27"/>
  <c r="G41" i="27"/>
  <c r="G40" i="27"/>
  <c r="D34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9" i="27"/>
  <c r="G8" i="27"/>
  <c r="G7" i="27"/>
  <c r="G6" i="27"/>
  <c r="G5" i="27"/>
  <c r="G34" i="27" l="1"/>
  <c r="G36" i="27" s="1"/>
  <c r="G105" i="27"/>
  <c r="G136" i="27"/>
  <c r="G69" i="27"/>
  <c r="G71" i="27" s="1"/>
  <c r="G132" i="27"/>
  <c r="G61" i="27"/>
  <c r="G101" i="27"/>
  <c r="G97" i="27"/>
  <c r="G26" i="27"/>
  <c r="G107" i="27" l="1"/>
  <c r="AM133" i="26" l="1"/>
  <c r="AM132" i="26"/>
  <c r="AM131" i="26"/>
  <c r="AM130" i="26"/>
  <c r="AM129" i="26"/>
  <c r="AM128" i="26"/>
  <c r="AM127" i="26"/>
  <c r="AM126" i="26"/>
  <c r="AM125" i="26"/>
  <c r="AM124" i="26"/>
  <c r="AM123" i="26"/>
  <c r="AM122" i="26"/>
  <c r="AM121" i="26"/>
  <c r="AM120" i="26"/>
  <c r="AM119" i="26"/>
  <c r="AM118" i="26"/>
  <c r="AM117" i="26"/>
  <c r="AM116" i="26"/>
  <c r="AM115" i="26"/>
  <c r="AM114" i="26"/>
  <c r="AM113" i="26"/>
  <c r="AM112" i="26"/>
  <c r="AM111" i="26"/>
  <c r="AM110" i="26"/>
  <c r="AM109" i="26"/>
  <c r="AM108" i="26"/>
  <c r="AM107" i="26"/>
  <c r="AM106" i="26"/>
  <c r="AM105" i="26"/>
  <c r="AM104" i="26"/>
  <c r="AM103" i="26"/>
  <c r="AM102" i="26"/>
  <c r="AM101" i="26"/>
  <c r="AM100" i="26"/>
  <c r="AM99" i="26"/>
  <c r="AM98" i="26"/>
  <c r="AM97" i="26"/>
  <c r="AM96" i="26"/>
  <c r="AM95" i="26"/>
  <c r="AM94" i="26"/>
  <c r="AM93" i="26"/>
  <c r="AM92" i="26"/>
  <c r="AM91" i="26"/>
  <c r="AM90" i="26"/>
  <c r="AM89" i="26"/>
  <c r="AM88" i="26"/>
  <c r="AM87" i="26"/>
  <c r="AM86" i="26"/>
  <c r="AM85" i="26"/>
  <c r="AM84" i="26"/>
  <c r="AM83" i="26"/>
  <c r="AM82" i="26"/>
  <c r="AM81" i="26"/>
  <c r="AM80" i="26"/>
  <c r="AM79" i="26"/>
  <c r="AM78" i="26"/>
  <c r="AM77" i="26"/>
  <c r="AM76" i="26"/>
  <c r="AM75" i="26"/>
  <c r="AM74" i="26"/>
  <c r="AM73" i="26"/>
  <c r="AM72" i="26"/>
  <c r="AM71" i="26"/>
  <c r="AM70" i="26"/>
  <c r="AM69" i="26"/>
  <c r="AM68" i="26"/>
  <c r="AM67" i="26"/>
  <c r="AM66" i="26"/>
  <c r="AM65" i="26"/>
  <c r="AM64" i="26"/>
  <c r="AM63" i="26"/>
  <c r="AM62" i="26"/>
  <c r="AM61" i="26"/>
  <c r="AM60" i="26"/>
  <c r="AM59" i="26"/>
  <c r="AM58" i="26"/>
  <c r="AM57" i="26"/>
  <c r="AM56" i="26"/>
  <c r="AM55" i="26"/>
  <c r="AM54" i="26"/>
  <c r="AM53" i="26"/>
  <c r="AM52" i="26"/>
  <c r="AM51" i="26"/>
  <c r="AM50" i="26"/>
  <c r="AM49" i="26"/>
  <c r="AM48" i="26"/>
  <c r="AM47" i="26"/>
  <c r="AM46" i="26"/>
  <c r="AM45" i="26"/>
  <c r="AM44" i="26"/>
  <c r="AM43" i="26"/>
  <c r="AM42" i="26"/>
  <c r="AM41" i="26"/>
  <c r="AM40" i="26"/>
  <c r="AM39" i="26"/>
  <c r="AM38" i="26"/>
  <c r="AM37" i="26"/>
  <c r="AM36" i="26"/>
  <c r="AM35" i="26"/>
  <c r="AM34" i="26"/>
  <c r="AM33" i="26"/>
  <c r="AM32" i="26"/>
  <c r="AM31" i="26"/>
  <c r="AM30" i="26"/>
  <c r="AM29" i="26"/>
  <c r="AM28" i="26"/>
  <c r="AM27" i="26"/>
  <c r="AM26" i="26"/>
  <c r="AM25" i="26"/>
  <c r="AM24" i="26"/>
  <c r="AM23" i="26"/>
  <c r="AM22" i="26"/>
  <c r="AM21" i="26"/>
  <c r="AM20" i="26"/>
  <c r="AM19" i="26"/>
  <c r="AM18" i="26"/>
  <c r="AM17" i="26"/>
  <c r="AM16" i="26"/>
  <c r="AM15" i="26"/>
  <c r="AM14" i="26"/>
  <c r="AM13" i="26"/>
  <c r="AM12" i="26"/>
  <c r="AM11" i="26"/>
  <c r="AM10" i="26"/>
  <c r="AM9" i="26"/>
  <c r="AM8" i="26"/>
  <c r="AM7" i="26"/>
  <c r="AM6" i="26"/>
  <c r="AM5" i="26"/>
  <c r="AM4" i="26"/>
  <c r="AM3" i="26"/>
  <c r="AM287" i="26"/>
  <c r="AM286" i="26"/>
  <c r="AM285" i="26"/>
  <c r="AM284" i="26"/>
  <c r="AM283" i="26"/>
  <c r="AM282" i="26"/>
  <c r="AM281" i="26"/>
  <c r="AM280" i="26"/>
  <c r="AM279" i="26"/>
  <c r="AM278" i="26"/>
  <c r="AM277" i="26"/>
  <c r="AM276" i="26"/>
  <c r="AM275" i="26"/>
  <c r="AM274" i="26"/>
  <c r="AM273" i="26"/>
  <c r="AM272" i="26"/>
  <c r="AM271" i="26"/>
  <c r="AM270" i="26"/>
  <c r="AM269" i="26"/>
  <c r="AM268" i="26"/>
  <c r="AM267" i="26"/>
  <c r="AM266" i="26"/>
  <c r="AM265" i="26"/>
  <c r="AM264" i="26"/>
  <c r="AM263" i="26"/>
  <c r="AM262" i="26"/>
  <c r="AM261" i="26"/>
  <c r="AM260" i="26"/>
  <c r="AM259" i="26"/>
  <c r="AM258" i="26"/>
  <c r="AM257" i="26"/>
  <c r="AM256" i="26"/>
  <c r="AM255" i="26"/>
  <c r="AM254" i="26"/>
  <c r="AM253" i="26"/>
  <c r="AM252" i="26"/>
  <c r="AM251" i="26"/>
  <c r="AM250" i="26"/>
  <c r="AM249" i="26"/>
  <c r="AM248" i="26"/>
  <c r="AM247" i="26"/>
  <c r="AM246" i="26"/>
  <c r="AM245" i="26"/>
  <c r="AM244" i="26"/>
  <c r="AM243" i="26"/>
  <c r="AM242" i="26"/>
  <c r="AM241" i="26"/>
  <c r="AM240" i="26"/>
  <c r="AM239" i="26"/>
  <c r="AM238" i="26"/>
  <c r="AM237" i="26"/>
  <c r="AM236" i="26"/>
  <c r="AM235" i="26"/>
  <c r="AM234" i="26"/>
  <c r="AM233" i="26"/>
  <c r="AM232" i="26"/>
  <c r="AM231" i="26"/>
  <c r="AM230" i="26"/>
  <c r="AM229" i="26"/>
  <c r="AM228" i="26"/>
  <c r="AM227" i="26"/>
  <c r="AM226" i="26"/>
  <c r="AM225" i="26"/>
  <c r="AM224" i="26"/>
  <c r="AM223" i="26"/>
  <c r="AM222" i="26"/>
  <c r="AM221" i="26"/>
  <c r="AM220" i="26"/>
  <c r="AM219" i="26"/>
  <c r="AM218" i="26"/>
  <c r="AM217" i="26"/>
  <c r="AM216" i="26"/>
  <c r="AM215" i="26"/>
  <c r="AM214" i="26"/>
  <c r="AM213" i="26"/>
  <c r="AM212" i="26"/>
  <c r="AM211" i="26"/>
  <c r="AM210" i="26"/>
  <c r="AM209" i="26"/>
  <c r="AM208" i="26"/>
  <c r="AM207" i="26"/>
  <c r="AM206" i="26"/>
  <c r="AM205" i="26"/>
  <c r="AM204" i="26"/>
  <c r="AM203" i="26"/>
  <c r="AM202" i="26"/>
  <c r="AM201" i="26"/>
  <c r="AM200" i="26"/>
  <c r="AM199" i="26"/>
  <c r="AM198" i="26"/>
  <c r="AM197" i="26"/>
  <c r="AM196" i="26"/>
  <c r="AM195" i="26"/>
  <c r="AM194" i="26"/>
  <c r="AM193" i="26"/>
  <c r="AM192" i="26"/>
  <c r="AM191" i="26"/>
  <c r="AM190" i="26"/>
  <c r="AM189" i="26"/>
  <c r="AM188" i="26"/>
  <c r="AM187" i="26"/>
  <c r="AM186" i="26"/>
  <c r="AM185" i="26"/>
  <c r="AM184" i="26"/>
  <c r="AM183" i="26"/>
  <c r="AM182" i="26"/>
  <c r="AM181" i="26"/>
  <c r="AM180" i="26"/>
  <c r="AM179" i="26"/>
  <c r="AM178" i="26"/>
  <c r="AM177" i="26"/>
  <c r="AM176" i="26"/>
  <c r="AM175" i="26"/>
  <c r="AM174" i="26"/>
  <c r="AM173" i="26"/>
  <c r="AM172" i="26"/>
  <c r="AM171" i="26"/>
  <c r="AM170" i="26"/>
  <c r="AM169" i="26"/>
  <c r="AM168" i="26"/>
  <c r="AM167" i="26"/>
  <c r="AM166" i="26"/>
  <c r="AM165" i="26"/>
  <c r="AM164" i="26"/>
  <c r="AM163" i="26"/>
  <c r="AM162" i="26"/>
  <c r="AM161" i="26"/>
  <c r="AM160" i="26"/>
  <c r="AM159" i="26"/>
  <c r="AM158" i="26"/>
  <c r="AM157" i="26"/>
  <c r="AM156" i="26"/>
  <c r="AM155" i="26"/>
  <c r="AM154" i="26"/>
  <c r="AM153" i="26"/>
  <c r="AM152" i="26"/>
  <c r="AM151" i="26"/>
  <c r="AM150" i="26"/>
  <c r="AM149" i="26"/>
  <c r="AM148" i="26"/>
  <c r="AM147" i="26"/>
  <c r="AM146" i="26"/>
  <c r="AM145" i="26"/>
  <c r="AM144" i="26"/>
  <c r="AM143" i="26"/>
  <c r="AM142" i="26"/>
  <c r="AM141" i="26"/>
  <c r="AM140" i="26"/>
  <c r="AM139" i="26"/>
  <c r="AM138" i="26"/>
  <c r="AM137" i="26"/>
  <c r="AM136" i="26"/>
  <c r="AM135" i="26"/>
  <c r="AM134" i="26"/>
  <c r="G150" i="21" l="1"/>
  <c r="BL18" i="20" l="1"/>
  <c r="BK285" i="20" l="1"/>
  <c r="BK284" i="20"/>
  <c r="BK277" i="20"/>
  <c r="BI287" i="26" l="1"/>
  <c r="BG287" i="26"/>
  <c r="BE287" i="26"/>
  <c r="BC287" i="26"/>
  <c r="BA287" i="26"/>
  <c r="AY287" i="26"/>
  <c r="AW287" i="26"/>
  <c r="AU287" i="26"/>
  <c r="AS287" i="26"/>
  <c r="AQ287" i="26"/>
  <c r="BI286" i="26"/>
  <c r="BG286" i="26"/>
  <c r="BE286" i="26"/>
  <c r="BC286" i="26"/>
  <c r="BA286" i="26"/>
  <c r="AY286" i="26"/>
  <c r="AW286" i="26"/>
  <c r="AU286" i="26"/>
  <c r="AS286" i="26"/>
  <c r="BI285" i="26"/>
  <c r="BG285" i="26"/>
  <c r="BE285" i="26"/>
  <c r="BC285" i="26"/>
  <c r="BA285" i="26"/>
  <c r="AY285" i="26"/>
  <c r="AW285" i="26"/>
  <c r="AU285" i="26"/>
  <c r="AS285" i="26"/>
  <c r="BI284" i="26"/>
  <c r="BG284" i="26"/>
  <c r="BE284" i="26"/>
  <c r="BC284" i="26"/>
  <c r="BA284" i="26"/>
  <c r="AY284" i="26"/>
  <c r="AW284" i="26"/>
  <c r="AU284" i="26"/>
  <c r="AS284" i="26"/>
  <c r="BI283" i="26"/>
  <c r="BG283" i="26"/>
  <c r="BE283" i="26"/>
  <c r="BC283" i="26"/>
  <c r="BA283" i="26"/>
  <c r="AY283" i="26"/>
  <c r="AW283" i="26"/>
  <c r="AU283" i="26"/>
  <c r="AS283" i="26"/>
  <c r="BI282" i="26"/>
  <c r="BG282" i="26"/>
  <c r="BE282" i="26"/>
  <c r="BC282" i="26"/>
  <c r="BA282" i="26"/>
  <c r="AY282" i="26"/>
  <c r="AW282" i="26"/>
  <c r="AU282" i="26"/>
  <c r="AS282" i="26"/>
  <c r="AQ282" i="26"/>
  <c r="BI281" i="26"/>
  <c r="BG281" i="26"/>
  <c r="BE281" i="26"/>
  <c r="BC281" i="26"/>
  <c r="BA281" i="26"/>
  <c r="AY281" i="26"/>
  <c r="AW281" i="26"/>
  <c r="AU281" i="26"/>
  <c r="AS281" i="26"/>
  <c r="BI280" i="26"/>
  <c r="BG280" i="26"/>
  <c r="BE280" i="26"/>
  <c r="BC280" i="26"/>
  <c r="BA280" i="26"/>
  <c r="AY280" i="26"/>
  <c r="AW280" i="26"/>
  <c r="AU280" i="26"/>
  <c r="AS280" i="26"/>
  <c r="AQ280" i="26"/>
  <c r="BI279" i="26"/>
  <c r="BG279" i="26"/>
  <c r="BE279" i="26"/>
  <c r="BC279" i="26"/>
  <c r="BA279" i="26"/>
  <c r="AY279" i="26"/>
  <c r="AW279" i="26"/>
  <c r="AU279" i="26"/>
  <c r="AS279" i="26"/>
  <c r="BI278" i="26"/>
  <c r="BG278" i="26"/>
  <c r="BE278" i="26"/>
  <c r="BC278" i="26"/>
  <c r="BA278" i="26"/>
  <c r="AY278" i="26"/>
  <c r="AW278" i="26"/>
  <c r="AU278" i="26"/>
  <c r="AS278" i="26"/>
  <c r="BI277" i="26"/>
  <c r="BG277" i="26"/>
  <c r="BE277" i="26"/>
  <c r="BC277" i="26"/>
  <c r="BA277" i="26"/>
  <c r="AY277" i="26"/>
  <c r="AW277" i="26"/>
  <c r="AU277" i="26"/>
  <c r="AS277" i="26"/>
  <c r="BI276" i="26"/>
  <c r="BG276" i="26"/>
  <c r="BE276" i="26"/>
  <c r="BC276" i="26"/>
  <c r="BA276" i="26"/>
  <c r="AY276" i="26"/>
  <c r="AW276" i="26"/>
  <c r="AU276" i="26"/>
  <c r="AS276" i="26"/>
  <c r="BI275" i="26"/>
  <c r="BG275" i="26"/>
  <c r="BE275" i="26"/>
  <c r="BC275" i="26"/>
  <c r="BA275" i="26"/>
  <c r="AY275" i="26"/>
  <c r="AW275" i="26"/>
  <c r="AU275" i="26"/>
  <c r="AS275" i="26"/>
  <c r="BI274" i="26"/>
  <c r="BG274" i="26"/>
  <c r="BE274" i="26"/>
  <c r="BC274" i="26"/>
  <c r="BA274" i="26"/>
  <c r="AY274" i="26"/>
  <c r="AW274" i="26"/>
  <c r="AU274" i="26"/>
  <c r="AS274" i="26"/>
  <c r="BI273" i="26"/>
  <c r="BG273" i="26"/>
  <c r="BE273" i="26"/>
  <c r="BC273" i="26"/>
  <c r="BA273" i="26"/>
  <c r="AY273" i="26"/>
  <c r="AW273" i="26"/>
  <c r="AU273" i="26"/>
  <c r="AS273" i="26"/>
  <c r="BI272" i="26"/>
  <c r="BG272" i="26"/>
  <c r="BE272" i="26"/>
  <c r="BC272" i="26"/>
  <c r="BA272" i="26"/>
  <c r="AY272" i="26"/>
  <c r="AW272" i="26"/>
  <c r="AU272" i="26"/>
  <c r="AS272" i="26"/>
  <c r="AQ272" i="26"/>
  <c r="BI271" i="26"/>
  <c r="BG271" i="26"/>
  <c r="BE271" i="26"/>
  <c r="BC271" i="26"/>
  <c r="BA271" i="26"/>
  <c r="AY271" i="26"/>
  <c r="AW271" i="26"/>
  <c r="AU271" i="26"/>
  <c r="AS271" i="26"/>
  <c r="AQ271" i="26"/>
  <c r="BI270" i="26"/>
  <c r="BG270" i="26"/>
  <c r="BE270" i="26"/>
  <c r="BC270" i="26"/>
  <c r="BA270" i="26"/>
  <c r="AY270" i="26"/>
  <c r="AW270" i="26"/>
  <c r="AU270" i="26"/>
  <c r="AS270" i="26"/>
  <c r="AQ270" i="26"/>
  <c r="BI269" i="26"/>
  <c r="BG269" i="26"/>
  <c r="BE269" i="26"/>
  <c r="BC269" i="26"/>
  <c r="BA269" i="26"/>
  <c r="AY269" i="26"/>
  <c r="AW269" i="26"/>
  <c r="AS269" i="26"/>
  <c r="AQ269" i="26"/>
  <c r="BI268" i="26"/>
  <c r="BG268" i="26"/>
  <c r="BE268" i="26"/>
  <c r="BC268" i="26"/>
  <c r="BA268" i="26"/>
  <c r="AY268" i="26"/>
  <c r="AW268" i="26"/>
  <c r="AU268" i="26"/>
  <c r="AS268" i="26"/>
  <c r="AQ268" i="26"/>
  <c r="BI267" i="26"/>
  <c r="BG267" i="26"/>
  <c r="BE267" i="26"/>
  <c r="BC267" i="26"/>
  <c r="BA267" i="26"/>
  <c r="AY267" i="26"/>
  <c r="AW267" i="26"/>
  <c r="AU267" i="26"/>
  <c r="AS267" i="26"/>
  <c r="AQ267" i="26"/>
  <c r="BI266" i="26"/>
  <c r="BG266" i="26"/>
  <c r="BE266" i="26"/>
  <c r="BC266" i="26"/>
  <c r="BA266" i="26"/>
  <c r="AY266" i="26"/>
  <c r="AW266" i="26"/>
  <c r="AU266" i="26"/>
  <c r="AS266" i="26"/>
  <c r="AQ266" i="26"/>
  <c r="BI265" i="26"/>
  <c r="BG265" i="26"/>
  <c r="BE265" i="26"/>
  <c r="BC265" i="26"/>
  <c r="BA265" i="26"/>
  <c r="AY265" i="26"/>
  <c r="AW265" i="26"/>
  <c r="AU265" i="26"/>
  <c r="AS265" i="26"/>
  <c r="AQ265" i="26"/>
  <c r="BI264" i="26"/>
  <c r="BG264" i="26"/>
  <c r="BE264" i="26"/>
  <c r="BC264" i="26"/>
  <c r="BA264" i="26"/>
  <c r="AY264" i="26"/>
  <c r="AW264" i="26"/>
  <c r="AU264" i="26"/>
  <c r="AS264" i="26"/>
  <c r="AQ264" i="26"/>
  <c r="BI263" i="26"/>
  <c r="BG263" i="26"/>
  <c r="BE263" i="26"/>
  <c r="BC263" i="26"/>
  <c r="BA263" i="26"/>
  <c r="AY263" i="26"/>
  <c r="AW263" i="26"/>
  <c r="AU263" i="26"/>
  <c r="AS263" i="26"/>
  <c r="AQ263" i="26"/>
  <c r="BI262" i="26"/>
  <c r="BG262" i="26"/>
  <c r="BE262" i="26"/>
  <c r="BC262" i="26"/>
  <c r="BA262" i="26"/>
  <c r="AY262" i="26"/>
  <c r="AW262" i="26"/>
  <c r="AU262" i="26"/>
  <c r="AS262" i="26"/>
  <c r="AQ262" i="26"/>
  <c r="BI261" i="26"/>
  <c r="BG261" i="26"/>
  <c r="BE261" i="26"/>
  <c r="BC261" i="26"/>
  <c r="BA261" i="26"/>
  <c r="AY261" i="26"/>
  <c r="AW261" i="26"/>
  <c r="AU261" i="26"/>
  <c r="AS261" i="26"/>
  <c r="AQ261" i="26"/>
  <c r="BI260" i="26"/>
  <c r="BG260" i="26"/>
  <c r="BE260" i="26"/>
  <c r="BC260" i="26"/>
  <c r="BA260" i="26"/>
  <c r="AY260" i="26"/>
  <c r="AW260" i="26"/>
  <c r="AU260" i="26"/>
  <c r="AS260" i="26"/>
  <c r="AQ260" i="26"/>
  <c r="BI259" i="26"/>
  <c r="BG259" i="26"/>
  <c r="BE259" i="26"/>
  <c r="BC259" i="26"/>
  <c r="BA259" i="26"/>
  <c r="AY259" i="26"/>
  <c r="AW259" i="26"/>
  <c r="AU259" i="26"/>
  <c r="AS259" i="26"/>
  <c r="AQ259" i="26"/>
  <c r="BI258" i="26"/>
  <c r="BG258" i="26"/>
  <c r="BE258" i="26"/>
  <c r="BC258" i="26"/>
  <c r="BA258" i="26"/>
  <c r="AY258" i="26"/>
  <c r="AW258" i="26"/>
  <c r="AU258" i="26"/>
  <c r="AS258" i="26"/>
  <c r="AQ258" i="26"/>
  <c r="BI257" i="26"/>
  <c r="BG257" i="26"/>
  <c r="BE257" i="26"/>
  <c r="BC257" i="26"/>
  <c r="BA257" i="26"/>
  <c r="AY257" i="26"/>
  <c r="AW257" i="26"/>
  <c r="AU257" i="26"/>
  <c r="AS257" i="26"/>
  <c r="AQ257" i="26"/>
  <c r="BI256" i="26"/>
  <c r="BG256" i="26"/>
  <c r="BE256" i="26"/>
  <c r="BC256" i="26"/>
  <c r="BA256" i="26"/>
  <c r="AY256" i="26"/>
  <c r="AW256" i="26"/>
  <c r="AU256" i="26"/>
  <c r="AS256" i="26"/>
  <c r="AQ256" i="26"/>
  <c r="BI255" i="26"/>
  <c r="BG255" i="26"/>
  <c r="BE255" i="26"/>
  <c r="BC255" i="26"/>
  <c r="BA255" i="26"/>
  <c r="AY255" i="26"/>
  <c r="AW255" i="26"/>
  <c r="AU255" i="26"/>
  <c r="AS255" i="26"/>
  <c r="AQ255" i="26"/>
  <c r="BI254" i="26"/>
  <c r="BG254" i="26"/>
  <c r="BE254" i="26"/>
  <c r="BC254" i="26"/>
  <c r="BA254" i="26"/>
  <c r="AY254" i="26"/>
  <c r="AW254" i="26"/>
  <c r="AU254" i="26"/>
  <c r="AS254" i="26"/>
  <c r="AQ254" i="26"/>
  <c r="BI253" i="26"/>
  <c r="BG253" i="26"/>
  <c r="BE253" i="26"/>
  <c r="BC253" i="26"/>
  <c r="BA253" i="26"/>
  <c r="AY253" i="26"/>
  <c r="AW253" i="26"/>
  <c r="AU253" i="26"/>
  <c r="AS253" i="26"/>
  <c r="AQ253" i="26"/>
  <c r="BI252" i="26"/>
  <c r="BG252" i="26"/>
  <c r="BE252" i="26"/>
  <c r="BC252" i="26"/>
  <c r="BA252" i="26"/>
  <c r="AY252" i="26"/>
  <c r="AW252" i="26"/>
  <c r="AU252" i="26"/>
  <c r="AS252" i="26"/>
  <c r="AQ252" i="26"/>
  <c r="BI251" i="26"/>
  <c r="BG251" i="26"/>
  <c r="BE251" i="26"/>
  <c r="BC251" i="26"/>
  <c r="BA251" i="26"/>
  <c r="AY251" i="26"/>
  <c r="AW251" i="26"/>
  <c r="AU251" i="26"/>
  <c r="AS251" i="26"/>
  <c r="AQ251" i="26"/>
  <c r="BI250" i="26"/>
  <c r="BG250" i="26"/>
  <c r="BE250" i="26"/>
  <c r="BC250" i="26"/>
  <c r="BA250" i="26"/>
  <c r="AY250" i="26"/>
  <c r="AW250" i="26"/>
  <c r="AU250" i="26"/>
  <c r="AS250" i="26"/>
  <c r="AQ250" i="26"/>
  <c r="BI249" i="26"/>
  <c r="BG249" i="26"/>
  <c r="BE249" i="26"/>
  <c r="BC249" i="26"/>
  <c r="BA249" i="26"/>
  <c r="AY249" i="26"/>
  <c r="AW249" i="26"/>
  <c r="AU249" i="26"/>
  <c r="AS249" i="26"/>
  <c r="AQ249" i="26"/>
  <c r="BI248" i="26"/>
  <c r="BG248" i="26"/>
  <c r="BE248" i="26"/>
  <c r="BC248" i="26"/>
  <c r="BA248" i="26"/>
  <c r="AY248" i="26"/>
  <c r="AW248" i="26"/>
  <c r="AU248" i="26"/>
  <c r="AS248" i="26"/>
  <c r="AQ248" i="26"/>
  <c r="BI247" i="26"/>
  <c r="BG247" i="26"/>
  <c r="BE247" i="26"/>
  <c r="BC247" i="26"/>
  <c r="BA247" i="26"/>
  <c r="AY247" i="26"/>
  <c r="AW247" i="26"/>
  <c r="AU247" i="26"/>
  <c r="AS247" i="26"/>
  <c r="AQ247" i="26"/>
  <c r="BI246" i="26"/>
  <c r="BG246" i="26"/>
  <c r="BE246" i="26"/>
  <c r="BC246" i="26"/>
  <c r="BA246" i="26"/>
  <c r="AY246" i="26"/>
  <c r="AW246" i="26"/>
  <c r="AU246" i="26"/>
  <c r="AS246" i="26"/>
  <c r="AQ246" i="26"/>
  <c r="BI245" i="26"/>
  <c r="BG245" i="26"/>
  <c r="BE245" i="26"/>
  <c r="BC245" i="26"/>
  <c r="BA245" i="26"/>
  <c r="AY245" i="26"/>
  <c r="AW245" i="26"/>
  <c r="AU245" i="26"/>
  <c r="AS245" i="26"/>
  <c r="AQ245" i="26"/>
  <c r="BI244" i="26"/>
  <c r="BG244" i="26"/>
  <c r="BE244" i="26"/>
  <c r="BC244" i="26"/>
  <c r="BA244" i="26"/>
  <c r="AY244" i="26"/>
  <c r="AW244" i="26"/>
  <c r="AU244" i="26"/>
  <c r="AS244" i="26"/>
  <c r="AQ244" i="26"/>
  <c r="BI243" i="26"/>
  <c r="BG243" i="26"/>
  <c r="BE243" i="26"/>
  <c r="BC243" i="26"/>
  <c r="BA243" i="26"/>
  <c r="AY243" i="26"/>
  <c r="AW243" i="26"/>
  <c r="AU243" i="26"/>
  <c r="AS243" i="26"/>
  <c r="AQ243" i="26"/>
  <c r="BI242" i="26"/>
  <c r="BG242" i="26"/>
  <c r="BE242" i="26"/>
  <c r="BC242" i="26"/>
  <c r="BA242" i="26"/>
  <c r="AY242" i="26"/>
  <c r="AW242" i="26"/>
  <c r="AU242" i="26"/>
  <c r="AS242" i="26"/>
  <c r="AQ242" i="26"/>
  <c r="BI241" i="26"/>
  <c r="BG241" i="26"/>
  <c r="BE241" i="26"/>
  <c r="BC241" i="26"/>
  <c r="BA241" i="26"/>
  <c r="AY241" i="26"/>
  <c r="AW241" i="26"/>
  <c r="AU241" i="26"/>
  <c r="AS241" i="26"/>
  <c r="AQ241" i="26"/>
  <c r="BI240" i="26"/>
  <c r="BG240" i="26"/>
  <c r="BE240" i="26"/>
  <c r="BC240" i="26"/>
  <c r="BA240" i="26"/>
  <c r="AY240" i="26"/>
  <c r="AW240" i="26"/>
  <c r="AU240" i="26"/>
  <c r="AS240" i="26"/>
  <c r="AQ240" i="26"/>
  <c r="BI239" i="26"/>
  <c r="BG239" i="26"/>
  <c r="BE239" i="26"/>
  <c r="BC239" i="26"/>
  <c r="BA239" i="26"/>
  <c r="AY239" i="26"/>
  <c r="AW239" i="26"/>
  <c r="AU239" i="26"/>
  <c r="AS239" i="26"/>
  <c r="AQ239" i="26"/>
  <c r="BI238" i="26"/>
  <c r="BG238" i="26"/>
  <c r="BE238" i="26"/>
  <c r="BC238" i="26"/>
  <c r="BA238" i="26"/>
  <c r="AY238" i="26"/>
  <c r="AW238" i="26"/>
  <c r="AU238" i="26"/>
  <c r="AS238" i="26"/>
  <c r="AQ238" i="26"/>
  <c r="BI237" i="26"/>
  <c r="BG237" i="26"/>
  <c r="BE237" i="26"/>
  <c r="BC237" i="26"/>
  <c r="BA237" i="26"/>
  <c r="AY237" i="26"/>
  <c r="AW237" i="26"/>
  <c r="AU237" i="26"/>
  <c r="AS237" i="26"/>
  <c r="AQ237" i="26"/>
  <c r="BI236" i="26"/>
  <c r="BG236" i="26"/>
  <c r="BE236" i="26"/>
  <c r="BC236" i="26"/>
  <c r="BA236" i="26"/>
  <c r="AY236" i="26"/>
  <c r="AW236" i="26"/>
  <c r="AU236" i="26"/>
  <c r="AS236" i="26"/>
  <c r="AQ236" i="26"/>
  <c r="BI235" i="26"/>
  <c r="BG235" i="26"/>
  <c r="BE235" i="26"/>
  <c r="BC235" i="26"/>
  <c r="BA235" i="26"/>
  <c r="AY235" i="26"/>
  <c r="AW235" i="26"/>
  <c r="AU235" i="26"/>
  <c r="AS235" i="26"/>
  <c r="AQ235" i="26"/>
  <c r="BI234" i="26"/>
  <c r="BG234" i="26"/>
  <c r="BE234" i="26"/>
  <c r="BC234" i="26"/>
  <c r="BA234" i="26"/>
  <c r="AY234" i="26"/>
  <c r="AW234" i="26"/>
  <c r="AU234" i="26"/>
  <c r="AS234" i="26"/>
  <c r="AQ234" i="26"/>
  <c r="BI233" i="26"/>
  <c r="BG233" i="26"/>
  <c r="BE233" i="26"/>
  <c r="BC233" i="26"/>
  <c r="BA233" i="26"/>
  <c r="AY233" i="26"/>
  <c r="AW233" i="26"/>
  <c r="AU233" i="26"/>
  <c r="AS233" i="26"/>
  <c r="AQ233" i="26"/>
  <c r="BI232" i="26"/>
  <c r="BG232" i="26"/>
  <c r="BE232" i="26"/>
  <c r="BC232" i="26"/>
  <c r="BA232" i="26"/>
  <c r="AY232" i="26"/>
  <c r="AW232" i="26"/>
  <c r="AU232" i="26"/>
  <c r="AS232" i="26"/>
  <c r="AQ232" i="26"/>
  <c r="BI231" i="26"/>
  <c r="BG231" i="26"/>
  <c r="BE231" i="26"/>
  <c r="BC231" i="26"/>
  <c r="BA231" i="26"/>
  <c r="AY231" i="26"/>
  <c r="AW231" i="26"/>
  <c r="AU231" i="26"/>
  <c r="AS231" i="26"/>
  <c r="AQ231" i="26"/>
  <c r="BI230" i="26"/>
  <c r="BG230" i="26"/>
  <c r="BE230" i="26"/>
  <c r="BC230" i="26"/>
  <c r="BA230" i="26"/>
  <c r="AY230" i="26"/>
  <c r="AW230" i="26"/>
  <c r="AU230" i="26"/>
  <c r="AS230" i="26"/>
  <c r="BI229" i="26"/>
  <c r="BG229" i="26"/>
  <c r="BE229" i="26"/>
  <c r="BC229" i="26"/>
  <c r="BA229" i="26"/>
  <c r="AY229" i="26"/>
  <c r="AW229" i="26"/>
  <c r="AU229" i="26"/>
  <c r="AS229" i="26"/>
  <c r="BI228" i="26"/>
  <c r="BG228" i="26"/>
  <c r="BE228" i="26"/>
  <c r="BC228" i="26"/>
  <c r="BA228" i="26"/>
  <c r="AY228" i="26"/>
  <c r="AW228" i="26"/>
  <c r="AU228" i="26"/>
  <c r="AS228" i="26"/>
  <c r="BI227" i="26"/>
  <c r="BG227" i="26"/>
  <c r="BE227" i="26"/>
  <c r="BC227" i="26"/>
  <c r="BA227" i="26"/>
  <c r="AY227" i="26"/>
  <c r="AW227" i="26"/>
  <c r="AU227" i="26"/>
  <c r="AS227" i="26"/>
  <c r="BI226" i="26"/>
  <c r="BG226" i="26"/>
  <c r="BE226" i="26"/>
  <c r="BC226" i="26"/>
  <c r="BA226" i="26"/>
  <c r="AY226" i="26"/>
  <c r="AW226" i="26"/>
  <c r="AU226" i="26"/>
  <c r="AS226" i="26"/>
  <c r="BI225" i="26"/>
  <c r="BG225" i="26"/>
  <c r="BE225" i="26"/>
  <c r="BC225" i="26"/>
  <c r="BA225" i="26"/>
  <c r="AY225" i="26"/>
  <c r="AW225" i="26"/>
  <c r="AU225" i="26"/>
  <c r="AS225" i="26"/>
  <c r="BI224" i="26"/>
  <c r="BG224" i="26"/>
  <c r="BE224" i="26"/>
  <c r="BC224" i="26"/>
  <c r="BA224" i="26"/>
  <c r="AY224" i="26"/>
  <c r="AW224" i="26"/>
  <c r="AU224" i="26"/>
  <c r="AS224" i="26"/>
  <c r="BI223" i="26"/>
  <c r="BG223" i="26"/>
  <c r="BE223" i="26"/>
  <c r="BC223" i="26"/>
  <c r="BA223" i="26"/>
  <c r="AY223" i="26"/>
  <c r="AW223" i="26"/>
  <c r="AU223" i="26"/>
  <c r="AS223" i="26"/>
  <c r="BI222" i="26"/>
  <c r="BG222" i="26"/>
  <c r="BE222" i="26"/>
  <c r="BC222" i="26"/>
  <c r="BA222" i="26"/>
  <c r="AY222" i="26"/>
  <c r="AW222" i="26"/>
  <c r="AU222" i="26"/>
  <c r="AS222" i="26"/>
  <c r="BI221" i="26"/>
  <c r="BG221" i="26"/>
  <c r="BE221" i="26"/>
  <c r="BC221" i="26"/>
  <c r="BA221" i="26"/>
  <c r="AY221" i="26"/>
  <c r="AW221" i="26"/>
  <c r="AU221" i="26"/>
  <c r="AS221" i="26"/>
  <c r="BI220" i="26"/>
  <c r="BG220" i="26"/>
  <c r="BE220" i="26"/>
  <c r="BC220" i="26"/>
  <c r="BA220" i="26"/>
  <c r="AY220" i="26"/>
  <c r="AW220" i="26"/>
  <c r="AU220" i="26"/>
  <c r="AS220" i="26"/>
  <c r="BI219" i="26"/>
  <c r="BG219" i="26"/>
  <c r="BE219" i="26"/>
  <c r="BC219" i="26"/>
  <c r="BA219" i="26"/>
  <c r="AY219" i="26"/>
  <c r="AW219" i="26"/>
  <c r="AU219" i="26"/>
  <c r="AS219" i="26"/>
  <c r="BI218" i="26"/>
  <c r="BG218" i="26"/>
  <c r="BE218" i="26"/>
  <c r="BC218" i="26"/>
  <c r="BA218" i="26"/>
  <c r="AY218" i="26"/>
  <c r="AW218" i="26"/>
  <c r="AU218" i="26"/>
  <c r="AS218" i="26"/>
  <c r="BI88" i="26"/>
  <c r="BG88" i="26"/>
  <c r="BE88" i="26"/>
  <c r="BC88" i="26"/>
  <c r="BA88" i="26"/>
  <c r="AY88" i="26"/>
  <c r="AW88" i="26"/>
  <c r="AU88" i="26"/>
  <c r="AS88" i="26"/>
  <c r="AQ88" i="26"/>
  <c r="BI87" i="26"/>
  <c r="BG87" i="26"/>
  <c r="BE87" i="26"/>
  <c r="BC87" i="26"/>
  <c r="BA87" i="26"/>
  <c r="AY87" i="26"/>
  <c r="AW87" i="26"/>
  <c r="AU87" i="26"/>
  <c r="AS87" i="26"/>
  <c r="BI86" i="26"/>
  <c r="BG86" i="26"/>
  <c r="BE86" i="26"/>
  <c r="BC86" i="26"/>
  <c r="BA86" i="26"/>
  <c r="AY86" i="26"/>
  <c r="AW86" i="26"/>
  <c r="AU86" i="26"/>
  <c r="AS86" i="26"/>
  <c r="AQ86" i="26"/>
  <c r="BI85" i="26"/>
  <c r="BG85" i="26"/>
  <c r="BE85" i="26"/>
  <c r="BC85" i="26"/>
  <c r="BA85" i="26"/>
  <c r="AY85" i="26"/>
  <c r="AW85" i="26"/>
  <c r="AU85" i="26"/>
  <c r="AS85" i="26"/>
  <c r="AQ85" i="26"/>
  <c r="BI84" i="26"/>
  <c r="BG84" i="26"/>
  <c r="BE84" i="26"/>
  <c r="BC84" i="26"/>
  <c r="BA84" i="26"/>
  <c r="AY84" i="26"/>
  <c r="AW84" i="26"/>
  <c r="AU84" i="26"/>
  <c r="AS84" i="26"/>
  <c r="AQ84" i="26"/>
  <c r="BI83" i="26"/>
  <c r="BG83" i="26"/>
  <c r="BE83" i="26"/>
  <c r="BC83" i="26"/>
  <c r="BA83" i="26"/>
  <c r="AY83" i="26"/>
  <c r="AW83" i="26"/>
  <c r="AU83" i="26"/>
  <c r="AS83" i="26"/>
  <c r="AQ83" i="26"/>
  <c r="BI82" i="26"/>
  <c r="BG82" i="26"/>
  <c r="BE82" i="26"/>
  <c r="BC82" i="26"/>
  <c r="BA82" i="26"/>
  <c r="AY82" i="26"/>
  <c r="AW82" i="26"/>
  <c r="AU82" i="26"/>
  <c r="AS82" i="26"/>
  <c r="AQ82" i="26"/>
  <c r="BI81" i="26"/>
  <c r="BG81" i="26"/>
  <c r="BE81" i="26"/>
  <c r="BC81" i="26"/>
  <c r="BA81" i="26"/>
  <c r="AY81" i="26"/>
  <c r="AW81" i="26"/>
  <c r="AU81" i="26"/>
  <c r="AS81" i="26"/>
  <c r="AQ81" i="26"/>
  <c r="BI80" i="26"/>
  <c r="BG80" i="26"/>
  <c r="BE80" i="26"/>
  <c r="BC80" i="26"/>
  <c r="BA80" i="26"/>
  <c r="AY80" i="26"/>
  <c r="AW80" i="26"/>
  <c r="AU80" i="26"/>
  <c r="AS80" i="26"/>
  <c r="AQ80" i="26"/>
  <c r="BI79" i="26"/>
  <c r="BG79" i="26"/>
  <c r="BE79" i="26"/>
  <c r="BC79" i="26"/>
  <c r="BA79" i="26"/>
  <c r="AY79" i="26"/>
  <c r="AW79" i="26"/>
  <c r="AU79" i="26"/>
  <c r="AS79" i="26"/>
  <c r="AQ79" i="26"/>
  <c r="BI78" i="26"/>
  <c r="BG78" i="26"/>
  <c r="BE78" i="26"/>
  <c r="BC78" i="26"/>
  <c r="BA78" i="26"/>
  <c r="AY78" i="26"/>
  <c r="AW78" i="26"/>
  <c r="AU78" i="26"/>
  <c r="AS78" i="26"/>
  <c r="AQ78" i="26"/>
  <c r="BI77" i="26"/>
  <c r="BG77" i="26"/>
  <c r="BE77" i="26"/>
  <c r="BC77" i="26"/>
  <c r="BA77" i="26"/>
  <c r="AY77" i="26"/>
  <c r="AW77" i="26"/>
  <c r="AU77" i="26"/>
  <c r="AS77" i="26"/>
  <c r="AQ77" i="26"/>
  <c r="BI76" i="26"/>
  <c r="BG76" i="26"/>
  <c r="BE76" i="26"/>
  <c r="BC76" i="26"/>
  <c r="BA76" i="26"/>
  <c r="AY76" i="26"/>
  <c r="AW76" i="26"/>
  <c r="AU76" i="26"/>
  <c r="AS76" i="26"/>
  <c r="AQ76" i="26"/>
  <c r="BI75" i="26"/>
  <c r="BG75" i="26"/>
  <c r="BE75" i="26"/>
  <c r="BC75" i="26"/>
  <c r="BA75" i="26"/>
  <c r="AY75" i="26"/>
  <c r="AW75" i="26"/>
  <c r="AU75" i="26"/>
  <c r="AS75" i="26"/>
  <c r="AQ75" i="26"/>
  <c r="BI74" i="26"/>
  <c r="BG74" i="26"/>
  <c r="BE74" i="26"/>
  <c r="BC74" i="26"/>
  <c r="BA74" i="26"/>
  <c r="AY74" i="26"/>
  <c r="AW74" i="26"/>
  <c r="AU74" i="26"/>
  <c r="AS74" i="26"/>
  <c r="AQ74" i="26"/>
  <c r="BI73" i="26"/>
  <c r="BG73" i="26"/>
  <c r="BE73" i="26"/>
  <c r="BC73" i="26"/>
  <c r="BA73" i="26"/>
  <c r="AY73" i="26"/>
  <c r="AW73" i="26"/>
  <c r="AU73" i="26"/>
  <c r="AS73" i="26"/>
  <c r="AQ73" i="26"/>
  <c r="BI72" i="26"/>
  <c r="BG72" i="26"/>
  <c r="BE72" i="26"/>
  <c r="BC72" i="26"/>
  <c r="BA72" i="26"/>
  <c r="AY72" i="26"/>
  <c r="AW72" i="26"/>
  <c r="AU72" i="26"/>
  <c r="AS72" i="26"/>
  <c r="AQ72" i="26"/>
  <c r="BI71" i="26"/>
  <c r="BG71" i="26"/>
  <c r="BE71" i="26"/>
  <c r="BC71" i="26"/>
  <c r="BA71" i="26"/>
  <c r="AY71" i="26"/>
  <c r="AW71" i="26"/>
  <c r="AU71" i="26"/>
  <c r="AS71" i="26"/>
  <c r="AQ71" i="26"/>
  <c r="BI70" i="26"/>
  <c r="BG70" i="26"/>
  <c r="BE70" i="26"/>
  <c r="BC70" i="26"/>
  <c r="BA70" i="26"/>
  <c r="AY70" i="26"/>
  <c r="AW70" i="26"/>
  <c r="AU70" i="26"/>
  <c r="AS70" i="26"/>
  <c r="AQ70" i="26"/>
  <c r="BI69" i="26"/>
  <c r="BG69" i="26"/>
  <c r="BE69" i="26"/>
  <c r="BC69" i="26"/>
  <c r="BA69" i="26"/>
  <c r="AY69" i="26"/>
  <c r="AW69" i="26"/>
  <c r="AU69" i="26"/>
  <c r="AS69" i="26"/>
  <c r="AQ69" i="26"/>
  <c r="BI68" i="26"/>
  <c r="BG68" i="26"/>
  <c r="BE68" i="26"/>
  <c r="BC68" i="26"/>
  <c r="BA68" i="26"/>
  <c r="AY68" i="26"/>
  <c r="AW68" i="26"/>
  <c r="AU68" i="26"/>
  <c r="AS68" i="26"/>
  <c r="AQ68" i="26"/>
  <c r="BI67" i="26"/>
  <c r="BG67" i="26"/>
  <c r="BE67" i="26"/>
  <c r="BC67" i="26"/>
  <c r="BA67" i="26"/>
  <c r="AY67" i="26"/>
  <c r="AW67" i="26"/>
  <c r="AU67" i="26"/>
  <c r="AS67" i="26"/>
  <c r="AQ67" i="26"/>
  <c r="BI66" i="26"/>
  <c r="BG66" i="26"/>
  <c r="BE66" i="26"/>
  <c r="BC66" i="26"/>
  <c r="BA66" i="26"/>
  <c r="AY66" i="26"/>
  <c r="AW66" i="26"/>
  <c r="AU66" i="26"/>
  <c r="AS66" i="26"/>
  <c r="AQ66" i="26"/>
  <c r="BI65" i="26"/>
  <c r="BG65" i="26"/>
  <c r="BE65" i="26"/>
  <c r="BC65" i="26"/>
  <c r="BA65" i="26"/>
  <c r="AY65" i="26"/>
  <c r="AW65" i="26"/>
  <c r="AU65" i="26"/>
  <c r="AS65" i="26"/>
  <c r="AQ65" i="26"/>
  <c r="BI64" i="26"/>
  <c r="BG64" i="26"/>
  <c r="BE64" i="26"/>
  <c r="BC64" i="26"/>
  <c r="BA64" i="26"/>
  <c r="AY64" i="26"/>
  <c r="AW64" i="26"/>
  <c r="AU64" i="26"/>
  <c r="AS64" i="26"/>
  <c r="AQ64" i="26"/>
  <c r="BI63" i="26"/>
  <c r="BG63" i="26"/>
  <c r="BE63" i="26"/>
  <c r="BC63" i="26"/>
  <c r="BA63" i="26"/>
  <c r="AY63" i="26"/>
  <c r="AW63" i="26"/>
  <c r="AU63" i="26"/>
  <c r="AS63" i="26"/>
  <c r="AQ63" i="26"/>
  <c r="BI62" i="26"/>
  <c r="BG62" i="26"/>
  <c r="BE62" i="26"/>
  <c r="BC62" i="26"/>
  <c r="BA62" i="26"/>
  <c r="AY62" i="26"/>
  <c r="AW62" i="26"/>
  <c r="AU62" i="26"/>
  <c r="AS62" i="26"/>
  <c r="AQ62" i="26"/>
  <c r="BI61" i="26"/>
  <c r="BG61" i="26"/>
  <c r="BE61" i="26"/>
  <c r="BC61" i="26"/>
  <c r="BA61" i="26"/>
  <c r="AY61" i="26"/>
  <c r="AW61" i="26"/>
  <c r="AU61" i="26"/>
  <c r="AS61" i="26"/>
  <c r="AQ61" i="26"/>
  <c r="BI60" i="26"/>
  <c r="BG60" i="26"/>
  <c r="BE60" i="26"/>
  <c r="BC60" i="26"/>
  <c r="BA60" i="26"/>
  <c r="AY60" i="26"/>
  <c r="AW60" i="26"/>
  <c r="AU60" i="26"/>
  <c r="AS60" i="26"/>
  <c r="AQ60" i="26"/>
  <c r="BI59" i="26"/>
  <c r="BG59" i="26"/>
  <c r="BE59" i="26"/>
  <c r="BC59" i="26"/>
  <c r="BA59" i="26"/>
  <c r="AY59" i="26"/>
  <c r="AW59" i="26"/>
  <c r="AU59" i="26"/>
  <c r="AS59" i="26"/>
  <c r="AQ59" i="26"/>
  <c r="BI58" i="26"/>
  <c r="BG58" i="26"/>
  <c r="BE58" i="26"/>
  <c r="BC58" i="26"/>
  <c r="BA58" i="26"/>
  <c r="AY58" i="26"/>
  <c r="AW58" i="26"/>
  <c r="AU58" i="26"/>
  <c r="AS58" i="26"/>
  <c r="AQ58" i="26"/>
  <c r="BI57" i="26"/>
  <c r="BG57" i="26"/>
  <c r="BE57" i="26"/>
  <c r="BC57" i="26"/>
  <c r="BA57" i="26"/>
  <c r="AY57" i="26"/>
  <c r="AW57" i="26"/>
  <c r="AU57" i="26"/>
  <c r="AS57" i="26"/>
  <c r="AQ57" i="26"/>
  <c r="BI56" i="26"/>
  <c r="BG56" i="26"/>
  <c r="BE56" i="26"/>
  <c r="BC56" i="26"/>
  <c r="BA56" i="26"/>
  <c r="AY56" i="26"/>
  <c r="AW56" i="26"/>
  <c r="AU56" i="26"/>
  <c r="AS56" i="26"/>
  <c r="AQ56" i="26"/>
  <c r="BI55" i="26"/>
  <c r="BG55" i="26"/>
  <c r="BE55" i="26"/>
  <c r="BC55" i="26"/>
  <c r="BA55" i="26"/>
  <c r="AY55" i="26"/>
  <c r="AW55" i="26"/>
  <c r="AU55" i="26"/>
  <c r="AS55" i="26"/>
  <c r="AQ55" i="26"/>
  <c r="BI54" i="26"/>
  <c r="BG54" i="26"/>
  <c r="BE54" i="26"/>
  <c r="BC54" i="26"/>
  <c r="BA54" i="26"/>
  <c r="AY54" i="26"/>
  <c r="AW54" i="26"/>
  <c r="AU54" i="26"/>
  <c r="AS54" i="26"/>
  <c r="AQ54" i="26"/>
  <c r="BI53" i="26"/>
  <c r="BG53" i="26"/>
  <c r="BE53" i="26"/>
  <c r="BC53" i="26"/>
  <c r="BA53" i="26"/>
  <c r="AY53" i="26"/>
  <c r="AW53" i="26"/>
  <c r="AU53" i="26"/>
  <c r="AS53" i="26"/>
  <c r="AQ53" i="26"/>
  <c r="BI52" i="26"/>
  <c r="BG52" i="26"/>
  <c r="BE52" i="26"/>
  <c r="BC52" i="26"/>
  <c r="BA52" i="26"/>
  <c r="AY52" i="26"/>
  <c r="AW52" i="26"/>
  <c r="AU52" i="26"/>
  <c r="AS52" i="26"/>
  <c r="AQ52" i="26"/>
  <c r="BI51" i="26"/>
  <c r="BG51" i="26"/>
  <c r="BE51" i="26"/>
  <c r="BC51" i="26"/>
  <c r="BA51" i="26"/>
  <c r="AY51" i="26"/>
  <c r="AW51" i="26"/>
  <c r="AU51" i="26"/>
  <c r="AS51" i="26"/>
  <c r="AQ51" i="26"/>
  <c r="BI50" i="26"/>
  <c r="BG50" i="26"/>
  <c r="BE50" i="26"/>
  <c r="BC50" i="26"/>
  <c r="BA50" i="26"/>
  <c r="AY50" i="26"/>
  <c r="AW50" i="26"/>
  <c r="AU50" i="26"/>
  <c r="AS50" i="26"/>
  <c r="AQ50" i="26"/>
  <c r="BI49" i="26"/>
  <c r="BG49" i="26"/>
  <c r="BE49" i="26"/>
  <c r="BC49" i="26"/>
  <c r="BA49" i="26"/>
  <c r="AY49" i="26"/>
  <c r="AW49" i="26"/>
  <c r="AU49" i="26"/>
  <c r="AS49" i="26"/>
  <c r="AQ49" i="26"/>
  <c r="BI48" i="26"/>
  <c r="BG48" i="26"/>
  <c r="BE48" i="26"/>
  <c r="BC48" i="26"/>
  <c r="BA48" i="26"/>
  <c r="AY48" i="26"/>
  <c r="AW48" i="26"/>
  <c r="AU48" i="26"/>
  <c r="AS48" i="26"/>
  <c r="AQ48" i="26"/>
  <c r="BI47" i="26"/>
  <c r="BG47" i="26"/>
  <c r="BE47" i="26"/>
  <c r="BC47" i="26"/>
  <c r="BA47" i="26"/>
  <c r="AY47" i="26"/>
  <c r="AW47" i="26"/>
  <c r="AU47" i="26"/>
  <c r="AS47" i="26"/>
  <c r="AQ47" i="26"/>
  <c r="BI46" i="26"/>
  <c r="BG46" i="26"/>
  <c r="BE46" i="26"/>
  <c r="BC46" i="26"/>
  <c r="BA46" i="26"/>
  <c r="AY46" i="26"/>
  <c r="AW46" i="26"/>
  <c r="AU46" i="26"/>
  <c r="AS46" i="26"/>
  <c r="AQ46" i="26"/>
  <c r="BI45" i="26"/>
  <c r="BG45" i="26"/>
  <c r="BE45" i="26"/>
  <c r="BC45" i="26"/>
  <c r="BA45" i="26"/>
  <c r="AY45" i="26"/>
  <c r="AW45" i="26"/>
  <c r="AU45" i="26"/>
  <c r="AS45" i="26"/>
  <c r="AQ45" i="26"/>
  <c r="BI44" i="26"/>
  <c r="BG44" i="26"/>
  <c r="BE44" i="26"/>
  <c r="BC44" i="26"/>
  <c r="BA44" i="26"/>
  <c r="AY44" i="26"/>
  <c r="AW44" i="26"/>
  <c r="AU44" i="26"/>
  <c r="AS44" i="26"/>
  <c r="AQ44" i="26"/>
  <c r="BI43" i="26"/>
  <c r="BG43" i="26"/>
  <c r="BE43" i="26"/>
  <c r="BC43" i="26"/>
  <c r="BA43" i="26"/>
  <c r="AY43" i="26"/>
  <c r="AW43" i="26"/>
  <c r="AU43" i="26"/>
  <c r="AS43" i="26"/>
  <c r="AQ43" i="26"/>
  <c r="BI42" i="26"/>
  <c r="BG42" i="26"/>
  <c r="BE42" i="26"/>
  <c r="BC42" i="26"/>
  <c r="BA42" i="26"/>
  <c r="AY42" i="26"/>
  <c r="AW42" i="26"/>
  <c r="AU42" i="26"/>
  <c r="AS42" i="26"/>
  <c r="AQ42" i="26"/>
  <c r="BI41" i="26"/>
  <c r="BG41" i="26"/>
  <c r="BE41" i="26"/>
  <c r="BC41" i="26"/>
  <c r="BA41" i="26"/>
  <c r="AY41" i="26"/>
  <c r="AW41" i="26"/>
  <c r="AU41" i="26"/>
  <c r="AS41" i="26"/>
  <c r="AQ41" i="26"/>
  <c r="BI40" i="26"/>
  <c r="BG40" i="26"/>
  <c r="BE40" i="26"/>
  <c r="BC40" i="26"/>
  <c r="BA40" i="26"/>
  <c r="AY40" i="26"/>
  <c r="AW40" i="26"/>
  <c r="AU40" i="26"/>
  <c r="AS40" i="26"/>
  <c r="AQ40" i="26"/>
  <c r="BI39" i="26"/>
  <c r="BG39" i="26"/>
  <c r="BE39" i="26"/>
  <c r="BC39" i="26"/>
  <c r="BA39" i="26"/>
  <c r="AY39" i="26"/>
  <c r="AW39" i="26"/>
  <c r="AU39" i="26"/>
  <c r="AS39" i="26"/>
  <c r="AQ39" i="26"/>
  <c r="BI38" i="26"/>
  <c r="BG38" i="26"/>
  <c r="BE38" i="26"/>
  <c r="BC38" i="26"/>
  <c r="BA38" i="26"/>
  <c r="AY38" i="26"/>
  <c r="AW38" i="26"/>
  <c r="AU38" i="26"/>
  <c r="AS38" i="26"/>
  <c r="AQ38" i="26"/>
  <c r="BI37" i="26"/>
  <c r="BG37" i="26"/>
  <c r="BE37" i="26"/>
  <c r="BC37" i="26"/>
  <c r="BA37" i="26"/>
  <c r="AY37" i="26"/>
  <c r="AW37" i="26"/>
  <c r="AU37" i="26"/>
  <c r="AS37" i="26"/>
  <c r="AQ37" i="26"/>
  <c r="BI36" i="26"/>
  <c r="BG36" i="26"/>
  <c r="BE36" i="26"/>
  <c r="BC36" i="26"/>
  <c r="BA36" i="26"/>
  <c r="AY36" i="26"/>
  <c r="AW36" i="26"/>
  <c r="AU36" i="26"/>
  <c r="AS36" i="26"/>
  <c r="AQ36" i="26"/>
  <c r="BI35" i="26"/>
  <c r="BG35" i="26"/>
  <c r="BE35" i="26"/>
  <c r="BC35" i="26"/>
  <c r="BA35" i="26"/>
  <c r="AY35" i="26"/>
  <c r="AW35" i="26"/>
  <c r="AU35" i="26"/>
  <c r="AS35" i="26"/>
  <c r="AQ35" i="26"/>
  <c r="BI34" i="26"/>
  <c r="BG34" i="26"/>
  <c r="BE34" i="26"/>
  <c r="BC34" i="26"/>
  <c r="BA34" i="26"/>
  <c r="AY34" i="26"/>
  <c r="AW34" i="26"/>
  <c r="AU34" i="26"/>
  <c r="AS34" i="26"/>
  <c r="AQ34" i="26"/>
  <c r="BI33" i="26"/>
  <c r="BG33" i="26"/>
  <c r="BE33" i="26"/>
  <c r="BC33" i="26"/>
  <c r="BA33" i="26"/>
  <c r="AY33" i="26"/>
  <c r="AW33" i="26"/>
  <c r="AU33" i="26"/>
  <c r="AS33" i="26"/>
  <c r="AQ33" i="26"/>
  <c r="BI32" i="26"/>
  <c r="BG32" i="26"/>
  <c r="BE32" i="26"/>
  <c r="BC32" i="26"/>
  <c r="BA32" i="26"/>
  <c r="AY32" i="26"/>
  <c r="AW32" i="26"/>
  <c r="AU32" i="26"/>
  <c r="AS32" i="26"/>
  <c r="AQ32" i="26"/>
  <c r="BI31" i="26"/>
  <c r="BG31" i="26"/>
  <c r="BE31" i="26"/>
  <c r="BC31" i="26"/>
  <c r="BA31" i="26"/>
  <c r="AY31" i="26"/>
  <c r="AW31" i="26"/>
  <c r="AU31" i="26"/>
  <c r="AS31" i="26"/>
  <c r="AQ31" i="26"/>
  <c r="BI30" i="26"/>
  <c r="BG30" i="26"/>
  <c r="BE30" i="26"/>
  <c r="BC30" i="26"/>
  <c r="BA30" i="26"/>
  <c r="AY30" i="26"/>
  <c r="AW30" i="26"/>
  <c r="AU30" i="26"/>
  <c r="AS30" i="26"/>
  <c r="AQ30" i="26"/>
  <c r="BI29" i="26"/>
  <c r="BG29" i="26"/>
  <c r="BE29" i="26"/>
  <c r="BC29" i="26"/>
  <c r="BA29" i="26"/>
  <c r="AY29" i="26"/>
  <c r="AW29" i="26"/>
  <c r="AU29" i="26"/>
  <c r="AS29" i="26"/>
  <c r="AQ29" i="26"/>
  <c r="BI28" i="26"/>
  <c r="BG28" i="26"/>
  <c r="BE28" i="26"/>
  <c r="BC28" i="26"/>
  <c r="BA28" i="26"/>
  <c r="AY28" i="26"/>
  <c r="AW28" i="26"/>
  <c r="AU28" i="26"/>
  <c r="AS28" i="26"/>
  <c r="AQ28" i="26"/>
  <c r="BI27" i="26"/>
  <c r="BG27" i="26"/>
  <c r="BE27" i="26"/>
  <c r="BC27" i="26"/>
  <c r="BA27" i="26"/>
  <c r="AY27" i="26"/>
  <c r="AW27" i="26"/>
  <c r="AU27" i="26"/>
  <c r="AS27" i="26"/>
  <c r="AQ27" i="26"/>
  <c r="BI26" i="26"/>
  <c r="BG26" i="26"/>
  <c r="BE26" i="26"/>
  <c r="BC26" i="26"/>
  <c r="BA26" i="26"/>
  <c r="AY26" i="26"/>
  <c r="AW26" i="26"/>
  <c r="AU26" i="26"/>
  <c r="AS26" i="26"/>
  <c r="AQ26" i="26"/>
  <c r="BI25" i="26"/>
  <c r="BG25" i="26"/>
  <c r="BE25" i="26"/>
  <c r="BC25" i="26"/>
  <c r="BA25" i="26"/>
  <c r="AY25" i="26"/>
  <c r="AW25" i="26"/>
  <c r="AU25" i="26"/>
  <c r="AS25" i="26"/>
  <c r="AQ25" i="26"/>
  <c r="BI24" i="26"/>
  <c r="BG24" i="26"/>
  <c r="BE24" i="26"/>
  <c r="BC24" i="26"/>
  <c r="BA24" i="26"/>
  <c r="AY24" i="26"/>
  <c r="AW24" i="26"/>
  <c r="AU24" i="26"/>
  <c r="AS24" i="26"/>
  <c r="AQ24" i="26"/>
  <c r="BI23" i="26"/>
  <c r="BG23" i="26"/>
  <c r="BE23" i="26"/>
  <c r="BC23" i="26"/>
  <c r="BA23" i="26"/>
  <c r="AY23" i="26"/>
  <c r="AW23" i="26"/>
  <c r="AU23" i="26"/>
  <c r="AS23" i="26"/>
  <c r="AQ23" i="26"/>
  <c r="BI22" i="26"/>
  <c r="BG22" i="26"/>
  <c r="BE22" i="26"/>
  <c r="BC22" i="26"/>
  <c r="BA22" i="26"/>
  <c r="AY22" i="26"/>
  <c r="AW22" i="26"/>
  <c r="AU22" i="26"/>
  <c r="AS22" i="26"/>
  <c r="AQ22" i="26"/>
  <c r="BI21" i="26"/>
  <c r="BG21" i="26"/>
  <c r="BE21" i="26"/>
  <c r="BC21" i="26"/>
  <c r="BA21" i="26"/>
  <c r="AY21" i="26"/>
  <c r="AW21" i="26"/>
  <c r="AU21" i="26"/>
  <c r="AS21" i="26"/>
  <c r="AQ21" i="26"/>
  <c r="BI20" i="26"/>
  <c r="BG20" i="26"/>
  <c r="BE20" i="26"/>
  <c r="BC20" i="26"/>
  <c r="BA20" i="26"/>
  <c r="AY20" i="26"/>
  <c r="AW20" i="26"/>
  <c r="AU20" i="26"/>
  <c r="AS20" i="26"/>
  <c r="AQ20" i="26"/>
  <c r="BI19" i="26"/>
  <c r="BG19" i="26"/>
  <c r="BE19" i="26"/>
  <c r="BC19" i="26"/>
  <c r="BA19" i="26"/>
  <c r="AY19" i="26"/>
  <c r="AW19" i="26"/>
  <c r="AU19" i="26"/>
  <c r="AS19" i="26"/>
  <c r="AQ19" i="26"/>
  <c r="BI18" i="26"/>
  <c r="BG18" i="26"/>
  <c r="BE18" i="26"/>
  <c r="BC18" i="26"/>
  <c r="BA18" i="26"/>
  <c r="AY18" i="26"/>
  <c r="AW18" i="26"/>
  <c r="AU18" i="26"/>
  <c r="AS18" i="26"/>
  <c r="AQ18" i="26"/>
  <c r="BI17" i="26"/>
  <c r="BG17" i="26"/>
  <c r="BE17" i="26"/>
  <c r="BC17" i="26"/>
  <c r="BA17" i="26"/>
  <c r="AY17" i="26"/>
  <c r="AW17" i="26"/>
  <c r="AU17" i="26"/>
  <c r="AS17" i="26"/>
  <c r="AQ17" i="26"/>
  <c r="BI16" i="26"/>
  <c r="BG16" i="26"/>
  <c r="BE16" i="26"/>
  <c r="BC16" i="26"/>
  <c r="BA16" i="26"/>
  <c r="AY16" i="26"/>
  <c r="AW16" i="26"/>
  <c r="AU16" i="26"/>
  <c r="AS16" i="26"/>
  <c r="AQ16" i="26"/>
  <c r="BI15" i="26"/>
  <c r="BG15" i="26"/>
  <c r="BE15" i="26"/>
  <c r="BC15" i="26"/>
  <c r="BA15" i="26"/>
  <c r="AY15" i="26"/>
  <c r="AW15" i="26"/>
  <c r="AU15" i="26"/>
  <c r="AS15" i="26"/>
  <c r="AQ15" i="26"/>
  <c r="BI14" i="26"/>
  <c r="BG14" i="26"/>
  <c r="BE14" i="26"/>
  <c r="BC14" i="26"/>
  <c r="BA14" i="26"/>
  <c r="AY14" i="26"/>
  <c r="AW14" i="26"/>
  <c r="AU14" i="26"/>
  <c r="AS14" i="26"/>
  <c r="AQ14" i="26"/>
  <c r="BI13" i="26"/>
  <c r="BG13" i="26"/>
  <c r="BE13" i="26"/>
  <c r="BC13" i="26"/>
  <c r="BA13" i="26"/>
  <c r="AY13" i="26"/>
  <c r="AW13" i="26"/>
  <c r="AU13" i="26"/>
  <c r="AS13" i="26"/>
  <c r="AQ13" i="26"/>
  <c r="BI12" i="26"/>
  <c r="BG12" i="26"/>
  <c r="BE12" i="26"/>
  <c r="BC12" i="26"/>
  <c r="BA12" i="26"/>
  <c r="AY12" i="26"/>
  <c r="AW12" i="26"/>
  <c r="AU12" i="26"/>
  <c r="AS12" i="26"/>
  <c r="AQ12" i="26"/>
  <c r="BI11" i="26"/>
  <c r="BG11" i="26"/>
  <c r="BE11" i="26"/>
  <c r="BC11" i="26"/>
  <c r="BA11" i="26"/>
  <c r="AY11" i="26"/>
  <c r="AW11" i="26"/>
  <c r="AU11" i="26"/>
  <c r="AS11" i="26"/>
  <c r="AQ11" i="26"/>
  <c r="BI10" i="26"/>
  <c r="BG10" i="26"/>
  <c r="BE10" i="26"/>
  <c r="BC10" i="26"/>
  <c r="BA10" i="26"/>
  <c r="AY10" i="26"/>
  <c r="AW10" i="26"/>
  <c r="AU10" i="26"/>
  <c r="AS10" i="26"/>
  <c r="AQ10" i="26"/>
  <c r="BI9" i="26"/>
  <c r="BG9" i="26"/>
  <c r="BE9" i="26"/>
  <c r="BC9" i="26"/>
  <c r="BA9" i="26"/>
  <c r="AY9" i="26"/>
  <c r="AW9" i="26"/>
  <c r="AU9" i="26"/>
  <c r="AS9" i="26"/>
  <c r="AQ9" i="26"/>
  <c r="BI8" i="26"/>
  <c r="BG8" i="26"/>
  <c r="BE8" i="26"/>
  <c r="BC8" i="26"/>
  <c r="BA8" i="26"/>
  <c r="AY8" i="26"/>
  <c r="AW8" i="26"/>
  <c r="AU8" i="26"/>
  <c r="AS8" i="26"/>
  <c r="AQ8" i="26"/>
  <c r="BI7" i="26"/>
  <c r="BG7" i="26"/>
  <c r="BE7" i="26"/>
  <c r="BC7" i="26"/>
  <c r="BA7" i="26"/>
  <c r="AY7" i="26"/>
  <c r="AW7" i="26"/>
  <c r="AU7" i="26"/>
  <c r="AS7" i="26"/>
  <c r="AQ7" i="26"/>
  <c r="BI6" i="26"/>
  <c r="BG6" i="26"/>
  <c r="BE6" i="26"/>
  <c r="BC6" i="26"/>
  <c r="BA6" i="26"/>
  <c r="AY6" i="26"/>
  <c r="AW6" i="26"/>
  <c r="AU6" i="26"/>
  <c r="AS6" i="26"/>
  <c r="AQ6" i="26"/>
  <c r="BI5" i="26"/>
  <c r="BG5" i="26"/>
  <c r="BE5" i="26"/>
  <c r="BC5" i="26"/>
  <c r="BA5" i="26"/>
  <c r="AY5" i="26"/>
  <c r="AW5" i="26"/>
  <c r="AU5" i="26"/>
  <c r="AS5" i="26"/>
  <c r="AQ5" i="26"/>
  <c r="BI4" i="26"/>
  <c r="BG4" i="26"/>
  <c r="BE4" i="26"/>
  <c r="BC4" i="26"/>
  <c r="BA4" i="26"/>
  <c r="AY4" i="26"/>
  <c r="AW4" i="26"/>
  <c r="AU4" i="26"/>
  <c r="AS4" i="26"/>
  <c r="AQ4" i="26"/>
  <c r="BI3" i="26"/>
  <c r="BG3" i="26"/>
  <c r="BE3" i="26"/>
  <c r="BC3" i="26"/>
  <c r="BA3" i="26"/>
  <c r="AY3" i="26"/>
  <c r="AW3" i="26"/>
  <c r="AU3" i="26"/>
  <c r="AS3" i="26"/>
  <c r="AQ3" i="26"/>
  <c r="AO3" i="26"/>
  <c r="AK1" i="26"/>
  <c r="AJ1" i="26"/>
  <c r="AI1" i="26"/>
  <c r="AH1" i="26"/>
  <c r="AG1" i="26"/>
  <c r="AF1" i="26"/>
  <c r="AE1" i="26"/>
  <c r="AD1" i="26"/>
  <c r="AC1" i="26"/>
  <c r="AB1" i="26"/>
  <c r="AA1" i="26"/>
  <c r="Z1" i="26"/>
  <c r="AU1" i="26" l="1"/>
  <c r="D11" i="28" s="1"/>
  <c r="D14" i="28" s="1"/>
  <c r="BC1" i="26"/>
  <c r="E18" i="28" s="1"/>
  <c r="E21" i="28" s="1"/>
  <c r="AQ1" i="26"/>
  <c r="E4" i="28" s="1"/>
  <c r="E7" i="28" s="1"/>
  <c r="BG1" i="26"/>
  <c r="D25" i="28" s="1"/>
  <c r="D28" i="28" s="1"/>
  <c r="BI1" i="26"/>
  <c r="E25" i="28" s="1"/>
  <c r="E28" i="28" s="1"/>
  <c r="BA1" i="26"/>
  <c r="D18" i="28" s="1"/>
  <c r="D21" i="28" s="1"/>
  <c r="AY1" i="26"/>
  <c r="C18" i="28" s="1"/>
  <c r="AM1" i="26"/>
  <c r="C4" i="28" s="1"/>
  <c r="AS1" i="26"/>
  <c r="C11" i="28" s="1"/>
  <c r="AW1" i="26"/>
  <c r="E11" i="28" s="1"/>
  <c r="E14" i="28" s="1"/>
  <c r="AO1" i="26"/>
  <c r="D4" i="28" s="1"/>
  <c r="D7" i="28" s="1"/>
  <c r="BE1" i="26"/>
  <c r="C25" i="28" s="1"/>
  <c r="BH287" i="20"/>
  <c r="BH286" i="20"/>
  <c r="BH285" i="20"/>
  <c r="BH284" i="20"/>
  <c r="BH283" i="20"/>
  <c r="BH282" i="20"/>
  <c r="BH281" i="20"/>
  <c r="BH280" i="20"/>
  <c r="BH279" i="20"/>
  <c r="BH278" i="20"/>
  <c r="BH277" i="20"/>
  <c r="BH276" i="20"/>
  <c r="BH275" i="20"/>
  <c r="BH274" i="20"/>
  <c r="BH273" i="20"/>
  <c r="BH272" i="20"/>
  <c r="BH271" i="20"/>
  <c r="BH270" i="20"/>
  <c r="BH269" i="20"/>
  <c r="BH268" i="20"/>
  <c r="BH267" i="20"/>
  <c r="BH266" i="20"/>
  <c r="BH265" i="20"/>
  <c r="BH264" i="20"/>
  <c r="BH263" i="20"/>
  <c r="BH262" i="20"/>
  <c r="BH261" i="20"/>
  <c r="BH260" i="20"/>
  <c r="BH259" i="20"/>
  <c r="BH258" i="20"/>
  <c r="BH257" i="20"/>
  <c r="BH256" i="20"/>
  <c r="BH255" i="20"/>
  <c r="BH254" i="20"/>
  <c r="BH253" i="20"/>
  <c r="BH252" i="20"/>
  <c r="BH251" i="20"/>
  <c r="BH250" i="20"/>
  <c r="BH249" i="20"/>
  <c r="BH248" i="20"/>
  <c r="BH247" i="20"/>
  <c r="BH246" i="20"/>
  <c r="BH245" i="20"/>
  <c r="BH244" i="20"/>
  <c r="BH243" i="20"/>
  <c r="BH242" i="20"/>
  <c r="BH241" i="20"/>
  <c r="BH240" i="20"/>
  <c r="BH239" i="20"/>
  <c r="BH238" i="20"/>
  <c r="BH237" i="20"/>
  <c r="BH236" i="20"/>
  <c r="BH235" i="20"/>
  <c r="BH234" i="20"/>
  <c r="BH233" i="20"/>
  <c r="BH232" i="20"/>
  <c r="BH231" i="20"/>
  <c r="BH230" i="20"/>
  <c r="BH229" i="20"/>
  <c r="BH228" i="20"/>
  <c r="BH227" i="20"/>
  <c r="BH226" i="20"/>
  <c r="BH225" i="20"/>
  <c r="BH224" i="20"/>
  <c r="BH223" i="20"/>
  <c r="BH222" i="20"/>
  <c r="BH221" i="20"/>
  <c r="BH220" i="20"/>
  <c r="BH219" i="20"/>
  <c r="BH218" i="20"/>
  <c r="BH217" i="20"/>
  <c r="BH216" i="20"/>
  <c r="BH215" i="20"/>
  <c r="BH214" i="20"/>
  <c r="BH213" i="20"/>
  <c r="BH212" i="20"/>
  <c r="BH211" i="20"/>
  <c r="BH210" i="20"/>
  <c r="BH209" i="20"/>
  <c r="BH208" i="20"/>
  <c r="BH207" i="20"/>
  <c r="BH206" i="20"/>
  <c r="BH205" i="20"/>
  <c r="BH204" i="20"/>
  <c r="BH203" i="20"/>
  <c r="BH202" i="20"/>
  <c r="BH201" i="20"/>
  <c r="BH200" i="20"/>
  <c r="BH199" i="20"/>
  <c r="BH198" i="20"/>
  <c r="BH197" i="20"/>
  <c r="BH196" i="20"/>
  <c r="BH195" i="20"/>
  <c r="BH194" i="20"/>
  <c r="BH193" i="20"/>
  <c r="BH192" i="20"/>
  <c r="BH191" i="20"/>
  <c r="BH190" i="20"/>
  <c r="BH189" i="20"/>
  <c r="BH188" i="20"/>
  <c r="BH187" i="20"/>
  <c r="BH186" i="20"/>
  <c r="BH185" i="20"/>
  <c r="BH184" i="20"/>
  <c r="BH183" i="20"/>
  <c r="BH182" i="20"/>
  <c r="BH181" i="20"/>
  <c r="BH180" i="20"/>
  <c r="BH179" i="20"/>
  <c r="BH178" i="20"/>
  <c r="BH177" i="20"/>
  <c r="BH176" i="20"/>
  <c r="BH175" i="20"/>
  <c r="BH174" i="20"/>
  <c r="BH173" i="20"/>
  <c r="BH172" i="20"/>
  <c r="BH171" i="20"/>
  <c r="BH170" i="20"/>
  <c r="BH169" i="20"/>
  <c r="BH168" i="20"/>
  <c r="BH167" i="20"/>
  <c r="BH166" i="20"/>
  <c r="BH165" i="20"/>
  <c r="BH164" i="20"/>
  <c r="BH163" i="20"/>
  <c r="BH162" i="20"/>
  <c r="BH161" i="20"/>
  <c r="BH160" i="20"/>
  <c r="BH159" i="20"/>
  <c r="BH158" i="20"/>
  <c r="BH157" i="20"/>
  <c r="BH156" i="20"/>
  <c r="BH155" i="20"/>
  <c r="BH154" i="20"/>
  <c r="BH153" i="20"/>
  <c r="BH152" i="20"/>
  <c r="BH151" i="20"/>
  <c r="BH150" i="20"/>
  <c r="BH149" i="20"/>
  <c r="BH148" i="20"/>
  <c r="BH147" i="20"/>
  <c r="BH146" i="20"/>
  <c r="BH145" i="20"/>
  <c r="BH144" i="20"/>
  <c r="BH143" i="20"/>
  <c r="BH142" i="20"/>
  <c r="BH141" i="20"/>
  <c r="BH140" i="20"/>
  <c r="BH139" i="20"/>
  <c r="BH138" i="20"/>
  <c r="BH137" i="20"/>
  <c r="BH136" i="20"/>
  <c r="BH135" i="20"/>
  <c r="BH134" i="20"/>
  <c r="BH133" i="20"/>
  <c r="BH132" i="20"/>
  <c r="BH131" i="20"/>
  <c r="BH130" i="20"/>
  <c r="BH129" i="20"/>
  <c r="BH128" i="20"/>
  <c r="BH127" i="20"/>
  <c r="BH126" i="20"/>
  <c r="BH125" i="20"/>
  <c r="BH124" i="20"/>
  <c r="BH123" i="20"/>
  <c r="BH122" i="20"/>
  <c r="BH121" i="20"/>
  <c r="BH120" i="20"/>
  <c r="BH119" i="20"/>
  <c r="BH118" i="20"/>
  <c r="BH117" i="20"/>
  <c r="BH116" i="20"/>
  <c r="BH115" i="20"/>
  <c r="BH114" i="20"/>
  <c r="BH113" i="20"/>
  <c r="BH112" i="20"/>
  <c r="BH111" i="20"/>
  <c r="BH110" i="20"/>
  <c r="BH109" i="20"/>
  <c r="BH108" i="20"/>
  <c r="BH107" i="20"/>
  <c r="BH106" i="20"/>
  <c r="BH105" i="20"/>
  <c r="BH104" i="20"/>
  <c r="BH103" i="20"/>
  <c r="BH102" i="20"/>
  <c r="BH101" i="20"/>
  <c r="BH100" i="20"/>
  <c r="BH99" i="20"/>
  <c r="BH98" i="20"/>
  <c r="BH97" i="20"/>
  <c r="BH96" i="20"/>
  <c r="BH95" i="20"/>
  <c r="BH94" i="20"/>
  <c r="BH93" i="20"/>
  <c r="BH92" i="20"/>
  <c r="BH91" i="20"/>
  <c r="BH90" i="20"/>
  <c r="BH89" i="20"/>
  <c r="BH88" i="20"/>
  <c r="BH87" i="20"/>
  <c r="BH86" i="20"/>
  <c r="BH85" i="20"/>
  <c r="BH84" i="20"/>
  <c r="BH83" i="20"/>
  <c r="BH82" i="20"/>
  <c r="BH81" i="20"/>
  <c r="BH80" i="20"/>
  <c r="BH79" i="20"/>
  <c r="BH78" i="20"/>
  <c r="BH77" i="20"/>
  <c r="BH76" i="20"/>
  <c r="BH75" i="20"/>
  <c r="BH74" i="20"/>
  <c r="BH73" i="20"/>
  <c r="BH72" i="20"/>
  <c r="BH71" i="20"/>
  <c r="BH70" i="20"/>
  <c r="BH69" i="20"/>
  <c r="BH68" i="20"/>
  <c r="BH67" i="20"/>
  <c r="BH66" i="20"/>
  <c r="BH65" i="20"/>
  <c r="BH64" i="20"/>
  <c r="BH63" i="20"/>
  <c r="BH62" i="20"/>
  <c r="BH61" i="20"/>
  <c r="BH60" i="20"/>
  <c r="BH59" i="20"/>
  <c r="BH58" i="20"/>
  <c r="BH57" i="20"/>
  <c r="BH56" i="20"/>
  <c r="BH55" i="20"/>
  <c r="BH54" i="20"/>
  <c r="BH53" i="20"/>
  <c r="BH52" i="20"/>
  <c r="BH51" i="20"/>
  <c r="BH50" i="20"/>
  <c r="BH49" i="20"/>
  <c r="BH48" i="20"/>
  <c r="BH47" i="20"/>
  <c r="BH46" i="20"/>
  <c r="BH45" i="20"/>
  <c r="BH44" i="20"/>
  <c r="BH43" i="20"/>
  <c r="BH42" i="20"/>
  <c r="BH41" i="20"/>
  <c r="BH40" i="20"/>
  <c r="BH39" i="20"/>
  <c r="BH38" i="20"/>
  <c r="BH37" i="20"/>
  <c r="BH36" i="20"/>
  <c r="BH35" i="20"/>
  <c r="BH34" i="20"/>
  <c r="BH33" i="20"/>
  <c r="BH32" i="20"/>
  <c r="BH31" i="20"/>
  <c r="BH30" i="20"/>
  <c r="BH29" i="20"/>
  <c r="BH28" i="20"/>
  <c r="BH27" i="20"/>
  <c r="BH26" i="20"/>
  <c r="BH25" i="20"/>
  <c r="BH24" i="20"/>
  <c r="BH23" i="20"/>
  <c r="BH22" i="20"/>
  <c r="BH21" i="20"/>
  <c r="BH20" i="20"/>
  <c r="BH19" i="20"/>
  <c r="BH18" i="20"/>
  <c r="BH17" i="20"/>
  <c r="BH16" i="20"/>
  <c r="BH15" i="20"/>
  <c r="BH14" i="20"/>
  <c r="BH13" i="20"/>
  <c r="BH12" i="20"/>
  <c r="BH11" i="20"/>
  <c r="BH10" i="20"/>
  <c r="BH9" i="20"/>
  <c r="BH8" i="20"/>
  <c r="BH7" i="20"/>
  <c r="BH6" i="20"/>
  <c r="BH5" i="20"/>
  <c r="BH4" i="20"/>
  <c r="C28" i="28" l="1"/>
  <c r="F25" i="28"/>
  <c r="F28" i="28" s="1"/>
  <c r="F18" i="28"/>
  <c r="F21" i="28" s="1"/>
  <c r="C21" i="28"/>
  <c r="F11" i="28"/>
  <c r="F14" i="28" s="1"/>
  <c r="C14" i="28"/>
  <c r="C7" i="28"/>
  <c r="F4" i="28"/>
  <c r="F7" i="28" s="1"/>
  <c r="G149" i="21"/>
  <c r="G118" i="21" l="1"/>
  <c r="AJ1" i="20" l="1"/>
  <c r="G110" i="21" l="1"/>
  <c r="G111" i="21"/>
  <c r="G112" i="21"/>
  <c r="G113" i="21"/>
  <c r="G114" i="21"/>
  <c r="G115" i="21"/>
  <c r="G116" i="21"/>
  <c r="G117" i="21"/>
  <c r="BC242" i="20" l="1"/>
  <c r="AT42" i="20" l="1"/>
  <c r="AR42" i="20"/>
  <c r="AP42" i="20"/>
  <c r="AT41" i="20"/>
  <c r="AR41" i="20"/>
  <c r="AP41" i="20"/>
  <c r="AZ42" i="20"/>
  <c r="AX42" i="20"/>
  <c r="AV42" i="20"/>
  <c r="AZ41" i="20"/>
  <c r="AX41" i="20"/>
  <c r="AV41" i="20"/>
  <c r="BF42" i="20"/>
  <c r="BD42" i="20"/>
  <c r="BB42" i="20"/>
  <c r="BF41" i="20"/>
  <c r="BD41" i="20"/>
  <c r="BB41" i="20"/>
  <c r="BL42" i="20"/>
  <c r="BJ42" i="20"/>
  <c r="BL41" i="20"/>
  <c r="BJ41" i="20"/>
  <c r="BL236" i="20" l="1"/>
  <c r="BL237" i="20"/>
  <c r="BL238" i="20"/>
  <c r="BL239" i="20"/>
  <c r="BL240" i="20"/>
  <c r="BL241" i="20"/>
  <c r="BL242" i="20"/>
  <c r="BL243" i="20"/>
  <c r="BL244" i="20"/>
  <c r="BL245" i="20"/>
  <c r="BL246" i="20"/>
  <c r="BL247" i="20"/>
  <c r="BL248" i="20"/>
  <c r="BL249" i="20"/>
  <c r="BL250" i="20"/>
  <c r="BL251" i="20"/>
  <c r="BL252" i="20"/>
  <c r="BL253" i="20"/>
  <c r="BL254" i="20"/>
  <c r="BL255" i="20"/>
  <c r="BL256" i="20"/>
  <c r="BL257" i="20"/>
  <c r="BL258" i="20"/>
  <c r="BL259" i="20"/>
  <c r="BL260" i="20"/>
  <c r="BL261" i="20"/>
  <c r="BL262" i="20"/>
  <c r="BL263" i="20"/>
  <c r="BL264" i="20"/>
  <c r="BL265" i="20"/>
  <c r="BL266" i="20"/>
  <c r="BL267" i="20"/>
  <c r="BL268" i="20"/>
  <c r="BL233" i="20"/>
  <c r="BJ235" i="20"/>
  <c r="BJ236" i="20"/>
  <c r="BJ237" i="20"/>
  <c r="BJ238" i="20"/>
  <c r="BJ239" i="20"/>
  <c r="BJ240" i="20"/>
  <c r="BJ241" i="20"/>
  <c r="BJ242" i="20"/>
  <c r="BJ243" i="20"/>
  <c r="BJ244" i="20"/>
  <c r="BJ245" i="20"/>
  <c r="BJ246" i="20"/>
  <c r="BJ247" i="20"/>
  <c r="BJ248" i="20"/>
  <c r="BJ249" i="20"/>
  <c r="BJ250" i="20"/>
  <c r="BJ251" i="20"/>
  <c r="BJ252" i="20"/>
  <c r="BJ253" i="20"/>
  <c r="BJ254" i="20"/>
  <c r="BJ255" i="20"/>
  <c r="BJ256" i="20"/>
  <c r="BJ257" i="20"/>
  <c r="BJ258" i="20"/>
  <c r="BJ259" i="20"/>
  <c r="BJ260" i="20"/>
  <c r="BJ261" i="20"/>
  <c r="BJ262" i="20"/>
  <c r="BJ263" i="20"/>
  <c r="BJ264" i="20"/>
  <c r="BJ265" i="20"/>
  <c r="BJ266" i="20"/>
  <c r="BJ267" i="20"/>
  <c r="BJ268" i="20"/>
  <c r="BJ233" i="20"/>
  <c r="BF234" i="20"/>
  <c r="BF235" i="20"/>
  <c r="BF236" i="20"/>
  <c r="BF237" i="20"/>
  <c r="BF238" i="20"/>
  <c r="BF239" i="20"/>
  <c r="BF240" i="20"/>
  <c r="BF241" i="20"/>
  <c r="BF242" i="20"/>
  <c r="BF243" i="20"/>
  <c r="BF244" i="20"/>
  <c r="BF245" i="20"/>
  <c r="BF246" i="20"/>
  <c r="BF247" i="20"/>
  <c r="BF248" i="20"/>
  <c r="BF249" i="20"/>
  <c r="BF250" i="20"/>
  <c r="BF251" i="20"/>
  <c r="BF252" i="20"/>
  <c r="BF253" i="20"/>
  <c r="BF254" i="20"/>
  <c r="BF255" i="20"/>
  <c r="BF256" i="20"/>
  <c r="BF257" i="20"/>
  <c r="BF258" i="20"/>
  <c r="BF259" i="20"/>
  <c r="BF260" i="20"/>
  <c r="BF261" i="20"/>
  <c r="BF262" i="20"/>
  <c r="BF263" i="20"/>
  <c r="BF264" i="20"/>
  <c r="BF265" i="20"/>
  <c r="BF266" i="20"/>
  <c r="BF267" i="20"/>
  <c r="BF268" i="20"/>
  <c r="BF233" i="20"/>
  <c r="BD234" i="20"/>
  <c r="BD235" i="20"/>
  <c r="BD236" i="20"/>
  <c r="BD237" i="20"/>
  <c r="BD238" i="20"/>
  <c r="BD239" i="20"/>
  <c r="BD240" i="20"/>
  <c r="BD241" i="20"/>
  <c r="BD242" i="20"/>
  <c r="BD243" i="20"/>
  <c r="BD244" i="20"/>
  <c r="BD245" i="20"/>
  <c r="BD246" i="20"/>
  <c r="BD247" i="20"/>
  <c r="BD248" i="20"/>
  <c r="BD249" i="20"/>
  <c r="BD250" i="20"/>
  <c r="BD251" i="20"/>
  <c r="BD252" i="20"/>
  <c r="BD253" i="20"/>
  <c r="BD254" i="20"/>
  <c r="BD255" i="20"/>
  <c r="BD256" i="20"/>
  <c r="BD257" i="20"/>
  <c r="BD258" i="20"/>
  <c r="BD259" i="20"/>
  <c r="BD260" i="20"/>
  <c r="BD261" i="20"/>
  <c r="BD262" i="20"/>
  <c r="BD263" i="20"/>
  <c r="BD264" i="20"/>
  <c r="BD265" i="20"/>
  <c r="BD266" i="20"/>
  <c r="BD267" i="20"/>
  <c r="BD268" i="20"/>
  <c r="BD233" i="20"/>
  <c r="BB234" i="20"/>
  <c r="BB235" i="20"/>
  <c r="BB236" i="20"/>
  <c r="BB237" i="20"/>
  <c r="BB238" i="20"/>
  <c r="BB239" i="20"/>
  <c r="BB240" i="20"/>
  <c r="BB241" i="20"/>
  <c r="BB242" i="20"/>
  <c r="BB243" i="20"/>
  <c r="BB244" i="20"/>
  <c r="BB245" i="20"/>
  <c r="BB246" i="20"/>
  <c r="BB247" i="20"/>
  <c r="BB248" i="20"/>
  <c r="BB249" i="20"/>
  <c r="BB250" i="20"/>
  <c r="BB251" i="20"/>
  <c r="BB252" i="20"/>
  <c r="BB253" i="20"/>
  <c r="BB254" i="20"/>
  <c r="BB255" i="20"/>
  <c r="BB256" i="20"/>
  <c r="BB257" i="20"/>
  <c r="BB258" i="20"/>
  <c r="BB259" i="20"/>
  <c r="BB260" i="20"/>
  <c r="BB261" i="20"/>
  <c r="BB262" i="20"/>
  <c r="BB263" i="20"/>
  <c r="BB264" i="20"/>
  <c r="BB265" i="20"/>
  <c r="BB266" i="20"/>
  <c r="BB267" i="20"/>
  <c r="BB268" i="20"/>
  <c r="BB233" i="20"/>
  <c r="AZ234" i="20"/>
  <c r="AZ235" i="20"/>
  <c r="AZ236" i="20"/>
  <c r="AZ237" i="20"/>
  <c r="AZ238" i="20"/>
  <c r="AZ239" i="20"/>
  <c r="AZ240" i="20"/>
  <c r="AZ241" i="20"/>
  <c r="AZ242" i="20"/>
  <c r="AZ243" i="20"/>
  <c r="AZ244" i="20"/>
  <c r="AZ245" i="20"/>
  <c r="AZ246" i="20"/>
  <c r="AZ247" i="20"/>
  <c r="AZ248" i="20"/>
  <c r="AZ249" i="20"/>
  <c r="AZ250" i="20"/>
  <c r="AZ251" i="20"/>
  <c r="AZ252" i="20"/>
  <c r="AZ253" i="20"/>
  <c r="AZ254" i="20"/>
  <c r="AZ255" i="20"/>
  <c r="AZ256" i="20"/>
  <c r="AZ257" i="20"/>
  <c r="AZ258" i="20"/>
  <c r="AZ259" i="20"/>
  <c r="AZ260" i="20"/>
  <c r="AZ261" i="20"/>
  <c r="AZ262" i="20"/>
  <c r="AZ263" i="20"/>
  <c r="AZ264" i="20"/>
  <c r="AZ265" i="20"/>
  <c r="AZ266" i="20"/>
  <c r="AZ267" i="20"/>
  <c r="AZ268" i="20"/>
  <c r="AZ233" i="20"/>
  <c r="AX234" i="20"/>
  <c r="AX235" i="20"/>
  <c r="AX236" i="20"/>
  <c r="AX237" i="20"/>
  <c r="AX238" i="20"/>
  <c r="AX239" i="20"/>
  <c r="AX240" i="20"/>
  <c r="AX241" i="20"/>
  <c r="AX242" i="20"/>
  <c r="AX243" i="20"/>
  <c r="AX244" i="20"/>
  <c r="AX245" i="20"/>
  <c r="AX246" i="20"/>
  <c r="AX247" i="20"/>
  <c r="AX248" i="20"/>
  <c r="AX249" i="20"/>
  <c r="AX250" i="20"/>
  <c r="AX251" i="20"/>
  <c r="AX252" i="20"/>
  <c r="AX253" i="20"/>
  <c r="AX254" i="20"/>
  <c r="AX255" i="20"/>
  <c r="AX256" i="20"/>
  <c r="AX257" i="20"/>
  <c r="AX258" i="20"/>
  <c r="AX259" i="20"/>
  <c r="AX260" i="20"/>
  <c r="AX261" i="20"/>
  <c r="AX262" i="20"/>
  <c r="AX263" i="20"/>
  <c r="AX264" i="20"/>
  <c r="AX265" i="20"/>
  <c r="AX266" i="20"/>
  <c r="AX267" i="20"/>
  <c r="AX268" i="20"/>
  <c r="AX233" i="20"/>
  <c r="AV234" i="20"/>
  <c r="AV235" i="20"/>
  <c r="AV236" i="20"/>
  <c r="AV237" i="20"/>
  <c r="AV238" i="20"/>
  <c r="AV239" i="20"/>
  <c r="AV240" i="20"/>
  <c r="AV241" i="20"/>
  <c r="AV242" i="20"/>
  <c r="AV243" i="20"/>
  <c r="AV244" i="20"/>
  <c r="AV245" i="20"/>
  <c r="AV246" i="20"/>
  <c r="AV247" i="20"/>
  <c r="AV248" i="20"/>
  <c r="AV249" i="20"/>
  <c r="AV250" i="20"/>
  <c r="AV251" i="20"/>
  <c r="AV252" i="20"/>
  <c r="AV253" i="20"/>
  <c r="AV254" i="20"/>
  <c r="AV255" i="20"/>
  <c r="AV256" i="20"/>
  <c r="AV257" i="20"/>
  <c r="AV258" i="20"/>
  <c r="AV259" i="20"/>
  <c r="AV260" i="20"/>
  <c r="AV261" i="20"/>
  <c r="AV262" i="20"/>
  <c r="AV263" i="20"/>
  <c r="AV264" i="20"/>
  <c r="AV265" i="20"/>
  <c r="AV266" i="20"/>
  <c r="AV267" i="20"/>
  <c r="AV268" i="20"/>
  <c r="AV233" i="20"/>
  <c r="AT234" i="20"/>
  <c r="AT235" i="20"/>
  <c r="AT236" i="20"/>
  <c r="AT237" i="20"/>
  <c r="AT238" i="20"/>
  <c r="AT239" i="20"/>
  <c r="AT240" i="20"/>
  <c r="AT241" i="20"/>
  <c r="AT242" i="20"/>
  <c r="AT243" i="20"/>
  <c r="AT244" i="20"/>
  <c r="AT245" i="20"/>
  <c r="AT246" i="20"/>
  <c r="AT247" i="20"/>
  <c r="AT248" i="20"/>
  <c r="AT249" i="20"/>
  <c r="AT250" i="20"/>
  <c r="AT251" i="20"/>
  <c r="AT252" i="20"/>
  <c r="AT253" i="20"/>
  <c r="AT254" i="20"/>
  <c r="AT255" i="20"/>
  <c r="AT256" i="20"/>
  <c r="AT257" i="20"/>
  <c r="AT258" i="20"/>
  <c r="AT259" i="20"/>
  <c r="AT260" i="20"/>
  <c r="AT261" i="20"/>
  <c r="AT262" i="20"/>
  <c r="AT263" i="20"/>
  <c r="AT264" i="20"/>
  <c r="AT265" i="20"/>
  <c r="AT266" i="20"/>
  <c r="AT267" i="20"/>
  <c r="AT268" i="20"/>
  <c r="AT233" i="20"/>
  <c r="AR234" i="20"/>
  <c r="AR235" i="20"/>
  <c r="AR236" i="20"/>
  <c r="AR237" i="20"/>
  <c r="AR238" i="20"/>
  <c r="AR239" i="20"/>
  <c r="AR240" i="20"/>
  <c r="AR241" i="20"/>
  <c r="AR242" i="20"/>
  <c r="AR243" i="20"/>
  <c r="AR244" i="20"/>
  <c r="AR245" i="20"/>
  <c r="AR246" i="20"/>
  <c r="AR247" i="20"/>
  <c r="AR248" i="20"/>
  <c r="AR249" i="20"/>
  <c r="AR250" i="20"/>
  <c r="AR251" i="20"/>
  <c r="AR252" i="20"/>
  <c r="AR253" i="20"/>
  <c r="AR254" i="20"/>
  <c r="AR255" i="20"/>
  <c r="AR256" i="20"/>
  <c r="AR257" i="20"/>
  <c r="AR258" i="20"/>
  <c r="AR259" i="20"/>
  <c r="AR260" i="20"/>
  <c r="AR261" i="20"/>
  <c r="AR262" i="20"/>
  <c r="AR263" i="20"/>
  <c r="AR264" i="20"/>
  <c r="AR265" i="20"/>
  <c r="AR266" i="20"/>
  <c r="AR267" i="20"/>
  <c r="AR268" i="20"/>
  <c r="AR233" i="20"/>
  <c r="AP235" i="20"/>
  <c r="AP236" i="20"/>
  <c r="AP237" i="20"/>
  <c r="AP238" i="20"/>
  <c r="AP239" i="20"/>
  <c r="AP240" i="20"/>
  <c r="AP241" i="20"/>
  <c r="AP242" i="20"/>
  <c r="AP243" i="20"/>
  <c r="AP244" i="20"/>
  <c r="AP245" i="20"/>
  <c r="AP246" i="20"/>
  <c r="AP247" i="20"/>
  <c r="AP248" i="20"/>
  <c r="AP249" i="20"/>
  <c r="AP250" i="20"/>
  <c r="AP251" i="20"/>
  <c r="AP252" i="20"/>
  <c r="AP253" i="20"/>
  <c r="AP254" i="20"/>
  <c r="AP255" i="20"/>
  <c r="AP256" i="20"/>
  <c r="AP257" i="20"/>
  <c r="AP258" i="20"/>
  <c r="AP259" i="20"/>
  <c r="AP260" i="20"/>
  <c r="AP261" i="20"/>
  <c r="AP262" i="20"/>
  <c r="AP263" i="20"/>
  <c r="AP264" i="20"/>
  <c r="AP265" i="20"/>
  <c r="AP266" i="20"/>
  <c r="AP267" i="20"/>
  <c r="AP268" i="20"/>
  <c r="AP233" i="20"/>
  <c r="BL222" i="20"/>
  <c r="BL223" i="20"/>
  <c r="BL224" i="20"/>
  <c r="BL225" i="20"/>
  <c r="BL226" i="20"/>
  <c r="BL227" i="20"/>
  <c r="BL228" i="20"/>
  <c r="BL229" i="20"/>
  <c r="BL230" i="20"/>
  <c r="BJ222" i="20"/>
  <c r="BJ223" i="20"/>
  <c r="BJ224" i="20"/>
  <c r="BJ225" i="20"/>
  <c r="BJ226" i="20"/>
  <c r="BJ227" i="20"/>
  <c r="BJ228" i="20"/>
  <c r="BJ229" i="20"/>
  <c r="BJ230" i="20"/>
  <c r="BF222" i="20"/>
  <c r="BF223" i="20"/>
  <c r="BF224" i="20"/>
  <c r="BF225" i="20"/>
  <c r="BF226" i="20"/>
  <c r="BF227" i="20"/>
  <c r="BF228" i="20"/>
  <c r="BF229" i="20"/>
  <c r="BF230" i="20"/>
  <c r="BD222" i="20"/>
  <c r="BD223" i="20"/>
  <c r="BD224" i="20"/>
  <c r="BD225" i="20"/>
  <c r="BD226" i="20"/>
  <c r="BD227" i="20"/>
  <c r="BD228" i="20"/>
  <c r="BD229" i="20"/>
  <c r="BD230" i="20"/>
  <c r="BB222" i="20"/>
  <c r="BB223" i="20"/>
  <c r="BB224" i="20"/>
  <c r="BB225" i="20"/>
  <c r="BB226" i="20"/>
  <c r="BB227" i="20"/>
  <c r="BB228" i="20"/>
  <c r="BB229" i="20"/>
  <c r="BB230" i="20"/>
  <c r="AZ222" i="20"/>
  <c r="AZ223" i="20"/>
  <c r="AZ224" i="20"/>
  <c r="AZ225" i="20"/>
  <c r="AZ226" i="20"/>
  <c r="AZ227" i="20"/>
  <c r="AZ228" i="20"/>
  <c r="AZ229" i="20"/>
  <c r="AZ230" i="20"/>
  <c r="AX222" i="20"/>
  <c r="AX223" i="20"/>
  <c r="AX224" i="20"/>
  <c r="AX225" i="20"/>
  <c r="AX226" i="20"/>
  <c r="AX227" i="20"/>
  <c r="AX228" i="20"/>
  <c r="AX229" i="20"/>
  <c r="AX230" i="20"/>
  <c r="AV222" i="20"/>
  <c r="AV223" i="20"/>
  <c r="AV224" i="20"/>
  <c r="AV225" i="20"/>
  <c r="AV226" i="20"/>
  <c r="AV227" i="20"/>
  <c r="AV228" i="20"/>
  <c r="AV229" i="20"/>
  <c r="AV230" i="20"/>
  <c r="AT222" i="20"/>
  <c r="AT223" i="20"/>
  <c r="AT224" i="20"/>
  <c r="AT225" i="20"/>
  <c r="AT226" i="20"/>
  <c r="AT227" i="20"/>
  <c r="AT228" i="20"/>
  <c r="AT229" i="20"/>
  <c r="AT230" i="20"/>
  <c r="AR222" i="20"/>
  <c r="AR223" i="20"/>
  <c r="AR224" i="20"/>
  <c r="AR225" i="20"/>
  <c r="AR226" i="20"/>
  <c r="AR227" i="20"/>
  <c r="AR228" i="20"/>
  <c r="AR229" i="20"/>
  <c r="AR230" i="20"/>
  <c r="AP222" i="20"/>
  <c r="AP223" i="20"/>
  <c r="AP224" i="20"/>
  <c r="AP225" i="20"/>
  <c r="AP226" i="20"/>
  <c r="AP227" i="20"/>
  <c r="AP228" i="20"/>
  <c r="AP229" i="20"/>
  <c r="AP230" i="20"/>
  <c r="BL75" i="20"/>
  <c r="BL76" i="20"/>
  <c r="BL77" i="20"/>
  <c r="BL78" i="20"/>
  <c r="BL79" i="20"/>
  <c r="BL80" i="20"/>
  <c r="BL81" i="20"/>
  <c r="BL82" i="20"/>
  <c r="BL83" i="20"/>
  <c r="BL84" i="20"/>
  <c r="BL85" i="20"/>
  <c r="BL86" i="20"/>
  <c r="BL87" i="20"/>
  <c r="BL74" i="20"/>
  <c r="BJ75" i="20"/>
  <c r="BJ76" i="20"/>
  <c r="BJ77" i="20"/>
  <c r="BJ78" i="20"/>
  <c r="BJ79" i="20"/>
  <c r="BJ80" i="20"/>
  <c r="BJ81" i="20"/>
  <c r="BJ82" i="20"/>
  <c r="BJ83" i="20"/>
  <c r="BJ84" i="20"/>
  <c r="BJ85" i="20"/>
  <c r="BJ86" i="20"/>
  <c r="BJ87" i="20"/>
  <c r="BJ74" i="20"/>
  <c r="BF75" i="20"/>
  <c r="BF76" i="20"/>
  <c r="BF77" i="20"/>
  <c r="BF78" i="20"/>
  <c r="BF79" i="20"/>
  <c r="BF80" i="20"/>
  <c r="BF81" i="20"/>
  <c r="BF82" i="20"/>
  <c r="BF83" i="20"/>
  <c r="BF84" i="20"/>
  <c r="BF85" i="20"/>
  <c r="BF86" i="20"/>
  <c r="BF87" i="20"/>
  <c r="BF74" i="20"/>
  <c r="BD88" i="20"/>
  <c r="BD87" i="20"/>
  <c r="BD86" i="20"/>
  <c r="BD85" i="20"/>
  <c r="BD84" i="20"/>
  <c r="BD83" i="20"/>
  <c r="BD82" i="20"/>
  <c r="BD81" i="20"/>
  <c r="BD80" i="20"/>
  <c r="BD79" i="20"/>
  <c r="BD78" i="20"/>
  <c r="BD77" i="20"/>
  <c r="BD75" i="20"/>
  <c r="BD74" i="20"/>
  <c r="BB88" i="20"/>
  <c r="BB87" i="20"/>
  <c r="BB86" i="20"/>
  <c r="BB85" i="20"/>
  <c r="BB84" i="20"/>
  <c r="BB83" i="20"/>
  <c r="BB82" i="20"/>
  <c r="BB81" i="20"/>
  <c r="BB80" i="20"/>
  <c r="BB79" i="20"/>
  <c r="BB78" i="20"/>
  <c r="BB77" i="20"/>
  <c r="BB76" i="20"/>
  <c r="BB75" i="20"/>
  <c r="BB74" i="20"/>
  <c r="AZ88" i="20"/>
  <c r="AZ87" i="20"/>
  <c r="AZ86" i="20"/>
  <c r="AZ85" i="20"/>
  <c r="AZ84" i="20"/>
  <c r="AZ83" i="20"/>
  <c r="AZ82" i="20"/>
  <c r="AZ81" i="20"/>
  <c r="AZ80" i="20"/>
  <c r="AZ79" i="20"/>
  <c r="AZ78" i="20"/>
  <c r="AZ77" i="20"/>
  <c r="AZ76" i="20"/>
  <c r="AZ75" i="20"/>
  <c r="AZ74" i="20"/>
  <c r="AX88" i="20"/>
  <c r="AX87" i="20"/>
  <c r="AX86" i="20"/>
  <c r="AX85" i="20"/>
  <c r="AX84" i="20"/>
  <c r="AX83" i="20"/>
  <c r="AX82" i="20"/>
  <c r="AX81" i="20"/>
  <c r="AX80" i="20"/>
  <c r="AX79" i="20"/>
  <c r="AX78" i="20"/>
  <c r="AX77" i="20"/>
  <c r="AX76" i="20"/>
  <c r="AX75" i="20"/>
  <c r="AX74" i="20"/>
  <c r="AV88" i="20"/>
  <c r="AV87" i="20"/>
  <c r="AV86" i="20"/>
  <c r="AV85" i="20"/>
  <c r="AV84" i="20"/>
  <c r="AV83" i="20"/>
  <c r="AV82" i="20"/>
  <c r="AV81" i="20"/>
  <c r="AV80" i="20"/>
  <c r="AV79" i="20"/>
  <c r="AV78" i="20"/>
  <c r="AV77" i="20"/>
  <c r="AV76" i="20"/>
  <c r="AV75" i="20"/>
  <c r="AV74" i="20"/>
  <c r="AT88" i="20"/>
  <c r="AT87" i="20"/>
  <c r="AT86" i="20"/>
  <c r="AT85" i="20"/>
  <c r="AT84" i="20"/>
  <c r="AT83" i="20"/>
  <c r="AT82" i="20"/>
  <c r="AT81" i="20"/>
  <c r="AT80" i="20"/>
  <c r="AT79" i="20"/>
  <c r="AT78" i="20"/>
  <c r="AT77" i="20"/>
  <c r="AT76" i="20"/>
  <c r="AT75" i="20"/>
  <c r="AT74" i="20"/>
  <c r="AR88" i="20"/>
  <c r="AR87" i="20"/>
  <c r="AR86" i="20"/>
  <c r="AR85" i="20"/>
  <c r="AR84" i="20"/>
  <c r="AR83" i="20"/>
  <c r="AR82" i="20"/>
  <c r="AR81" i="20"/>
  <c r="AR80" i="20"/>
  <c r="AR79" i="20"/>
  <c r="AR78" i="20"/>
  <c r="AR77" i="20"/>
  <c r="AR76" i="20"/>
  <c r="AR75" i="20"/>
  <c r="AR74" i="20"/>
  <c r="AP87" i="20"/>
  <c r="AP86" i="20"/>
  <c r="AP85" i="20"/>
  <c r="AP84" i="20"/>
  <c r="AP83" i="20"/>
  <c r="AP82" i="20"/>
  <c r="AP81" i="20"/>
  <c r="AP80" i="20"/>
  <c r="AP79" i="20"/>
  <c r="AP78" i="20"/>
  <c r="AP77" i="20"/>
  <c r="AP76" i="20"/>
  <c r="AP75" i="20"/>
  <c r="AP74" i="20"/>
  <c r="AZ8" i="20"/>
  <c r="AZ9" i="20"/>
  <c r="AZ10" i="20"/>
  <c r="AZ11" i="20"/>
  <c r="AZ12" i="20"/>
  <c r="AZ13" i="20"/>
  <c r="AZ14" i="20"/>
  <c r="AZ15" i="20"/>
  <c r="AZ16" i="20"/>
  <c r="AZ17" i="20"/>
  <c r="AZ18" i="20"/>
  <c r="AZ19" i="20"/>
  <c r="AZ20" i="20"/>
  <c r="AZ21" i="20"/>
  <c r="AZ22" i="20"/>
  <c r="AZ23" i="20"/>
  <c r="AZ24" i="20"/>
  <c r="AZ25" i="20"/>
  <c r="AZ26" i="20"/>
  <c r="AZ27" i="20"/>
  <c r="AZ28" i="20"/>
  <c r="AZ29" i="20"/>
  <c r="AZ30" i="20"/>
  <c r="AZ31" i="20"/>
  <c r="AZ32" i="20"/>
  <c r="AZ33" i="20"/>
  <c r="AZ34" i="20"/>
  <c r="AZ35" i="20"/>
  <c r="AZ36" i="20"/>
  <c r="AZ37" i="20"/>
  <c r="AZ38" i="20"/>
  <c r="AZ39" i="20"/>
  <c r="AZ40" i="20"/>
  <c r="AZ43" i="20"/>
  <c r="AZ44" i="20"/>
  <c r="AZ45" i="20"/>
  <c r="AZ46" i="20"/>
  <c r="AZ47" i="20"/>
  <c r="AZ48" i="20"/>
  <c r="AZ49" i="20"/>
  <c r="AZ50" i="20"/>
  <c r="AZ51" i="20"/>
  <c r="AZ52" i="20"/>
  <c r="AZ53" i="20"/>
  <c r="AZ54" i="20"/>
  <c r="AZ55" i="20"/>
  <c r="AZ56" i="20"/>
  <c r="AZ57" i="20"/>
  <c r="AZ58" i="20"/>
  <c r="AZ59" i="20"/>
  <c r="AZ60" i="20"/>
  <c r="AZ61" i="20"/>
  <c r="AZ62" i="20"/>
  <c r="AZ63" i="20"/>
  <c r="AZ64" i="20"/>
  <c r="AZ65" i="20"/>
  <c r="AZ66" i="20"/>
  <c r="AZ67" i="20"/>
  <c r="AZ68" i="20"/>
  <c r="AZ69" i="20"/>
  <c r="AZ70" i="20"/>
  <c r="AZ71" i="20"/>
  <c r="AX9" i="20"/>
  <c r="AX10" i="20"/>
  <c r="AX11" i="20"/>
  <c r="AX12" i="20"/>
  <c r="AX13" i="20"/>
  <c r="AX14" i="20"/>
  <c r="AX15" i="20"/>
  <c r="AX16" i="20"/>
  <c r="AX17" i="20"/>
  <c r="AX18" i="20"/>
  <c r="AX19" i="20"/>
  <c r="AX20" i="20"/>
  <c r="AX21" i="20"/>
  <c r="AX22" i="20"/>
  <c r="AX23" i="20"/>
  <c r="AX24" i="20"/>
  <c r="AX25" i="20"/>
  <c r="AX26" i="20"/>
  <c r="AX27" i="20"/>
  <c r="AX28" i="20"/>
  <c r="AX29" i="20"/>
  <c r="AX30" i="20"/>
  <c r="AX31" i="20"/>
  <c r="AX32" i="20"/>
  <c r="AX33" i="20"/>
  <c r="AX34" i="20"/>
  <c r="AX35" i="20"/>
  <c r="AX36" i="20"/>
  <c r="AX37" i="20"/>
  <c r="AX38" i="20"/>
  <c r="AX39" i="20"/>
  <c r="AX40" i="20"/>
  <c r="AX43" i="20"/>
  <c r="AX44" i="20"/>
  <c r="AX45" i="20"/>
  <c r="AX46" i="20"/>
  <c r="AX47" i="20"/>
  <c r="AX48" i="20"/>
  <c r="AX49" i="20"/>
  <c r="AX50" i="20"/>
  <c r="AX51" i="20"/>
  <c r="AX52" i="20"/>
  <c r="AX53" i="20"/>
  <c r="AX54" i="20"/>
  <c r="AX55" i="20"/>
  <c r="AX56" i="20"/>
  <c r="AX57" i="20"/>
  <c r="AX58" i="20"/>
  <c r="AX59" i="20"/>
  <c r="AX60" i="20"/>
  <c r="AX61" i="20"/>
  <c r="AX62" i="20"/>
  <c r="AX63" i="20"/>
  <c r="AX64" i="20"/>
  <c r="AX65" i="20"/>
  <c r="AX66" i="20"/>
  <c r="AX67" i="20"/>
  <c r="AX68" i="20"/>
  <c r="AX69" i="20"/>
  <c r="AX70" i="20"/>
  <c r="AX71" i="20"/>
  <c r="AV8" i="20"/>
  <c r="AV9" i="20"/>
  <c r="AV10" i="20"/>
  <c r="AV11" i="20"/>
  <c r="AV12" i="20"/>
  <c r="AV13" i="20"/>
  <c r="AV14" i="20"/>
  <c r="AV15" i="20"/>
  <c r="AV16" i="20"/>
  <c r="AV17" i="20"/>
  <c r="AV18" i="20"/>
  <c r="AV19" i="20"/>
  <c r="AV20" i="20"/>
  <c r="AV21" i="20"/>
  <c r="AV22" i="20"/>
  <c r="AV23" i="20"/>
  <c r="AV24" i="20"/>
  <c r="AV25" i="20"/>
  <c r="AV26" i="20"/>
  <c r="AV27" i="20"/>
  <c r="AV28" i="20"/>
  <c r="AV29" i="20"/>
  <c r="AV30" i="20"/>
  <c r="AV31" i="20"/>
  <c r="AV32" i="20"/>
  <c r="AV33" i="20"/>
  <c r="AV34" i="20"/>
  <c r="AV35" i="20"/>
  <c r="AV36" i="20"/>
  <c r="AV37" i="20"/>
  <c r="AV38" i="20"/>
  <c r="AV39" i="20"/>
  <c r="AV40" i="20"/>
  <c r="AV43" i="20"/>
  <c r="AV44" i="20"/>
  <c r="AV45" i="20"/>
  <c r="AV46" i="20"/>
  <c r="AV47" i="20"/>
  <c r="AV48" i="20"/>
  <c r="AV49" i="20"/>
  <c r="AV50" i="20"/>
  <c r="AV51" i="20"/>
  <c r="AV52" i="20"/>
  <c r="AV53" i="20"/>
  <c r="AV54" i="20"/>
  <c r="AV55" i="20"/>
  <c r="AV56" i="20"/>
  <c r="AV57" i="20"/>
  <c r="AV58" i="20"/>
  <c r="AV59" i="20"/>
  <c r="AV60" i="20"/>
  <c r="AV61" i="20"/>
  <c r="AV62" i="20"/>
  <c r="AV63" i="20"/>
  <c r="AV64" i="20"/>
  <c r="AV65" i="20"/>
  <c r="AV66" i="20"/>
  <c r="AV67" i="20"/>
  <c r="AV68" i="20"/>
  <c r="AV69" i="20"/>
  <c r="AV70" i="20"/>
  <c r="AV71" i="20"/>
  <c r="AT9" i="20"/>
  <c r="AT10" i="20"/>
  <c r="AT11" i="20"/>
  <c r="AT12" i="20"/>
  <c r="AT13" i="20"/>
  <c r="AT14" i="20"/>
  <c r="AT15" i="20"/>
  <c r="AT16" i="20"/>
  <c r="AT17" i="20"/>
  <c r="AT18" i="20"/>
  <c r="AT19" i="20"/>
  <c r="AT20" i="20"/>
  <c r="AT21" i="20"/>
  <c r="AT22" i="20"/>
  <c r="AT23" i="20"/>
  <c r="AT24" i="20"/>
  <c r="AT25" i="20"/>
  <c r="AT26" i="20"/>
  <c r="AT27" i="20"/>
  <c r="AT28" i="20"/>
  <c r="AT29" i="20"/>
  <c r="AT30" i="20"/>
  <c r="AT31" i="20"/>
  <c r="AT32" i="20"/>
  <c r="AT33" i="20"/>
  <c r="AT34" i="20"/>
  <c r="AT35" i="20"/>
  <c r="AT36" i="20"/>
  <c r="AT37" i="20"/>
  <c r="AT38" i="20"/>
  <c r="AT39" i="20"/>
  <c r="AT40" i="20"/>
  <c r="AT43" i="20"/>
  <c r="AT44" i="20"/>
  <c r="AT45" i="20"/>
  <c r="AT46" i="20"/>
  <c r="AT47" i="20"/>
  <c r="AT48" i="20"/>
  <c r="AT49" i="20"/>
  <c r="AT50" i="20"/>
  <c r="AT51" i="20"/>
  <c r="AT52" i="20"/>
  <c r="AT53" i="20"/>
  <c r="AT54" i="20"/>
  <c r="AT55" i="20"/>
  <c r="AT56" i="20"/>
  <c r="AT57" i="20"/>
  <c r="AT58" i="20"/>
  <c r="AT59" i="20"/>
  <c r="AT60" i="20"/>
  <c r="AT61" i="20"/>
  <c r="AT62" i="20"/>
  <c r="AT63" i="20"/>
  <c r="AT64" i="20"/>
  <c r="AT65" i="20"/>
  <c r="AT66" i="20"/>
  <c r="AT67" i="20"/>
  <c r="AT68" i="20"/>
  <c r="AT69" i="20"/>
  <c r="AT70" i="20"/>
  <c r="AT71" i="20"/>
  <c r="AR7" i="20"/>
  <c r="AR8" i="20"/>
  <c r="AR9" i="20"/>
  <c r="AR10" i="20"/>
  <c r="AR11" i="20"/>
  <c r="AR12" i="20"/>
  <c r="AR13" i="20"/>
  <c r="AR14" i="20"/>
  <c r="AR15" i="20"/>
  <c r="AR16" i="20"/>
  <c r="AR17" i="20"/>
  <c r="AR18" i="20"/>
  <c r="AR19" i="20"/>
  <c r="AR20" i="20"/>
  <c r="AR21" i="20"/>
  <c r="AR22" i="20"/>
  <c r="AR23" i="20"/>
  <c r="AR24" i="20"/>
  <c r="AR25" i="20"/>
  <c r="AR26" i="20"/>
  <c r="AR27" i="20"/>
  <c r="AR28" i="20"/>
  <c r="AR29" i="20"/>
  <c r="AR30" i="20"/>
  <c r="AR31" i="20"/>
  <c r="AR32" i="20"/>
  <c r="AR33" i="20"/>
  <c r="AR34" i="20"/>
  <c r="AR35" i="20"/>
  <c r="AR36" i="20"/>
  <c r="AR37" i="20"/>
  <c r="AR38" i="20"/>
  <c r="AR39" i="20"/>
  <c r="AR40" i="20"/>
  <c r="AR43" i="20"/>
  <c r="AR44" i="20"/>
  <c r="AR45" i="20"/>
  <c r="AR46" i="20"/>
  <c r="AR47" i="20"/>
  <c r="AR48" i="20"/>
  <c r="AR49" i="20"/>
  <c r="AR50" i="20"/>
  <c r="AR51" i="20"/>
  <c r="AR52" i="20"/>
  <c r="AR53" i="20"/>
  <c r="AR54" i="20"/>
  <c r="AR55" i="20"/>
  <c r="AR56" i="20"/>
  <c r="AR57" i="20"/>
  <c r="AR58" i="20"/>
  <c r="AR59" i="20"/>
  <c r="AR60" i="20"/>
  <c r="AR61" i="20"/>
  <c r="AR62" i="20"/>
  <c r="AR63" i="20"/>
  <c r="AR64" i="20"/>
  <c r="AR65" i="20"/>
  <c r="AR66" i="20"/>
  <c r="AR67" i="20"/>
  <c r="AR68" i="20"/>
  <c r="AR69" i="20"/>
  <c r="AR70" i="20"/>
  <c r="AR71" i="20"/>
  <c r="AP11" i="20"/>
  <c r="AP12" i="20"/>
  <c r="AP13" i="20"/>
  <c r="AP14" i="20"/>
  <c r="AP15" i="20"/>
  <c r="AP16" i="20"/>
  <c r="AP17" i="20"/>
  <c r="AP18" i="20"/>
  <c r="AP19" i="20"/>
  <c r="AP20" i="20"/>
  <c r="AP21" i="20"/>
  <c r="AP22" i="20"/>
  <c r="AP23" i="20"/>
  <c r="AP24" i="20"/>
  <c r="AP25" i="20"/>
  <c r="AP26" i="20"/>
  <c r="AP27" i="20"/>
  <c r="AP28" i="20"/>
  <c r="AP29" i="20"/>
  <c r="AP30" i="20"/>
  <c r="AP31" i="20"/>
  <c r="AP32" i="20"/>
  <c r="AP33" i="20"/>
  <c r="AP34" i="20"/>
  <c r="AP35" i="20"/>
  <c r="AP36" i="20"/>
  <c r="AP37" i="20"/>
  <c r="AP38" i="20"/>
  <c r="AP39" i="20"/>
  <c r="AP40" i="20"/>
  <c r="AP43" i="20"/>
  <c r="AP44" i="20"/>
  <c r="AP45" i="20"/>
  <c r="AP46" i="20"/>
  <c r="AP47" i="20"/>
  <c r="AP48" i="20"/>
  <c r="AP49" i="20"/>
  <c r="AP50" i="20"/>
  <c r="AP51" i="20"/>
  <c r="AP52" i="20"/>
  <c r="AP53" i="20"/>
  <c r="AP54" i="20"/>
  <c r="AP55" i="20"/>
  <c r="AP56" i="20"/>
  <c r="AP57" i="20"/>
  <c r="AP58" i="20"/>
  <c r="AP59" i="20"/>
  <c r="AP60" i="20"/>
  <c r="AP61" i="20"/>
  <c r="AP62" i="20"/>
  <c r="AP63" i="20"/>
  <c r="AP64" i="20"/>
  <c r="AP65" i="20"/>
  <c r="AP66" i="20"/>
  <c r="AP67" i="20"/>
  <c r="AP68" i="20"/>
  <c r="AP69" i="20"/>
  <c r="AP70" i="20"/>
  <c r="AP71" i="20"/>
  <c r="BL7" i="20"/>
  <c r="BL8" i="20"/>
  <c r="BL9" i="20"/>
  <c r="BL10" i="20"/>
  <c r="BL11" i="20"/>
  <c r="BL12" i="20"/>
  <c r="BL13" i="20"/>
  <c r="BL14" i="20"/>
  <c r="BL15" i="20"/>
  <c r="BL16" i="20"/>
  <c r="BL17" i="20"/>
  <c r="BL19" i="20"/>
  <c r="BL20" i="20"/>
  <c r="BL21" i="20"/>
  <c r="BL22" i="20"/>
  <c r="BL23" i="20"/>
  <c r="BL24" i="20"/>
  <c r="BL25" i="20"/>
  <c r="BL26" i="20"/>
  <c r="BL27" i="20"/>
  <c r="BL28" i="20"/>
  <c r="BL29" i="20"/>
  <c r="BL30" i="20"/>
  <c r="BL31" i="20"/>
  <c r="BL32" i="20"/>
  <c r="BL33" i="20"/>
  <c r="BL34" i="20"/>
  <c r="BL35" i="20"/>
  <c r="BL36" i="20"/>
  <c r="BL37" i="20"/>
  <c r="BL38" i="20"/>
  <c r="BL39" i="20"/>
  <c r="BL40" i="20"/>
  <c r="BL43" i="20"/>
  <c r="BL44" i="20"/>
  <c r="BL45" i="20"/>
  <c r="BL46" i="20"/>
  <c r="BL47" i="20"/>
  <c r="BL48" i="20"/>
  <c r="BL49" i="20"/>
  <c r="BL50" i="20"/>
  <c r="BL51" i="20"/>
  <c r="BL52" i="20"/>
  <c r="BL53" i="20"/>
  <c r="BL54" i="20"/>
  <c r="BL55" i="20"/>
  <c r="BL56" i="20"/>
  <c r="BL57" i="20"/>
  <c r="BL58" i="20"/>
  <c r="BL59" i="20"/>
  <c r="BL60" i="20"/>
  <c r="BL61" i="20"/>
  <c r="BL62" i="20"/>
  <c r="BL63" i="20"/>
  <c r="BL64" i="20"/>
  <c r="BL65" i="20"/>
  <c r="BL66" i="20"/>
  <c r="BL67" i="20"/>
  <c r="BL68" i="20"/>
  <c r="BL69" i="20"/>
  <c r="BL70" i="20"/>
  <c r="BL71" i="20"/>
  <c r="BJ7" i="20"/>
  <c r="BJ8" i="20"/>
  <c r="BJ9" i="20"/>
  <c r="BJ10" i="20"/>
  <c r="BJ11" i="20"/>
  <c r="BJ12" i="20"/>
  <c r="BJ13" i="20"/>
  <c r="BJ14" i="20"/>
  <c r="BJ15" i="20"/>
  <c r="BJ16" i="20"/>
  <c r="BJ17" i="20"/>
  <c r="BJ18" i="20"/>
  <c r="BJ19" i="20"/>
  <c r="BJ20" i="20"/>
  <c r="BJ21" i="20"/>
  <c r="BJ22" i="20"/>
  <c r="BJ23" i="20"/>
  <c r="BJ24" i="20"/>
  <c r="BJ25" i="20"/>
  <c r="BJ26" i="20"/>
  <c r="BJ27" i="20"/>
  <c r="BJ28" i="20"/>
  <c r="BJ29" i="20"/>
  <c r="BJ30" i="20"/>
  <c r="BJ31" i="20"/>
  <c r="BJ32" i="20"/>
  <c r="BJ33" i="20"/>
  <c r="BJ34" i="20"/>
  <c r="BJ35" i="20"/>
  <c r="BJ36" i="20"/>
  <c r="BJ37" i="20"/>
  <c r="BJ38" i="20"/>
  <c r="BJ39" i="20"/>
  <c r="BJ40" i="20"/>
  <c r="BJ43" i="20"/>
  <c r="BJ44" i="20"/>
  <c r="BJ45" i="20"/>
  <c r="BJ46" i="20"/>
  <c r="BJ47" i="20"/>
  <c r="BJ48" i="20"/>
  <c r="BJ49" i="20"/>
  <c r="BJ50" i="20"/>
  <c r="BJ51" i="20"/>
  <c r="BJ52" i="20"/>
  <c r="BJ53" i="20"/>
  <c r="BJ54" i="20"/>
  <c r="BJ55" i="20"/>
  <c r="BJ56" i="20"/>
  <c r="BJ57" i="20"/>
  <c r="BJ58" i="20"/>
  <c r="BJ59" i="20"/>
  <c r="BJ60" i="20"/>
  <c r="BJ61" i="20"/>
  <c r="BJ62" i="20"/>
  <c r="BJ63" i="20"/>
  <c r="BJ64" i="20"/>
  <c r="BJ65" i="20"/>
  <c r="BJ66" i="20"/>
  <c r="BJ67" i="20"/>
  <c r="BJ68" i="20"/>
  <c r="BJ69" i="20"/>
  <c r="BJ70" i="20"/>
  <c r="BJ71" i="20"/>
  <c r="BF10" i="20"/>
  <c r="BF11" i="20"/>
  <c r="BF12" i="20"/>
  <c r="BF13" i="20"/>
  <c r="BF14" i="20"/>
  <c r="BF15" i="20"/>
  <c r="BF16" i="20"/>
  <c r="BF17" i="20"/>
  <c r="BF18" i="20"/>
  <c r="BF19" i="20"/>
  <c r="BF20" i="20"/>
  <c r="BF21" i="20"/>
  <c r="BF22" i="20"/>
  <c r="BF23" i="20"/>
  <c r="BF24" i="20"/>
  <c r="BF25" i="20"/>
  <c r="BF26" i="20"/>
  <c r="BF27" i="20"/>
  <c r="BF28" i="20"/>
  <c r="BF29" i="20"/>
  <c r="BF30" i="20"/>
  <c r="BF31" i="20"/>
  <c r="BF32" i="20"/>
  <c r="BF33" i="20"/>
  <c r="BF34" i="20"/>
  <c r="BF35" i="20"/>
  <c r="BF36" i="20"/>
  <c r="BF37" i="20"/>
  <c r="BF38" i="20"/>
  <c r="BF39" i="20"/>
  <c r="BF40" i="20"/>
  <c r="BF43" i="20"/>
  <c r="BF44" i="20"/>
  <c r="BF45" i="20"/>
  <c r="BF46" i="20"/>
  <c r="BF47" i="20"/>
  <c r="BF48" i="20"/>
  <c r="BF49" i="20"/>
  <c r="BF50" i="20"/>
  <c r="BF51" i="20"/>
  <c r="BF52" i="20"/>
  <c r="BF53" i="20"/>
  <c r="BF54" i="20"/>
  <c r="BF55" i="20"/>
  <c r="BF56" i="20"/>
  <c r="BF57" i="20"/>
  <c r="BF58" i="20"/>
  <c r="BF59" i="20"/>
  <c r="BF60" i="20"/>
  <c r="BF61" i="20"/>
  <c r="BF62" i="20"/>
  <c r="BF63" i="20"/>
  <c r="BF64" i="20"/>
  <c r="BF65" i="20"/>
  <c r="BF66" i="20"/>
  <c r="BF67" i="20"/>
  <c r="BF68" i="20"/>
  <c r="BF69" i="20"/>
  <c r="BF70" i="20"/>
  <c r="BF71" i="20"/>
  <c r="BD10" i="20"/>
  <c r="BD11" i="20"/>
  <c r="BD12" i="20"/>
  <c r="BD13" i="20"/>
  <c r="BD14" i="20"/>
  <c r="BD15" i="20"/>
  <c r="BD16" i="20"/>
  <c r="BD17" i="20"/>
  <c r="BD18" i="20"/>
  <c r="BD19" i="20"/>
  <c r="BD20" i="20"/>
  <c r="BD21" i="20"/>
  <c r="BD22" i="20"/>
  <c r="BD23" i="20"/>
  <c r="BD24" i="20"/>
  <c r="BD25" i="20"/>
  <c r="BD26" i="20"/>
  <c r="BD27" i="20"/>
  <c r="BD28" i="20"/>
  <c r="BD29" i="20"/>
  <c r="BD30" i="20"/>
  <c r="BD31" i="20"/>
  <c r="BD32" i="20"/>
  <c r="BD33" i="20"/>
  <c r="BD34" i="20"/>
  <c r="BD35" i="20"/>
  <c r="BD36" i="20"/>
  <c r="BD37" i="20"/>
  <c r="BD38" i="20"/>
  <c r="BD39" i="20"/>
  <c r="BD40" i="20"/>
  <c r="BD43" i="20"/>
  <c r="BD44" i="20"/>
  <c r="BD45" i="20"/>
  <c r="BD46" i="20"/>
  <c r="BD47" i="20"/>
  <c r="BD48" i="20"/>
  <c r="BD49" i="20"/>
  <c r="BD50" i="20"/>
  <c r="BD51" i="20"/>
  <c r="BD52" i="20"/>
  <c r="BD53" i="20"/>
  <c r="BD54" i="20"/>
  <c r="BD55" i="20"/>
  <c r="BD56" i="20"/>
  <c r="BD57" i="20"/>
  <c r="BD58" i="20"/>
  <c r="BD59" i="20"/>
  <c r="BD60" i="20"/>
  <c r="BD61" i="20"/>
  <c r="BD62" i="20"/>
  <c r="BD63" i="20"/>
  <c r="BD64" i="20"/>
  <c r="BD65" i="20"/>
  <c r="BD66" i="20"/>
  <c r="BD67" i="20"/>
  <c r="BD68" i="20"/>
  <c r="BD69" i="20"/>
  <c r="BD70" i="20"/>
  <c r="BD71" i="20"/>
  <c r="BB10" i="20"/>
  <c r="BB11" i="20"/>
  <c r="BB12" i="20"/>
  <c r="BB13" i="20"/>
  <c r="BB14" i="20"/>
  <c r="BB15" i="20"/>
  <c r="BB16" i="20"/>
  <c r="BB17" i="20"/>
  <c r="BB18" i="20"/>
  <c r="BB19" i="20"/>
  <c r="BB20" i="20"/>
  <c r="BB21" i="20"/>
  <c r="BB22" i="20"/>
  <c r="BB23" i="20"/>
  <c r="BB24" i="20"/>
  <c r="BB25" i="20"/>
  <c r="BB26" i="20"/>
  <c r="BB27" i="20"/>
  <c r="BB28" i="20"/>
  <c r="BB29" i="20"/>
  <c r="BB30" i="20"/>
  <c r="BB31" i="20"/>
  <c r="BB33" i="20"/>
  <c r="BB34" i="20"/>
  <c r="BB35" i="20"/>
  <c r="BB36" i="20"/>
  <c r="BB37" i="20"/>
  <c r="BB38" i="20"/>
  <c r="BB39" i="20"/>
  <c r="BB40" i="20"/>
  <c r="BB43" i="20"/>
  <c r="BB44" i="20"/>
  <c r="BB45" i="20"/>
  <c r="BB46" i="20"/>
  <c r="BB47" i="20"/>
  <c r="BB48" i="20"/>
  <c r="BB49" i="20"/>
  <c r="BB50" i="20"/>
  <c r="BB51" i="20"/>
  <c r="BB52" i="20"/>
  <c r="BB53" i="20"/>
  <c r="BB54" i="20"/>
  <c r="BB55" i="20"/>
  <c r="BB56" i="20"/>
  <c r="BB57" i="20"/>
  <c r="BB58" i="20"/>
  <c r="BB59" i="20"/>
  <c r="BB60" i="20"/>
  <c r="BB61" i="20"/>
  <c r="BB62" i="20"/>
  <c r="BB63" i="20"/>
  <c r="BB64" i="20"/>
  <c r="BB65" i="20"/>
  <c r="BB66" i="20"/>
  <c r="BB67" i="20"/>
  <c r="BB68" i="20"/>
  <c r="BB69" i="20"/>
  <c r="BB70" i="20"/>
  <c r="BB71" i="20"/>
  <c r="AP10" i="20"/>
  <c r="BA32" i="20" l="1"/>
  <c r="BB32" i="20" s="1"/>
  <c r="BL219" i="20" l="1"/>
  <c r="BJ219" i="20"/>
  <c r="BF219" i="20"/>
  <c r="BD219" i="20"/>
  <c r="BB219" i="20"/>
  <c r="AZ219" i="20"/>
  <c r="AX219" i="20"/>
  <c r="AV219" i="20"/>
  <c r="AT219" i="20"/>
  <c r="AR219" i="20"/>
  <c r="AP219" i="20"/>
  <c r="BJ216" i="20" l="1"/>
  <c r="BJ215" i="20"/>
  <c r="BJ214" i="20"/>
  <c r="BJ213" i="20"/>
  <c r="BJ212" i="20"/>
  <c r="BJ211" i="20"/>
  <c r="BJ210" i="20"/>
  <c r="BJ209" i="20"/>
  <c r="BJ208" i="20"/>
  <c r="BJ207" i="20"/>
  <c r="BJ206" i="20"/>
  <c r="BJ205" i="20"/>
  <c r="BJ204" i="20"/>
  <c r="BJ203" i="20"/>
  <c r="BJ202" i="20"/>
  <c r="BJ201" i="20"/>
  <c r="BJ200" i="20"/>
  <c r="BJ199" i="20"/>
  <c r="BJ198" i="20"/>
  <c r="BJ197" i="20"/>
  <c r="BJ196" i="20"/>
  <c r="BJ195" i="20"/>
  <c r="BJ194" i="20"/>
  <c r="BJ193" i="20"/>
  <c r="BJ192" i="20"/>
  <c r="BJ191" i="20"/>
  <c r="BJ190" i="20"/>
  <c r="BJ189" i="20"/>
  <c r="BJ188" i="20"/>
  <c r="BJ187" i="20"/>
  <c r="BJ186" i="20"/>
  <c r="BJ185" i="20"/>
  <c r="BJ184" i="20"/>
  <c r="BJ183" i="20"/>
  <c r="BJ182" i="20"/>
  <c r="BJ181" i="20"/>
  <c r="BJ180" i="20"/>
  <c r="BJ179" i="20"/>
  <c r="BJ178" i="20"/>
  <c r="BJ177" i="20"/>
  <c r="BJ176" i="20"/>
  <c r="BJ175" i="20"/>
  <c r="BJ174" i="20"/>
  <c r="BJ173" i="20"/>
  <c r="BJ172" i="20"/>
  <c r="BJ171" i="20"/>
  <c r="BJ170" i="20"/>
  <c r="BJ169" i="20"/>
  <c r="BJ168" i="20"/>
  <c r="BJ167" i="20"/>
  <c r="BJ166" i="20"/>
  <c r="BJ165" i="20"/>
  <c r="BJ164" i="20"/>
  <c r="BJ163" i="20"/>
  <c r="BJ162" i="20"/>
  <c r="BJ161" i="20"/>
  <c r="BJ160" i="20"/>
  <c r="BJ159" i="20"/>
  <c r="BJ158" i="20"/>
  <c r="BJ157" i="20"/>
  <c r="BJ156" i="20"/>
  <c r="BJ155" i="20"/>
  <c r="BJ154" i="20"/>
  <c r="BJ153" i="20"/>
  <c r="BJ152" i="20"/>
  <c r="BJ151" i="20"/>
  <c r="BJ150" i="20"/>
  <c r="BJ149" i="20"/>
  <c r="BJ148" i="20"/>
  <c r="BJ147" i="20"/>
  <c r="BJ146" i="20"/>
  <c r="BJ145" i="20"/>
  <c r="BJ144" i="20"/>
  <c r="BJ143" i="20"/>
  <c r="BJ142" i="20"/>
  <c r="BJ141" i="20"/>
  <c r="BJ140" i="20"/>
  <c r="BJ139" i="20"/>
  <c r="BJ138" i="20"/>
  <c r="BJ137" i="20"/>
  <c r="BJ136" i="20"/>
  <c r="BJ135" i="20"/>
  <c r="BJ134" i="20"/>
  <c r="BJ133" i="20"/>
  <c r="BJ132" i="20"/>
  <c r="BJ131" i="20"/>
  <c r="BJ130" i="20"/>
  <c r="BJ129" i="20"/>
  <c r="BJ128" i="20"/>
  <c r="BJ127" i="20"/>
  <c r="BJ126" i="20"/>
  <c r="BJ125" i="20"/>
  <c r="BJ124" i="20"/>
  <c r="BJ123" i="20"/>
  <c r="BJ122" i="20"/>
  <c r="BJ121" i="20"/>
  <c r="BJ120" i="20"/>
  <c r="BJ119" i="20"/>
  <c r="BJ118" i="20"/>
  <c r="BJ117" i="20"/>
  <c r="BJ116" i="20"/>
  <c r="BJ115" i="20"/>
  <c r="BJ114" i="20"/>
  <c r="BJ113" i="20"/>
  <c r="BJ112" i="20"/>
  <c r="BJ111" i="20"/>
  <c r="BJ110" i="20"/>
  <c r="BJ109" i="20"/>
  <c r="BJ108" i="20"/>
  <c r="BJ107" i="20"/>
  <c r="BJ106" i="20"/>
  <c r="BJ105" i="20"/>
  <c r="BJ104" i="20"/>
  <c r="BJ103" i="20"/>
  <c r="BJ102" i="20"/>
  <c r="BJ101" i="20"/>
  <c r="BJ100" i="20"/>
  <c r="BJ99" i="20"/>
  <c r="BJ98" i="20"/>
  <c r="BJ97" i="20"/>
  <c r="BJ96" i="20"/>
  <c r="BJ95" i="20"/>
  <c r="BJ94" i="20"/>
  <c r="BJ93" i="20"/>
  <c r="BJ92" i="20"/>
  <c r="BJ91" i="20"/>
  <c r="BJ90" i="20"/>
  <c r="BJ89" i="20"/>
  <c r="BD216" i="20"/>
  <c r="BD215" i="20"/>
  <c r="BD214" i="20"/>
  <c r="BD213" i="20"/>
  <c r="BD212" i="20"/>
  <c r="BD211" i="20"/>
  <c r="BD210" i="20"/>
  <c r="BD209" i="20"/>
  <c r="BD208" i="20"/>
  <c r="BD207" i="20"/>
  <c r="BD206" i="20"/>
  <c r="BD205" i="20"/>
  <c r="BD204" i="20"/>
  <c r="BD203" i="20"/>
  <c r="BD202" i="20"/>
  <c r="BD201" i="20"/>
  <c r="BD200" i="20"/>
  <c r="BD199" i="20"/>
  <c r="BD198" i="20"/>
  <c r="BD197" i="20"/>
  <c r="BD196" i="20"/>
  <c r="BD195" i="20"/>
  <c r="BD194" i="20"/>
  <c r="BD193" i="20"/>
  <c r="BD192" i="20"/>
  <c r="BD191" i="20"/>
  <c r="BD190" i="20"/>
  <c r="BD189" i="20"/>
  <c r="BD188" i="20"/>
  <c r="BD187" i="20"/>
  <c r="BD186" i="20"/>
  <c r="BD185" i="20"/>
  <c r="BD184" i="20"/>
  <c r="BD183" i="20"/>
  <c r="BD182" i="20"/>
  <c r="BD181" i="20"/>
  <c r="BD180" i="20"/>
  <c r="BD179" i="20"/>
  <c r="BD178" i="20"/>
  <c r="BD177" i="20"/>
  <c r="BD176" i="20"/>
  <c r="BD175" i="20"/>
  <c r="BD174" i="20"/>
  <c r="BD173" i="20"/>
  <c r="BD172" i="20"/>
  <c r="BD171" i="20"/>
  <c r="BD170" i="20"/>
  <c r="BD169" i="20"/>
  <c r="BD168" i="20"/>
  <c r="BD167" i="20"/>
  <c r="BD166" i="20"/>
  <c r="BD165" i="20"/>
  <c r="BD164" i="20"/>
  <c r="BD163" i="20"/>
  <c r="BD162" i="20"/>
  <c r="BD161" i="20"/>
  <c r="BD160" i="20"/>
  <c r="BD159" i="20"/>
  <c r="BD158" i="20"/>
  <c r="BD157" i="20"/>
  <c r="BD156" i="20"/>
  <c r="BD155" i="20"/>
  <c r="BD154" i="20"/>
  <c r="BD153" i="20"/>
  <c r="BD152" i="20"/>
  <c r="BD151" i="20"/>
  <c r="BD150" i="20"/>
  <c r="BD149" i="20"/>
  <c r="BD148" i="20"/>
  <c r="BD147" i="20"/>
  <c r="BD146" i="20"/>
  <c r="BD145" i="20"/>
  <c r="BD144" i="20"/>
  <c r="BD143" i="20"/>
  <c r="BD142" i="20"/>
  <c r="BD141" i="20"/>
  <c r="BD140" i="20"/>
  <c r="BD139" i="20"/>
  <c r="BD138" i="20"/>
  <c r="BD137" i="20"/>
  <c r="BD136" i="20"/>
  <c r="BD135" i="20"/>
  <c r="BD134" i="20"/>
  <c r="BD133" i="20"/>
  <c r="BD132" i="20"/>
  <c r="BD131" i="20"/>
  <c r="BD130" i="20"/>
  <c r="BD129" i="20"/>
  <c r="BD128" i="20"/>
  <c r="BD127" i="20"/>
  <c r="BD126" i="20"/>
  <c r="BD125" i="20"/>
  <c r="BD124" i="20"/>
  <c r="BD123" i="20"/>
  <c r="BD122" i="20"/>
  <c r="BD121" i="20"/>
  <c r="BD120" i="20"/>
  <c r="BD119" i="20"/>
  <c r="BD118" i="20"/>
  <c r="BD117" i="20"/>
  <c r="BD116" i="20"/>
  <c r="BD115" i="20"/>
  <c r="BD114" i="20"/>
  <c r="BD113" i="20"/>
  <c r="BD112" i="20"/>
  <c r="BD111" i="20"/>
  <c r="BD110" i="20"/>
  <c r="BD109" i="20"/>
  <c r="BD108" i="20"/>
  <c r="BD107" i="20"/>
  <c r="BD106" i="20"/>
  <c r="BD105" i="20"/>
  <c r="BD104" i="20"/>
  <c r="BD103" i="20"/>
  <c r="BD102" i="20"/>
  <c r="BD101" i="20"/>
  <c r="BD100" i="20"/>
  <c r="BD99" i="20"/>
  <c r="BD98" i="20"/>
  <c r="BD97" i="20"/>
  <c r="BD96" i="20"/>
  <c r="BD95" i="20"/>
  <c r="BD94" i="20"/>
  <c r="BD93" i="20"/>
  <c r="BD92" i="20"/>
  <c r="BD91" i="20"/>
  <c r="BD90" i="20"/>
  <c r="BD89" i="20"/>
  <c r="BB217" i="20"/>
  <c r="BB216" i="20"/>
  <c r="BB215" i="20"/>
  <c r="BB214" i="20"/>
  <c r="BB213" i="20"/>
  <c r="BB212" i="20"/>
  <c r="BB211" i="20"/>
  <c r="BB210" i="20"/>
  <c r="BB209" i="20"/>
  <c r="BB208" i="20"/>
  <c r="BB207" i="20"/>
  <c r="BB206" i="20"/>
  <c r="BB205" i="20"/>
  <c r="BB204" i="20"/>
  <c r="BB203" i="20"/>
  <c r="BB202" i="20"/>
  <c r="BB201" i="20"/>
  <c r="BB200" i="20"/>
  <c r="BB199" i="20"/>
  <c r="BB198" i="20"/>
  <c r="BB197" i="20"/>
  <c r="BB196" i="20"/>
  <c r="BB195" i="20"/>
  <c r="BB194" i="20"/>
  <c r="BB193" i="20"/>
  <c r="BB192" i="20"/>
  <c r="BB191" i="20"/>
  <c r="BB190" i="20"/>
  <c r="BB189" i="20"/>
  <c r="BB188" i="20"/>
  <c r="BB187" i="20"/>
  <c r="BB186" i="20"/>
  <c r="BB185" i="20"/>
  <c r="BB184" i="20"/>
  <c r="BB183" i="20"/>
  <c r="BB182" i="20"/>
  <c r="BB181" i="20"/>
  <c r="BB180" i="20"/>
  <c r="BB179" i="20"/>
  <c r="BB178" i="20"/>
  <c r="BB177" i="20"/>
  <c r="BB176" i="20"/>
  <c r="BB175" i="20"/>
  <c r="BB174" i="20"/>
  <c r="BB173" i="20"/>
  <c r="BB172" i="20"/>
  <c r="BB171" i="20"/>
  <c r="BB170" i="20"/>
  <c r="BB169" i="20"/>
  <c r="BB168" i="20"/>
  <c r="BB167" i="20"/>
  <c r="BB166" i="20"/>
  <c r="BB165" i="20"/>
  <c r="BB164" i="20"/>
  <c r="BB163" i="20"/>
  <c r="BB162" i="20"/>
  <c r="BB161" i="20"/>
  <c r="BB160" i="20"/>
  <c r="BB159" i="20"/>
  <c r="BB158" i="20"/>
  <c r="BB157" i="20"/>
  <c r="BB156" i="20"/>
  <c r="BB155" i="20"/>
  <c r="BB154" i="20"/>
  <c r="BB153" i="20"/>
  <c r="BB152" i="20"/>
  <c r="BB151" i="20"/>
  <c r="BB150" i="20"/>
  <c r="BB149" i="20"/>
  <c r="BB148" i="20"/>
  <c r="BB147" i="20"/>
  <c r="BB146" i="20"/>
  <c r="BB145" i="20"/>
  <c r="BB144" i="20"/>
  <c r="BB143" i="20"/>
  <c r="BB142" i="20"/>
  <c r="BB141" i="20"/>
  <c r="BB140" i="20"/>
  <c r="BB139" i="20"/>
  <c r="BB138" i="20"/>
  <c r="BB137" i="20"/>
  <c r="BB136" i="20"/>
  <c r="BB135" i="20"/>
  <c r="BB134" i="20"/>
  <c r="BB133" i="20"/>
  <c r="BB132" i="20"/>
  <c r="BB131" i="20"/>
  <c r="BB130" i="20"/>
  <c r="BB129" i="20"/>
  <c r="BB128" i="20"/>
  <c r="BB127" i="20"/>
  <c r="BB126" i="20"/>
  <c r="BB125" i="20"/>
  <c r="BB124" i="20"/>
  <c r="BB123" i="20"/>
  <c r="BB122" i="20"/>
  <c r="BB121" i="20"/>
  <c r="BB120" i="20"/>
  <c r="BB119" i="20"/>
  <c r="BB118" i="20"/>
  <c r="BB117" i="20"/>
  <c r="BB116" i="20"/>
  <c r="BB115" i="20"/>
  <c r="BB114" i="20"/>
  <c r="BB113" i="20"/>
  <c r="BB112" i="20"/>
  <c r="BB111" i="20"/>
  <c r="BB110" i="20"/>
  <c r="BB109" i="20"/>
  <c r="BB108" i="20"/>
  <c r="BB107" i="20"/>
  <c r="BB106" i="20"/>
  <c r="BB105" i="20"/>
  <c r="BB104" i="20"/>
  <c r="BB103" i="20"/>
  <c r="BB102" i="20"/>
  <c r="BB101" i="20"/>
  <c r="BB100" i="20"/>
  <c r="BB99" i="20"/>
  <c r="BB98" i="20"/>
  <c r="BB97" i="20"/>
  <c r="BB96" i="20"/>
  <c r="BB95" i="20"/>
  <c r="BB94" i="20"/>
  <c r="BB93" i="20"/>
  <c r="BB92" i="20"/>
  <c r="BB91" i="20"/>
  <c r="BB90" i="20"/>
  <c r="BB89" i="20"/>
  <c r="BL216" i="20" l="1"/>
  <c r="BL215" i="20"/>
  <c r="BL214" i="20"/>
  <c r="BL213" i="20"/>
  <c r="BL212" i="20"/>
  <c r="BL211" i="20"/>
  <c r="BL210" i="20"/>
  <c r="BL209" i="20"/>
  <c r="BL208" i="20"/>
  <c r="BL207" i="20"/>
  <c r="BL206" i="20"/>
  <c r="BL205" i="20"/>
  <c r="BL204" i="20"/>
  <c r="BL203" i="20"/>
  <c r="BL202" i="20"/>
  <c r="BL201" i="20"/>
  <c r="BL200" i="20"/>
  <c r="BL199" i="20"/>
  <c r="BL198" i="20"/>
  <c r="BL197" i="20"/>
  <c r="BL196" i="20"/>
  <c r="BL195" i="20"/>
  <c r="BL194" i="20"/>
  <c r="BL193" i="20"/>
  <c r="BL192" i="20"/>
  <c r="BL191" i="20"/>
  <c r="BL190" i="20"/>
  <c r="BL189" i="20"/>
  <c r="BL188" i="20"/>
  <c r="BL187" i="20"/>
  <c r="BL186" i="20"/>
  <c r="BL185" i="20"/>
  <c r="BL184" i="20"/>
  <c r="BL183" i="20"/>
  <c r="BL182" i="20"/>
  <c r="BL181" i="20"/>
  <c r="BL180" i="20"/>
  <c r="BL179" i="20"/>
  <c r="BL178" i="20"/>
  <c r="BL177" i="20"/>
  <c r="BL176" i="20"/>
  <c r="BL175" i="20"/>
  <c r="BL174" i="20"/>
  <c r="BL173" i="20"/>
  <c r="BL172" i="20"/>
  <c r="BL171" i="20"/>
  <c r="BL170" i="20"/>
  <c r="BL169" i="20"/>
  <c r="BL168" i="20"/>
  <c r="BL167" i="20"/>
  <c r="BL166" i="20"/>
  <c r="BL165" i="20"/>
  <c r="BL164" i="20"/>
  <c r="BL163" i="20"/>
  <c r="BL162" i="20"/>
  <c r="BL161" i="20"/>
  <c r="BL160" i="20"/>
  <c r="BL159" i="20"/>
  <c r="BL158" i="20"/>
  <c r="BL157" i="20"/>
  <c r="BL156" i="20"/>
  <c r="BL155" i="20"/>
  <c r="BL154" i="20"/>
  <c r="BL153" i="20"/>
  <c r="BL152" i="20"/>
  <c r="BL151" i="20"/>
  <c r="BL150" i="20"/>
  <c r="BL149" i="20"/>
  <c r="BL148" i="20"/>
  <c r="BL147" i="20"/>
  <c r="BL146" i="20"/>
  <c r="BL145" i="20"/>
  <c r="BL144" i="20"/>
  <c r="BL143" i="20"/>
  <c r="BL142" i="20"/>
  <c r="BL141" i="20"/>
  <c r="BL140" i="20"/>
  <c r="BL139" i="20"/>
  <c r="BL138" i="20"/>
  <c r="BL137" i="20"/>
  <c r="BL136" i="20"/>
  <c r="BL135" i="20"/>
  <c r="BL134" i="20"/>
  <c r="BL133" i="20"/>
  <c r="BL132" i="20"/>
  <c r="BL131" i="20"/>
  <c r="BL130" i="20"/>
  <c r="BL129" i="20"/>
  <c r="BL128" i="20"/>
  <c r="BL127" i="20"/>
  <c r="BL126" i="20"/>
  <c r="BL125" i="20"/>
  <c r="BL124" i="20"/>
  <c r="BL123" i="20"/>
  <c r="BL122" i="20"/>
  <c r="BF216" i="20"/>
  <c r="BF215" i="20"/>
  <c r="BF214" i="20"/>
  <c r="BF213" i="20"/>
  <c r="BF212" i="20"/>
  <c r="BF211" i="20"/>
  <c r="BF210" i="20"/>
  <c r="BF209" i="20"/>
  <c r="BF208" i="20"/>
  <c r="BF207" i="20"/>
  <c r="BF206" i="20"/>
  <c r="BF205" i="20"/>
  <c r="BF204" i="20"/>
  <c r="BF203" i="20"/>
  <c r="BF202" i="20"/>
  <c r="BF201" i="20"/>
  <c r="BF200" i="20"/>
  <c r="BF199" i="20"/>
  <c r="BF198" i="20"/>
  <c r="BF197" i="20"/>
  <c r="BF196" i="20"/>
  <c r="BF195" i="20"/>
  <c r="BF194" i="20"/>
  <c r="BF193" i="20"/>
  <c r="BF192" i="20"/>
  <c r="BF191" i="20"/>
  <c r="BF190" i="20"/>
  <c r="BF189" i="20"/>
  <c r="BF188" i="20"/>
  <c r="BF187" i="20"/>
  <c r="BF186" i="20"/>
  <c r="BF185" i="20"/>
  <c r="BF184" i="20"/>
  <c r="BF183" i="20"/>
  <c r="BF182" i="20"/>
  <c r="BF181" i="20"/>
  <c r="BF180" i="20"/>
  <c r="BF179" i="20"/>
  <c r="BF178" i="20"/>
  <c r="BF177" i="20"/>
  <c r="BF176" i="20"/>
  <c r="BF175" i="20"/>
  <c r="BF174" i="20"/>
  <c r="BF173" i="20"/>
  <c r="BF172" i="20"/>
  <c r="BF171" i="20"/>
  <c r="BF170" i="20"/>
  <c r="BF169" i="20"/>
  <c r="BF168" i="20"/>
  <c r="BF167" i="20"/>
  <c r="BF166" i="20"/>
  <c r="BF165" i="20"/>
  <c r="BF164" i="20"/>
  <c r="BF163" i="20"/>
  <c r="BF162" i="20"/>
  <c r="BF161" i="20"/>
  <c r="BF160" i="20"/>
  <c r="BF159" i="20"/>
  <c r="BF158" i="20"/>
  <c r="BF157" i="20"/>
  <c r="BF156" i="20"/>
  <c r="BF155" i="20"/>
  <c r="BF154" i="20"/>
  <c r="BF153" i="20"/>
  <c r="BF152" i="20"/>
  <c r="BF151" i="20"/>
  <c r="BF150" i="20"/>
  <c r="BF149" i="20"/>
  <c r="BF148" i="20"/>
  <c r="BF147" i="20"/>
  <c r="BF146" i="20"/>
  <c r="BF145" i="20"/>
  <c r="BF144" i="20"/>
  <c r="BF143" i="20"/>
  <c r="BF142" i="20"/>
  <c r="BF141" i="20"/>
  <c r="BF140" i="20"/>
  <c r="BF139" i="20"/>
  <c r="BF138" i="20"/>
  <c r="BF137" i="20"/>
  <c r="BF136" i="20"/>
  <c r="BF135" i="20"/>
  <c r="BF134" i="20"/>
  <c r="BF133" i="20"/>
  <c r="BF132" i="20"/>
  <c r="BF131" i="20"/>
  <c r="BF130" i="20"/>
  <c r="BF129" i="20"/>
  <c r="BF128" i="20"/>
  <c r="BF127" i="20"/>
  <c r="BF126" i="20"/>
  <c r="BF125" i="20"/>
  <c r="BF124" i="20"/>
  <c r="BF123" i="20"/>
  <c r="BF122" i="20"/>
  <c r="AX216" i="20" l="1"/>
  <c r="AX215" i="20"/>
  <c r="AX214" i="20"/>
  <c r="AX213" i="20"/>
  <c r="AX212" i="20"/>
  <c r="AX211" i="20"/>
  <c r="AX210" i="20"/>
  <c r="AX209" i="20"/>
  <c r="AX208" i="20"/>
  <c r="AX207" i="20"/>
  <c r="AX206" i="20"/>
  <c r="AX205" i="20"/>
  <c r="AX204" i="20"/>
  <c r="AX203" i="20"/>
  <c r="AX202" i="20"/>
  <c r="AX201" i="20"/>
  <c r="AX200" i="20"/>
  <c r="AX199" i="20"/>
  <c r="AX198" i="20"/>
  <c r="AX197" i="20"/>
  <c r="AX196" i="20"/>
  <c r="AZ216" i="20"/>
  <c r="AZ215" i="20"/>
  <c r="AZ214" i="20"/>
  <c r="AZ213" i="20"/>
  <c r="AZ212" i="20"/>
  <c r="AZ211" i="20"/>
  <c r="AZ210" i="20"/>
  <c r="AZ209" i="20"/>
  <c r="AZ208" i="20"/>
  <c r="AZ207" i="20"/>
  <c r="AZ206" i="20"/>
  <c r="AZ205" i="20"/>
  <c r="AZ204" i="20"/>
  <c r="AZ203" i="20"/>
  <c r="AZ202" i="20"/>
  <c r="AZ201" i="20"/>
  <c r="AZ200" i="20"/>
  <c r="AZ199" i="20"/>
  <c r="AZ198" i="20"/>
  <c r="AZ197" i="20"/>
  <c r="AZ196" i="20"/>
  <c r="AZ195" i="20"/>
  <c r="AZ194" i="20"/>
  <c r="AZ193" i="20"/>
  <c r="AZ192" i="20"/>
  <c r="AZ191" i="20"/>
  <c r="AZ190" i="20"/>
  <c r="AZ189" i="20"/>
  <c r="AZ188" i="20"/>
  <c r="AZ187" i="20"/>
  <c r="AZ186" i="20"/>
  <c r="AZ185" i="20"/>
  <c r="AZ184" i="20"/>
  <c r="AZ183" i="20"/>
  <c r="AZ182" i="20"/>
  <c r="AZ181" i="20"/>
  <c r="AZ180" i="20"/>
  <c r="AZ179" i="20"/>
  <c r="AZ178" i="20"/>
  <c r="AZ177" i="20"/>
  <c r="AZ176" i="20"/>
  <c r="AZ175" i="20"/>
  <c r="AZ174" i="20"/>
  <c r="AZ173" i="20"/>
  <c r="AZ172" i="20"/>
  <c r="AZ171" i="20"/>
  <c r="AZ170" i="20"/>
  <c r="AZ169" i="20"/>
  <c r="AZ168" i="20"/>
  <c r="AZ167" i="20"/>
  <c r="AZ166" i="20"/>
  <c r="AZ165" i="20"/>
  <c r="AZ164" i="20"/>
  <c r="AZ163" i="20"/>
  <c r="AZ162" i="20"/>
  <c r="AZ161" i="20"/>
  <c r="AZ160" i="20"/>
  <c r="AZ159" i="20"/>
  <c r="AZ158" i="20"/>
  <c r="AZ157" i="20"/>
  <c r="AZ156" i="20"/>
  <c r="AZ155" i="20"/>
  <c r="AZ154" i="20"/>
  <c r="AZ153" i="20"/>
  <c r="AZ152" i="20"/>
  <c r="AZ151" i="20"/>
  <c r="AZ150" i="20"/>
  <c r="AZ149" i="20"/>
  <c r="AZ148" i="20"/>
  <c r="AZ147" i="20"/>
  <c r="AZ146" i="20"/>
  <c r="AZ145" i="20"/>
  <c r="AZ144" i="20"/>
  <c r="AZ143" i="20"/>
  <c r="AZ142" i="20"/>
  <c r="AZ141" i="20"/>
  <c r="AZ140" i="20"/>
  <c r="AZ139" i="20"/>
  <c r="AZ138" i="20"/>
  <c r="AZ137" i="20"/>
  <c r="AZ136" i="20"/>
  <c r="AZ135" i="20"/>
  <c r="AZ134" i="20"/>
  <c r="AZ133" i="20"/>
  <c r="AZ132" i="20"/>
  <c r="AZ131" i="20"/>
  <c r="AZ130" i="20"/>
  <c r="AZ129" i="20"/>
  <c r="AZ128" i="20"/>
  <c r="AZ127" i="20"/>
  <c r="AZ126" i="20"/>
  <c r="AZ125" i="20"/>
  <c r="AZ124" i="20"/>
  <c r="AZ123" i="20"/>
  <c r="AZ122" i="20"/>
  <c r="AX195" i="20"/>
  <c r="AX194" i="20"/>
  <c r="AX193" i="20"/>
  <c r="AX192" i="20"/>
  <c r="AX191" i="20"/>
  <c r="AX190" i="20"/>
  <c r="AX189" i="20"/>
  <c r="AX188" i="20"/>
  <c r="AX187" i="20"/>
  <c r="AX186" i="20"/>
  <c r="AX185" i="20"/>
  <c r="AX184" i="20"/>
  <c r="AX183" i="20"/>
  <c r="AX182" i="20"/>
  <c r="AX181" i="20"/>
  <c r="AX180" i="20"/>
  <c r="AX179" i="20"/>
  <c r="AX178" i="20"/>
  <c r="AX177" i="20"/>
  <c r="AX176" i="20"/>
  <c r="AX175" i="20"/>
  <c r="AX174" i="20"/>
  <c r="AX173" i="20"/>
  <c r="AX172" i="20"/>
  <c r="AX171" i="20"/>
  <c r="AX170" i="20"/>
  <c r="AX169" i="20"/>
  <c r="AX168" i="20"/>
  <c r="AX167" i="20"/>
  <c r="AX166" i="20"/>
  <c r="AX165" i="20"/>
  <c r="AX164" i="20"/>
  <c r="AX163" i="20"/>
  <c r="AX162" i="20"/>
  <c r="AX161" i="20"/>
  <c r="AX160" i="20"/>
  <c r="AX159" i="20"/>
  <c r="AX158" i="20"/>
  <c r="AX157" i="20"/>
  <c r="AX156" i="20"/>
  <c r="AX155" i="20"/>
  <c r="AX154" i="20"/>
  <c r="AX153" i="20"/>
  <c r="AX152" i="20"/>
  <c r="AX151" i="20"/>
  <c r="AX150" i="20"/>
  <c r="AX149" i="20"/>
  <c r="AX148" i="20"/>
  <c r="AX147" i="20"/>
  <c r="AX146" i="20"/>
  <c r="AX145" i="20"/>
  <c r="AX144" i="20"/>
  <c r="AX143" i="20"/>
  <c r="AX142" i="20"/>
  <c r="AX141" i="20"/>
  <c r="AX140" i="20"/>
  <c r="AX139" i="20"/>
  <c r="AX138" i="20"/>
  <c r="AX137" i="20"/>
  <c r="AX136" i="20"/>
  <c r="AX135" i="20"/>
  <c r="AX134" i="20"/>
  <c r="AX133" i="20"/>
  <c r="AX132" i="20"/>
  <c r="AX131" i="20"/>
  <c r="AX130" i="20"/>
  <c r="AX129" i="20"/>
  <c r="AX128" i="20"/>
  <c r="AX127" i="20"/>
  <c r="AX126" i="20"/>
  <c r="AX125" i="20"/>
  <c r="AX124" i="20"/>
  <c r="AX123" i="20"/>
  <c r="AX122" i="20"/>
  <c r="AV216" i="20"/>
  <c r="AV215" i="20"/>
  <c r="AV214" i="20"/>
  <c r="AV213" i="20"/>
  <c r="AV212" i="20"/>
  <c r="AV211" i="20"/>
  <c r="AV210" i="20"/>
  <c r="AV209" i="20"/>
  <c r="AV208" i="20"/>
  <c r="AV207" i="20"/>
  <c r="AV206" i="20"/>
  <c r="AV205" i="20"/>
  <c r="AV204" i="20"/>
  <c r="AV203" i="20"/>
  <c r="AV202" i="20"/>
  <c r="AV201" i="20"/>
  <c r="AV200" i="20"/>
  <c r="AV199" i="20"/>
  <c r="AV198" i="20"/>
  <c r="AV197" i="20"/>
  <c r="AV196" i="20"/>
  <c r="AV195" i="20"/>
  <c r="AV194" i="20"/>
  <c r="AV193" i="20"/>
  <c r="AV192" i="20"/>
  <c r="AV191" i="20"/>
  <c r="AV190" i="20"/>
  <c r="AV189" i="20"/>
  <c r="AV188" i="20"/>
  <c r="AV187" i="20"/>
  <c r="AV186" i="20"/>
  <c r="AV185" i="20"/>
  <c r="AV184" i="20"/>
  <c r="AV183" i="20"/>
  <c r="AV182" i="20"/>
  <c r="AV181" i="20"/>
  <c r="AV180" i="20"/>
  <c r="AV179" i="20"/>
  <c r="AV178" i="20"/>
  <c r="AV177" i="20"/>
  <c r="AV176" i="20"/>
  <c r="AV175" i="20"/>
  <c r="AV174" i="20"/>
  <c r="AV173" i="20"/>
  <c r="AV172" i="20"/>
  <c r="AV171" i="20"/>
  <c r="AV170" i="20"/>
  <c r="AV169" i="20"/>
  <c r="AV168" i="20"/>
  <c r="AV167" i="20"/>
  <c r="AV166" i="20"/>
  <c r="AV165" i="20"/>
  <c r="AV164" i="20"/>
  <c r="AV163" i="20"/>
  <c r="AV162" i="20"/>
  <c r="AV161" i="20"/>
  <c r="AV160" i="20"/>
  <c r="AV159" i="20"/>
  <c r="AV158" i="20"/>
  <c r="AV157" i="20"/>
  <c r="AV156" i="20"/>
  <c r="AV155" i="20"/>
  <c r="AV154" i="20"/>
  <c r="AV153" i="20"/>
  <c r="AV152" i="20"/>
  <c r="AV151" i="20"/>
  <c r="AV150" i="20"/>
  <c r="AV149" i="20"/>
  <c r="AV148" i="20"/>
  <c r="AV147" i="20"/>
  <c r="AV146" i="20"/>
  <c r="AV145" i="20"/>
  <c r="AV144" i="20"/>
  <c r="AV143" i="20"/>
  <c r="AV142" i="20"/>
  <c r="AV141" i="20"/>
  <c r="AV140" i="20"/>
  <c r="AV139" i="20"/>
  <c r="AV138" i="20"/>
  <c r="AV137" i="20"/>
  <c r="AV136" i="20"/>
  <c r="AV135" i="20"/>
  <c r="AV134" i="20"/>
  <c r="AV133" i="20"/>
  <c r="AV132" i="20"/>
  <c r="AV131" i="20"/>
  <c r="AV130" i="20"/>
  <c r="AV129" i="20"/>
  <c r="AV128" i="20"/>
  <c r="AV127" i="20"/>
  <c r="AV126" i="20"/>
  <c r="AV125" i="20"/>
  <c r="AV124" i="20"/>
  <c r="AV123" i="20"/>
  <c r="AV122" i="20"/>
  <c r="AT216" i="20"/>
  <c r="AT215" i="20"/>
  <c r="AT214" i="20"/>
  <c r="AT213" i="20"/>
  <c r="AT212" i="20"/>
  <c r="AT211" i="20"/>
  <c r="AT210" i="20"/>
  <c r="AT209" i="20"/>
  <c r="AT208" i="20"/>
  <c r="AT207" i="20"/>
  <c r="AT206" i="20"/>
  <c r="AT205" i="20"/>
  <c r="AT204" i="20"/>
  <c r="AT203" i="20"/>
  <c r="AT202" i="20"/>
  <c r="AT201" i="20"/>
  <c r="AT200" i="20"/>
  <c r="AT199" i="20"/>
  <c r="AT198" i="20"/>
  <c r="AT197" i="20"/>
  <c r="AT196" i="20"/>
  <c r="AT195" i="20"/>
  <c r="AT194" i="20"/>
  <c r="AT193" i="20"/>
  <c r="AT192" i="20"/>
  <c r="AT191" i="20"/>
  <c r="AT190" i="20"/>
  <c r="AT189" i="20"/>
  <c r="AT188" i="20"/>
  <c r="AT187" i="20"/>
  <c r="AT186" i="20"/>
  <c r="AT185" i="20"/>
  <c r="AT184" i="20"/>
  <c r="AT183" i="20"/>
  <c r="AT182" i="20"/>
  <c r="AT181" i="20"/>
  <c r="AT180" i="20"/>
  <c r="AT179" i="20"/>
  <c r="AT178" i="20"/>
  <c r="AT177" i="20"/>
  <c r="AT176" i="20"/>
  <c r="AT175" i="20"/>
  <c r="AT174" i="20"/>
  <c r="AT173" i="20"/>
  <c r="AT172" i="20"/>
  <c r="AT171" i="20"/>
  <c r="AT170" i="20"/>
  <c r="AT169" i="20"/>
  <c r="AT168" i="20"/>
  <c r="AT167" i="20"/>
  <c r="AT166" i="20"/>
  <c r="AT165" i="20"/>
  <c r="AT164" i="20"/>
  <c r="AT163" i="20"/>
  <c r="AT162" i="20"/>
  <c r="AT161" i="20"/>
  <c r="AT160" i="20"/>
  <c r="AT159" i="20"/>
  <c r="AT158" i="20"/>
  <c r="AT157" i="20"/>
  <c r="AT156" i="20"/>
  <c r="AT155" i="20"/>
  <c r="AT154" i="20"/>
  <c r="AT153" i="20"/>
  <c r="AT152" i="20"/>
  <c r="AT151" i="20"/>
  <c r="AT150" i="20"/>
  <c r="AT149" i="20"/>
  <c r="AT148" i="20"/>
  <c r="AT147" i="20"/>
  <c r="AT146" i="20"/>
  <c r="AT145" i="20"/>
  <c r="AT144" i="20"/>
  <c r="AT143" i="20"/>
  <c r="AT142" i="20"/>
  <c r="AT141" i="20"/>
  <c r="AT140" i="20"/>
  <c r="AT139" i="20"/>
  <c r="AT138" i="20"/>
  <c r="AT137" i="20"/>
  <c r="AT136" i="20"/>
  <c r="AT135" i="20"/>
  <c r="AT134" i="20"/>
  <c r="AT133" i="20"/>
  <c r="AT132" i="20"/>
  <c r="AT131" i="20"/>
  <c r="AT130" i="20"/>
  <c r="AT129" i="20"/>
  <c r="AT128" i="20"/>
  <c r="AT127" i="20"/>
  <c r="AT126" i="20"/>
  <c r="AT125" i="20"/>
  <c r="AT124" i="20"/>
  <c r="AT123" i="20"/>
  <c r="AT122" i="20"/>
  <c r="AR216" i="20"/>
  <c r="AR215" i="20"/>
  <c r="AR214" i="20"/>
  <c r="AR213" i="20"/>
  <c r="AR212" i="20"/>
  <c r="AR211" i="20"/>
  <c r="AR210" i="20"/>
  <c r="AR209" i="20"/>
  <c r="AR208" i="20"/>
  <c r="AR207" i="20"/>
  <c r="AR206" i="20"/>
  <c r="AR205" i="20"/>
  <c r="AR204" i="20"/>
  <c r="AR203" i="20"/>
  <c r="AR202" i="20"/>
  <c r="AR201" i="20"/>
  <c r="AR200" i="20"/>
  <c r="AR199" i="20"/>
  <c r="AR198" i="20"/>
  <c r="AR197" i="20"/>
  <c r="AR196" i="20"/>
  <c r="AR195" i="20"/>
  <c r="AR194" i="20"/>
  <c r="AR193" i="20"/>
  <c r="AR192" i="20"/>
  <c r="AR191" i="20"/>
  <c r="AR190" i="20"/>
  <c r="AR189" i="20"/>
  <c r="AR188" i="20"/>
  <c r="AR187" i="20"/>
  <c r="AR186" i="20"/>
  <c r="AR185" i="20"/>
  <c r="AR184" i="20"/>
  <c r="AR183" i="20"/>
  <c r="AR182" i="20"/>
  <c r="AR181" i="20"/>
  <c r="AR180" i="20"/>
  <c r="AR179" i="20"/>
  <c r="AR178" i="20"/>
  <c r="AR177" i="20"/>
  <c r="AR176" i="20"/>
  <c r="AR175" i="20"/>
  <c r="AR174" i="20"/>
  <c r="AR173" i="20"/>
  <c r="AR172" i="20"/>
  <c r="AR171" i="20"/>
  <c r="AR170" i="20"/>
  <c r="AR169" i="20"/>
  <c r="AR168" i="20"/>
  <c r="AR167" i="20"/>
  <c r="AR166" i="20"/>
  <c r="AR165" i="20"/>
  <c r="AR164" i="20"/>
  <c r="AR163" i="20"/>
  <c r="AR162" i="20"/>
  <c r="AR161" i="20"/>
  <c r="AR160" i="20"/>
  <c r="AR159" i="20"/>
  <c r="AR158" i="20"/>
  <c r="AR157" i="20"/>
  <c r="AR156" i="20"/>
  <c r="AR155" i="20"/>
  <c r="AR154" i="20"/>
  <c r="AR153" i="20"/>
  <c r="AR152" i="20"/>
  <c r="AR151" i="20"/>
  <c r="AR150" i="20"/>
  <c r="AR149" i="20"/>
  <c r="AR148" i="20"/>
  <c r="AR147" i="20"/>
  <c r="AR146" i="20"/>
  <c r="AR145" i="20"/>
  <c r="AR144" i="20"/>
  <c r="AR143" i="20"/>
  <c r="AR142" i="20"/>
  <c r="AR141" i="20"/>
  <c r="AR140" i="20"/>
  <c r="AR139" i="20"/>
  <c r="AR138" i="20"/>
  <c r="AR137" i="20"/>
  <c r="AR136" i="20"/>
  <c r="AR135" i="20"/>
  <c r="AR134" i="20"/>
  <c r="AR133" i="20"/>
  <c r="AR132" i="20"/>
  <c r="AR131" i="20"/>
  <c r="AR130" i="20"/>
  <c r="AR129" i="20"/>
  <c r="AR128" i="20"/>
  <c r="AR127" i="20"/>
  <c r="AR126" i="20"/>
  <c r="AR125" i="20"/>
  <c r="AR124" i="20"/>
  <c r="AR123" i="20"/>
  <c r="AR122" i="20"/>
  <c r="AP122" i="20"/>
  <c r="AP123" i="20"/>
  <c r="AP124" i="20"/>
  <c r="AP125" i="20"/>
  <c r="AP126" i="20"/>
  <c r="AP127" i="20"/>
  <c r="AP128" i="20"/>
  <c r="AP129" i="20"/>
  <c r="AP130" i="20"/>
  <c r="AP131" i="20"/>
  <c r="AP132" i="20"/>
  <c r="AP133" i="20"/>
  <c r="AP134" i="20"/>
  <c r="AP135" i="20"/>
  <c r="AP136" i="20"/>
  <c r="AP137" i="20"/>
  <c r="AP138" i="20"/>
  <c r="AP139" i="20"/>
  <c r="AP140" i="20"/>
  <c r="AP141" i="20"/>
  <c r="AP142" i="20"/>
  <c r="AP143" i="20"/>
  <c r="AP144" i="20"/>
  <c r="AP145" i="20"/>
  <c r="AP146" i="20"/>
  <c r="AP147" i="20"/>
  <c r="AP148" i="20"/>
  <c r="AP149" i="20"/>
  <c r="AP150" i="20"/>
  <c r="AP151" i="20"/>
  <c r="AP152" i="20"/>
  <c r="AP153" i="20"/>
  <c r="AP154" i="20"/>
  <c r="AP155" i="20"/>
  <c r="AP156" i="20"/>
  <c r="AP157" i="20"/>
  <c r="AP158" i="20"/>
  <c r="AP159" i="20"/>
  <c r="AP160" i="20"/>
  <c r="AP161" i="20"/>
  <c r="AP162" i="20"/>
  <c r="AP163" i="20"/>
  <c r="AP164" i="20"/>
  <c r="AP165" i="20"/>
  <c r="AP166" i="20"/>
  <c r="AP167" i="20"/>
  <c r="AP168" i="20"/>
  <c r="AP169" i="20"/>
  <c r="AP170" i="20"/>
  <c r="AP171" i="20"/>
  <c r="AP172" i="20"/>
  <c r="AP173" i="20"/>
  <c r="AP174" i="20"/>
  <c r="AP175" i="20"/>
  <c r="AP176" i="20"/>
  <c r="AP177" i="20"/>
  <c r="AP178" i="20"/>
  <c r="AP179" i="20"/>
  <c r="AP180" i="20"/>
  <c r="AP181" i="20"/>
  <c r="AP182" i="20"/>
  <c r="AP183" i="20"/>
  <c r="AP184" i="20"/>
  <c r="AP185" i="20"/>
  <c r="AP186" i="20"/>
  <c r="AP187" i="20"/>
  <c r="AP188" i="20"/>
  <c r="AP189" i="20"/>
  <c r="AP190" i="20"/>
  <c r="AP191" i="20"/>
  <c r="AP192" i="20"/>
  <c r="AP193" i="20"/>
  <c r="AP194" i="20"/>
  <c r="AP195" i="20"/>
  <c r="AP196" i="20"/>
  <c r="AP197" i="20"/>
  <c r="AP198" i="20"/>
  <c r="AP199" i="20"/>
  <c r="AP200" i="20"/>
  <c r="AP201" i="20"/>
  <c r="AP202" i="20"/>
  <c r="AP203" i="20"/>
  <c r="AP204" i="20"/>
  <c r="AP205" i="20"/>
  <c r="AP206" i="20"/>
  <c r="AP207" i="20"/>
  <c r="AP208" i="20"/>
  <c r="AP209" i="20"/>
  <c r="AP210" i="20"/>
  <c r="AP211" i="20"/>
  <c r="AP212" i="20"/>
  <c r="AP213" i="20"/>
  <c r="AP214" i="20"/>
  <c r="AP215" i="20"/>
  <c r="AP216" i="20"/>
  <c r="AT116" i="20"/>
  <c r="AT117" i="20"/>
  <c r="AT118" i="20"/>
  <c r="AT119" i="20"/>
  <c r="AT120" i="20"/>
  <c r="AT121" i="20"/>
  <c r="AR116" i="20"/>
  <c r="AR117" i="20"/>
  <c r="AR118" i="20"/>
  <c r="AR119" i="20"/>
  <c r="AR120" i="20"/>
  <c r="AR121" i="20"/>
  <c r="AP121" i="20"/>
  <c r="AP120" i="20"/>
  <c r="AP119" i="20"/>
  <c r="AP118" i="20"/>
  <c r="AP117" i="20"/>
  <c r="BL121" i="20"/>
  <c r="BL120" i="20"/>
  <c r="BL119" i="20"/>
  <c r="BL118" i="20"/>
  <c r="BL117" i="20"/>
  <c r="BL116" i="20"/>
  <c r="BF121" i="20"/>
  <c r="BF120" i="20"/>
  <c r="BF119" i="20"/>
  <c r="BF118" i="20"/>
  <c r="BF117" i="20"/>
  <c r="BF116" i="20"/>
  <c r="AZ121" i="20"/>
  <c r="AZ120" i="20"/>
  <c r="AZ119" i="20"/>
  <c r="AZ118" i="20"/>
  <c r="AZ117" i="20"/>
  <c r="AZ116" i="20"/>
  <c r="AX116" i="20"/>
  <c r="AX117" i="20"/>
  <c r="AX118" i="20"/>
  <c r="AX119" i="20"/>
  <c r="AX120" i="20"/>
  <c r="AX121" i="20"/>
  <c r="AV121" i="20"/>
  <c r="AV120" i="20"/>
  <c r="AV119" i="20"/>
  <c r="AV118" i="20"/>
  <c r="AV117" i="20"/>
  <c r="AV116" i="20"/>
  <c r="AP116" i="20"/>
  <c r="BL115" i="20"/>
  <c r="BL114" i="20"/>
  <c r="BL113" i="20"/>
  <c r="BL112" i="20"/>
  <c r="BL111" i="20"/>
  <c r="BL110" i="20"/>
  <c r="BL109" i="20"/>
  <c r="BL108" i="20"/>
  <c r="BL107" i="20"/>
  <c r="BL106" i="20"/>
  <c r="BL105" i="20"/>
  <c r="BL104" i="20"/>
  <c r="BL103" i="20"/>
  <c r="BL102" i="20"/>
  <c r="BL101" i="20"/>
  <c r="BL100" i="20"/>
  <c r="BL99" i="20"/>
  <c r="BL98" i="20"/>
  <c r="BL97" i="20"/>
  <c r="BL96" i="20"/>
  <c r="BL95" i="20"/>
  <c r="BL94" i="20"/>
  <c r="BF102" i="20"/>
  <c r="BF103" i="20"/>
  <c r="BF104" i="20"/>
  <c r="BF105" i="20"/>
  <c r="BF106" i="20"/>
  <c r="BF107" i="20"/>
  <c r="BF108" i="20"/>
  <c r="BF109" i="20"/>
  <c r="BF110" i="20"/>
  <c r="BF111" i="20"/>
  <c r="BF112" i="20"/>
  <c r="BF113" i="20"/>
  <c r="BF114" i="20"/>
  <c r="BF115" i="20"/>
  <c r="AZ94" i="20"/>
  <c r="AZ95" i="20"/>
  <c r="AZ96" i="20"/>
  <c r="AZ97" i="20"/>
  <c r="AZ98" i="20"/>
  <c r="AZ99" i="20"/>
  <c r="AZ100" i="20"/>
  <c r="AZ101" i="20"/>
  <c r="AZ102" i="20"/>
  <c r="AZ103" i="20"/>
  <c r="AZ104" i="20"/>
  <c r="AZ105" i="20"/>
  <c r="AZ106" i="20"/>
  <c r="AZ107" i="20"/>
  <c r="AZ108" i="20"/>
  <c r="AZ109" i="20"/>
  <c r="AZ110" i="20"/>
  <c r="AZ111" i="20"/>
  <c r="AZ112" i="20"/>
  <c r="AZ113" i="20"/>
  <c r="AZ114" i="20"/>
  <c r="AZ115" i="20"/>
  <c r="AX94" i="20"/>
  <c r="AX95" i="20"/>
  <c r="AX96" i="20"/>
  <c r="AX97" i="20"/>
  <c r="AX98" i="20"/>
  <c r="AX99" i="20"/>
  <c r="AX100" i="20"/>
  <c r="AX101" i="20"/>
  <c r="AX102" i="20"/>
  <c r="AX103" i="20"/>
  <c r="AX104" i="20"/>
  <c r="AX105" i="20"/>
  <c r="AX106" i="20"/>
  <c r="AX107" i="20"/>
  <c r="AX108" i="20"/>
  <c r="AX109" i="20"/>
  <c r="AX110" i="20"/>
  <c r="AX111" i="20"/>
  <c r="AX112" i="20"/>
  <c r="AX113" i="20"/>
  <c r="AX114" i="20"/>
  <c r="AX115" i="20"/>
  <c r="AV94" i="20"/>
  <c r="AV95" i="20"/>
  <c r="AV96" i="20"/>
  <c r="AV97" i="20"/>
  <c r="AV98" i="20"/>
  <c r="AV99" i="20"/>
  <c r="AV100" i="20"/>
  <c r="AV101" i="20"/>
  <c r="AV102" i="20"/>
  <c r="AV103" i="20"/>
  <c r="AV104" i="20"/>
  <c r="AV105" i="20"/>
  <c r="AV106" i="20"/>
  <c r="AV107" i="20"/>
  <c r="AV108" i="20"/>
  <c r="AV109" i="20"/>
  <c r="AV110" i="20"/>
  <c r="AV111" i="20"/>
  <c r="AV112" i="20"/>
  <c r="AV113" i="20"/>
  <c r="AV114" i="20"/>
  <c r="AV115" i="20"/>
  <c r="AT94" i="20"/>
  <c r="AT95" i="20"/>
  <c r="AT96" i="20"/>
  <c r="AT97" i="20"/>
  <c r="AT98" i="20"/>
  <c r="AT99" i="20"/>
  <c r="AT100" i="20"/>
  <c r="AT101" i="20"/>
  <c r="AT102" i="20"/>
  <c r="AT103" i="20"/>
  <c r="AT104" i="20"/>
  <c r="AT105" i="20"/>
  <c r="AT106" i="20"/>
  <c r="AT107" i="20"/>
  <c r="AT108" i="20"/>
  <c r="AT109" i="20"/>
  <c r="AT110" i="20"/>
  <c r="AT111" i="20"/>
  <c r="AT112" i="20"/>
  <c r="AT113" i="20"/>
  <c r="AT114" i="20"/>
  <c r="AT115" i="20"/>
  <c r="AR94" i="20"/>
  <c r="AR95" i="20"/>
  <c r="AR96" i="20"/>
  <c r="AR97" i="20"/>
  <c r="AR98" i="20"/>
  <c r="AR99" i="20"/>
  <c r="AR100" i="20"/>
  <c r="AR101" i="20"/>
  <c r="AR102" i="20"/>
  <c r="AR103" i="20"/>
  <c r="AR104" i="20"/>
  <c r="AR105" i="20"/>
  <c r="AR106" i="20"/>
  <c r="AR107" i="20"/>
  <c r="AR108" i="20"/>
  <c r="AR109" i="20"/>
  <c r="AR110" i="20"/>
  <c r="AR111" i="20"/>
  <c r="AR112" i="20"/>
  <c r="AR113" i="20"/>
  <c r="AR114" i="20"/>
  <c r="AR115" i="20"/>
  <c r="AP115" i="20"/>
  <c r="AP114" i="20"/>
  <c r="AP113" i="20"/>
  <c r="AP112" i="20"/>
  <c r="AP111" i="20"/>
  <c r="AP110" i="20"/>
  <c r="AP109" i="20"/>
  <c r="AP108" i="20"/>
  <c r="AP107" i="20"/>
  <c r="AP106" i="20"/>
  <c r="AP105" i="20"/>
  <c r="AP104" i="20"/>
  <c r="AP103" i="20"/>
  <c r="AP102" i="20"/>
  <c r="AP101" i="20"/>
  <c r="AP100" i="20"/>
  <c r="AP99" i="20"/>
  <c r="AP98" i="20"/>
  <c r="AP97" i="20"/>
  <c r="AP96" i="20"/>
  <c r="AP95" i="20"/>
  <c r="AP94" i="20"/>
  <c r="BL93" i="20"/>
  <c r="BF94" i="20"/>
  <c r="BF95" i="20"/>
  <c r="BF96" i="20"/>
  <c r="BF97" i="20"/>
  <c r="BF98" i="20"/>
  <c r="BF99" i="20"/>
  <c r="BF100" i="20"/>
  <c r="BF101" i="20"/>
  <c r="BF93" i="20"/>
  <c r="AZ93" i="20"/>
  <c r="AX93" i="20"/>
  <c r="AV93" i="20"/>
  <c r="AT93" i="20"/>
  <c r="AR93" i="20"/>
  <c r="AP93" i="20" l="1"/>
  <c r="BD76" i="20" l="1"/>
  <c r="BL90" i="20" l="1"/>
  <c r="BF90" i="20"/>
  <c r="AZ90" i="20"/>
  <c r="AX90" i="20"/>
  <c r="AV90" i="20"/>
  <c r="AT90" i="20"/>
  <c r="AR90" i="20"/>
  <c r="AP90" i="20"/>
  <c r="G76" i="21" l="1"/>
  <c r="G71" i="21" l="1"/>
  <c r="G72" i="21"/>
  <c r="G73" i="21"/>
  <c r="G74" i="21"/>
  <c r="G75" i="21"/>
  <c r="AP5" i="20" l="1"/>
  <c r="AP6" i="20"/>
  <c r="AP7" i="20"/>
  <c r="AP8" i="20"/>
  <c r="AP9" i="20"/>
  <c r="BL4" i="20" l="1"/>
  <c r="BJ4" i="20"/>
  <c r="BL6" i="20"/>
  <c r="BJ6" i="20"/>
  <c r="BB4" i="20"/>
  <c r="BB5" i="20"/>
  <c r="BD4" i="20"/>
  <c r="BF4" i="20"/>
  <c r="BF6" i="20"/>
  <c r="BF7" i="20"/>
  <c r="BF8" i="20"/>
  <c r="BF9" i="20"/>
  <c r="BD6" i="20"/>
  <c r="BD7" i="20"/>
  <c r="BD8" i="20"/>
  <c r="BD9" i="20"/>
  <c r="BB6" i="20"/>
  <c r="BB7" i="20"/>
  <c r="BB8" i="20"/>
  <c r="BB9" i="20"/>
  <c r="AZ4" i="20"/>
  <c r="AX4" i="20"/>
  <c r="AV4" i="20"/>
  <c r="AZ6" i="20"/>
  <c r="AZ7" i="20"/>
  <c r="AX6" i="20"/>
  <c r="AX7" i="20"/>
  <c r="AX8" i="20"/>
  <c r="AV6" i="20"/>
  <c r="AV7" i="20"/>
  <c r="AT4" i="20"/>
  <c r="AR4" i="20"/>
  <c r="AT6" i="20"/>
  <c r="AT7" i="20"/>
  <c r="AT8" i="20"/>
  <c r="AR6" i="20"/>
  <c r="AP4" i="20"/>
  <c r="BL274" i="20" l="1"/>
  <c r="BL271" i="20"/>
  <c r="BJ274" i="20"/>
  <c r="BJ271" i="20"/>
  <c r="BF274" i="20"/>
  <c r="BF271" i="20"/>
  <c r="BD274" i="20"/>
  <c r="BD271" i="20"/>
  <c r="BB274" i="20"/>
  <c r="BB271" i="20"/>
  <c r="AZ274" i="20"/>
  <c r="AZ271" i="20"/>
  <c r="AX274" i="20"/>
  <c r="AX271" i="20"/>
  <c r="AV274" i="20"/>
  <c r="AV271" i="20"/>
  <c r="AT274" i="20"/>
  <c r="AT271" i="20"/>
  <c r="AQ273" i="20" l="1"/>
  <c r="AR274" i="20" l="1"/>
  <c r="AP274" i="20"/>
  <c r="AR271" i="20"/>
  <c r="AP271" i="20"/>
  <c r="BL234" i="20"/>
  <c r="BJ234" i="20"/>
  <c r="AP234" i="20" l="1"/>
  <c r="AP72" i="20" l="1"/>
  <c r="AR72" i="20"/>
  <c r="AT72" i="20"/>
  <c r="AV72" i="20"/>
  <c r="AX72" i="20"/>
  <c r="AZ72" i="20"/>
  <c r="BB72" i="20"/>
  <c r="BD72" i="20"/>
  <c r="BF72" i="20"/>
  <c r="BJ72" i="20"/>
  <c r="BL72" i="20"/>
  <c r="F27" i="22" l="1"/>
  <c r="F26" i="22"/>
  <c r="F20" i="22"/>
  <c r="F19" i="22"/>
  <c r="F13" i="22"/>
  <c r="F12" i="22"/>
  <c r="F6" i="22"/>
  <c r="F5" i="22"/>
  <c r="F148" i="21"/>
  <c r="E148" i="21"/>
  <c r="D148" i="21"/>
  <c r="G143" i="21"/>
  <c r="G142" i="21"/>
  <c r="G141" i="21"/>
  <c r="G140" i="21"/>
  <c r="G139" i="21"/>
  <c r="G138" i="21"/>
  <c r="G137" i="21"/>
  <c r="G136" i="21"/>
  <c r="G135" i="21"/>
  <c r="G134" i="21"/>
  <c r="G133" i="21"/>
  <c r="G132" i="21"/>
  <c r="G131" i="21"/>
  <c r="G130" i="21"/>
  <c r="G129" i="21"/>
  <c r="G128" i="21"/>
  <c r="G127" i="21"/>
  <c r="G126" i="21"/>
  <c r="G125" i="21"/>
  <c r="G124" i="21"/>
  <c r="G123" i="21"/>
  <c r="G109" i="21"/>
  <c r="F108" i="21"/>
  <c r="E108" i="21"/>
  <c r="D108" i="21"/>
  <c r="G103" i="21"/>
  <c r="G102" i="21"/>
  <c r="G101" i="21"/>
  <c r="G100" i="21"/>
  <c r="G99" i="21"/>
  <c r="G98" i="21"/>
  <c r="G97" i="21"/>
  <c r="G96" i="21"/>
  <c r="G95" i="21"/>
  <c r="G94" i="21"/>
  <c r="G93" i="21"/>
  <c r="G92" i="21"/>
  <c r="G91" i="21"/>
  <c r="G90" i="21"/>
  <c r="G89" i="21"/>
  <c r="G88" i="21"/>
  <c r="G87" i="21"/>
  <c r="G86" i="21"/>
  <c r="G85" i="21"/>
  <c r="G84" i="21"/>
  <c r="G83" i="21"/>
  <c r="F70" i="21"/>
  <c r="E70" i="21"/>
  <c r="D70" i="21"/>
  <c r="G61" i="21"/>
  <c r="G60" i="21"/>
  <c r="G59" i="21"/>
  <c r="G58" i="21"/>
  <c r="G57" i="21"/>
  <c r="G56" i="21"/>
  <c r="G55" i="21"/>
  <c r="G54" i="21"/>
  <c r="G53" i="21"/>
  <c r="G52" i="21"/>
  <c r="G51" i="21"/>
  <c r="G50" i="21"/>
  <c r="G49" i="21"/>
  <c r="G48" i="21"/>
  <c r="G47" i="21"/>
  <c r="G46" i="21"/>
  <c r="G45" i="21"/>
  <c r="G44" i="21"/>
  <c r="G43" i="21"/>
  <c r="G42" i="21"/>
  <c r="G41" i="21"/>
  <c r="G35" i="21"/>
  <c r="F34" i="21"/>
  <c r="E34" i="21"/>
  <c r="D34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9" i="21"/>
  <c r="G8" i="21"/>
  <c r="G7" i="21"/>
  <c r="G6" i="21"/>
  <c r="G5" i="21"/>
  <c r="BL287" i="20"/>
  <c r="BJ287" i="20"/>
  <c r="BF287" i="20"/>
  <c r="BD287" i="20"/>
  <c r="BB287" i="20"/>
  <c r="AZ287" i="20"/>
  <c r="AX287" i="20"/>
  <c r="AV287" i="20"/>
  <c r="AT287" i="20"/>
  <c r="AR287" i="20"/>
  <c r="AP287" i="20"/>
  <c r="BL286" i="20"/>
  <c r="BJ286" i="20"/>
  <c r="BF286" i="20"/>
  <c r="BD286" i="20"/>
  <c r="BB286" i="20"/>
  <c r="AZ286" i="20"/>
  <c r="AX286" i="20"/>
  <c r="AV286" i="20"/>
  <c r="AT286" i="20"/>
  <c r="AR286" i="20"/>
  <c r="AP286" i="20"/>
  <c r="BL285" i="20"/>
  <c r="BJ285" i="20"/>
  <c r="BF285" i="20"/>
  <c r="BD285" i="20"/>
  <c r="BB285" i="20"/>
  <c r="AZ285" i="20"/>
  <c r="AX285" i="20"/>
  <c r="AV285" i="20"/>
  <c r="AT285" i="20"/>
  <c r="AR285" i="20"/>
  <c r="AP285" i="20"/>
  <c r="BL284" i="20"/>
  <c r="BJ284" i="20"/>
  <c r="BF284" i="20"/>
  <c r="BD284" i="20"/>
  <c r="BB284" i="20"/>
  <c r="AZ284" i="20"/>
  <c r="AX284" i="20"/>
  <c r="AV284" i="20"/>
  <c r="AT284" i="20"/>
  <c r="AR284" i="20"/>
  <c r="AP284" i="20"/>
  <c r="BL283" i="20"/>
  <c r="BJ283" i="20"/>
  <c r="BF283" i="20"/>
  <c r="BD283" i="20"/>
  <c r="BB283" i="20"/>
  <c r="AZ283" i="20"/>
  <c r="AX283" i="20"/>
  <c r="AV283" i="20"/>
  <c r="AT283" i="20"/>
  <c r="AR283" i="20"/>
  <c r="AP283" i="20"/>
  <c r="BL282" i="20"/>
  <c r="BJ282" i="20"/>
  <c r="BF282" i="20"/>
  <c r="BD282" i="20"/>
  <c r="BB282" i="20"/>
  <c r="AZ282" i="20"/>
  <c r="AX282" i="20"/>
  <c r="AV282" i="20"/>
  <c r="AT282" i="20"/>
  <c r="AR282" i="20"/>
  <c r="AP282" i="20"/>
  <c r="BL281" i="20"/>
  <c r="BJ281" i="20"/>
  <c r="BF281" i="20"/>
  <c r="BD281" i="20"/>
  <c r="BB281" i="20"/>
  <c r="AZ281" i="20"/>
  <c r="AX281" i="20"/>
  <c r="AV281" i="20"/>
  <c r="AT281" i="20"/>
  <c r="AR281" i="20"/>
  <c r="AP281" i="20"/>
  <c r="BL280" i="20"/>
  <c r="BJ280" i="20"/>
  <c r="BF280" i="20"/>
  <c r="BD280" i="20"/>
  <c r="BB280" i="20"/>
  <c r="AZ280" i="20"/>
  <c r="AX280" i="20"/>
  <c r="AV280" i="20"/>
  <c r="AT280" i="20"/>
  <c r="AR280" i="20"/>
  <c r="AP280" i="20"/>
  <c r="BL279" i="20"/>
  <c r="BJ279" i="20"/>
  <c r="BF279" i="20"/>
  <c r="BD279" i="20"/>
  <c r="BB279" i="20"/>
  <c r="AZ279" i="20"/>
  <c r="AX279" i="20"/>
  <c r="AV279" i="20"/>
  <c r="AT279" i="20"/>
  <c r="AR279" i="20"/>
  <c r="AP279" i="20"/>
  <c r="BL278" i="20"/>
  <c r="BJ278" i="20"/>
  <c r="BF278" i="20"/>
  <c r="BD278" i="20"/>
  <c r="BB278" i="20"/>
  <c r="AZ278" i="20"/>
  <c r="AX278" i="20"/>
  <c r="AV278" i="20"/>
  <c r="AT278" i="20"/>
  <c r="AR278" i="20"/>
  <c r="AP278" i="20"/>
  <c r="BL277" i="20"/>
  <c r="BJ277" i="20"/>
  <c r="BF277" i="20"/>
  <c r="BD277" i="20"/>
  <c r="BB277" i="20"/>
  <c r="AZ277" i="20"/>
  <c r="AX277" i="20"/>
  <c r="AV277" i="20"/>
  <c r="AT277" i="20"/>
  <c r="AR277" i="20"/>
  <c r="AP277" i="20"/>
  <c r="BL276" i="20"/>
  <c r="BJ276" i="20"/>
  <c r="BF276" i="20"/>
  <c r="BD276" i="20"/>
  <c r="BB276" i="20"/>
  <c r="AZ276" i="20"/>
  <c r="AX276" i="20"/>
  <c r="AV276" i="20"/>
  <c r="AT276" i="20"/>
  <c r="AR276" i="20"/>
  <c r="AP276" i="20"/>
  <c r="BL275" i="20"/>
  <c r="BJ275" i="20"/>
  <c r="BF275" i="20"/>
  <c r="BD275" i="20"/>
  <c r="BB275" i="20"/>
  <c r="AZ275" i="20"/>
  <c r="AX275" i="20"/>
  <c r="AV275" i="20"/>
  <c r="AT275" i="20"/>
  <c r="AR275" i="20"/>
  <c r="AP275" i="20"/>
  <c r="BL273" i="20"/>
  <c r="BJ273" i="20"/>
  <c r="BF273" i="20"/>
  <c r="BD273" i="20"/>
  <c r="BB273" i="20"/>
  <c r="AZ273" i="20"/>
  <c r="AX273" i="20"/>
  <c r="AV273" i="20"/>
  <c r="AT273" i="20"/>
  <c r="AR273" i="20"/>
  <c r="AP273" i="20"/>
  <c r="BL272" i="20"/>
  <c r="BJ272" i="20"/>
  <c r="BF272" i="20"/>
  <c r="BD272" i="20"/>
  <c r="BB272" i="20"/>
  <c r="AZ272" i="20"/>
  <c r="AX272" i="20"/>
  <c r="AV272" i="20"/>
  <c r="AT272" i="20"/>
  <c r="AR272" i="20"/>
  <c r="AP272" i="20"/>
  <c r="BL270" i="20"/>
  <c r="BJ270" i="20"/>
  <c r="BF270" i="20"/>
  <c r="BD270" i="20"/>
  <c r="BB270" i="20"/>
  <c r="AZ270" i="20"/>
  <c r="AX270" i="20"/>
  <c r="AV270" i="20"/>
  <c r="AT270" i="20"/>
  <c r="AR270" i="20"/>
  <c r="AP270" i="20"/>
  <c r="BL269" i="20"/>
  <c r="BJ269" i="20"/>
  <c r="BF269" i="20"/>
  <c r="BD269" i="20"/>
  <c r="BB269" i="20"/>
  <c r="AZ269" i="20"/>
  <c r="AV269" i="20"/>
  <c r="AT269" i="20"/>
  <c r="AR269" i="20"/>
  <c r="BL235" i="20"/>
  <c r="BL232" i="20"/>
  <c r="BJ232" i="20"/>
  <c r="BF232" i="20"/>
  <c r="BD232" i="20"/>
  <c r="BB232" i="20"/>
  <c r="AZ232" i="20"/>
  <c r="AX232" i="20"/>
  <c r="AV232" i="20"/>
  <c r="AT232" i="20"/>
  <c r="AR232" i="20"/>
  <c r="AP232" i="20"/>
  <c r="BL231" i="20"/>
  <c r="BJ231" i="20"/>
  <c r="BF231" i="20"/>
  <c r="BD231" i="20"/>
  <c r="BB231" i="20"/>
  <c r="AZ231" i="20"/>
  <c r="AX231" i="20"/>
  <c r="AV231" i="20"/>
  <c r="AT231" i="20"/>
  <c r="AR231" i="20"/>
  <c r="BL221" i="20"/>
  <c r="BJ221" i="20"/>
  <c r="BF221" i="20"/>
  <c r="BD221" i="20"/>
  <c r="BB221" i="20"/>
  <c r="AZ221" i="20"/>
  <c r="AX221" i="20"/>
  <c r="AV221" i="20"/>
  <c r="AT221" i="20"/>
  <c r="AR221" i="20"/>
  <c r="AP221" i="20"/>
  <c r="BL220" i="20"/>
  <c r="BJ220" i="20"/>
  <c r="BF220" i="20"/>
  <c r="BD220" i="20"/>
  <c r="BB220" i="20"/>
  <c r="AZ220" i="20"/>
  <c r="AX220" i="20"/>
  <c r="AV220" i="20"/>
  <c r="AT220" i="20"/>
  <c r="AR220" i="20"/>
  <c r="AP220" i="20"/>
  <c r="BL218" i="20"/>
  <c r="BJ218" i="20"/>
  <c r="BF218" i="20"/>
  <c r="BD218" i="20"/>
  <c r="BB218" i="20"/>
  <c r="AZ218" i="20"/>
  <c r="AX218" i="20"/>
  <c r="AV218" i="20"/>
  <c r="AT218" i="20"/>
  <c r="AR218" i="20"/>
  <c r="AP218" i="20"/>
  <c r="BL217" i="20"/>
  <c r="BJ217" i="20"/>
  <c r="BF217" i="20"/>
  <c r="BD217" i="20"/>
  <c r="AZ217" i="20"/>
  <c r="AX217" i="20"/>
  <c r="AV217" i="20"/>
  <c r="AT217" i="20"/>
  <c r="AR217" i="20"/>
  <c r="AP217" i="20"/>
  <c r="BL92" i="20"/>
  <c r="BF92" i="20"/>
  <c r="AZ92" i="20"/>
  <c r="AX92" i="20"/>
  <c r="AV92" i="20"/>
  <c r="AT92" i="20"/>
  <c r="AR92" i="20"/>
  <c r="AP92" i="20"/>
  <c r="BL91" i="20"/>
  <c r="BF91" i="20"/>
  <c r="AZ91" i="20"/>
  <c r="AX91" i="20"/>
  <c r="AV91" i="20"/>
  <c r="AT91" i="20"/>
  <c r="AR91" i="20"/>
  <c r="AP91" i="20"/>
  <c r="BL89" i="20"/>
  <c r="BF89" i="20"/>
  <c r="AZ89" i="20"/>
  <c r="AX89" i="20"/>
  <c r="AV89" i="20"/>
  <c r="AT89" i="20"/>
  <c r="AR89" i="20"/>
  <c r="AP89" i="20"/>
  <c r="BL88" i="20"/>
  <c r="BJ88" i="20"/>
  <c r="BF88" i="20"/>
  <c r="AP88" i="20"/>
  <c r="BL73" i="20"/>
  <c r="BJ73" i="20"/>
  <c r="BF73" i="20"/>
  <c r="BD73" i="20"/>
  <c r="BB73" i="20"/>
  <c r="AZ73" i="20"/>
  <c r="AX73" i="20"/>
  <c r="AV73" i="20"/>
  <c r="AT73" i="20"/>
  <c r="AR73" i="20"/>
  <c r="AP73" i="20"/>
  <c r="BL5" i="20"/>
  <c r="BJ5" i="20"/>
  <c r="BF5" i="20"/>
  <c r="BD5" i="20"/>
  <c r="AZ5" i="20"/>
  <c r="AX5" i="20"/>
  <c r="AV5" i="20"/>
  <c r="AT5" i="20"/>
  <c r="AR5" i="20"/>
  <c r="BL3" i="20"/>
  <c r="BJ3" i="20"/>
  <c r="BH3" i="20"/>
  <c r="BF3" i="20"/>
  <c r="BD3" i="20"/>
  <c r="BB3" i="20"/>
  <c r="AZ3" i="20"/>
  <c r="AX3" i="20"/>
  <c r="AV3" i="20"/>
  <c r="AT3" i="20"/>
  <c r="AR3" i="20"/>
  <c r="AP3" i="20"/>
  <c r="AN1" i="20"/>
  <c r="AM1" i="20"/>
  <c r="AL1" i="20"/>
  <c r="AK1" i="20"/>
  <c r="AI1" i="20"/>
  <c r="AH1" i="20"/>
  <c r="AG1" i="20"/>
  <c r="AF1" i="20"/>
  <c r="AE1" i="20"/>
  <c r="AD1" i="20"/>
  <c r="AC1" i="20"/>
  <c r="G108" i="21" l="1"/>
  <c r="G119" i="21" s="1"/>
  <c r="G148" i="21"/>
  <c r="G152" i="21" s="1"/>
  <c r="AX1" i="20"/>
  <c r="D11" i="22" s="1"/>
  <c r="D14" i="22" s="1"/>
  <c r="BL1" i="20"/>
  <c r="E25" i="22" s="1"/>
  <c r="E28" i="22" s="1"/>
  <c r="BH1" i="20"/>
  <c r="C25" i="22" s="1"/>
  <c r="C28" i="22" s="1"/>
  <c r="AZ1" i="20"/>
  <c r="E11" i="22" s="1"/>
  <c r="E14" i="22" s="1"/>
  <c r="BJ1" i="20"/>
  <c r="D25" i="22" s="1"/>
  <c r="D28" i="22" s="1"/>
  <c r="BB1" i="20"/>
  <c r="C18" i="22" s="1"/>
  <c r="C21" i="22" s="1"/>
  <c r="BF1" i="20"/>
  <c r="E18" i="22" s="1"/>
  <c r="E21" i="22" s="1"/>
  <c r="AR1" i="20"/>
  <c r="D4" i="22" s="1"/>
  <c r="D7" i="22" s="1"/>
  <c r="G34" i="21"/>
  <c r="G37" i="21" s="1"/>
  <c r="G144" i="21"/>
  <c r="G104" i="21"/>
  <c r="G62" i="21"/>
  <c r="G70" i="21"/>
  <c r="G78" i="21" s="1"/>
  <c r="G26" i="21"/>
  <c r="BD1" i="20"/>
  <c r="D18" i="22" s="1"/>
  <c r="D21" i="22" s="1"/>
  <c r="AV1" i="20"/>
  <c r="C11" i="22" s="1"/>
  <c r="C14" i="22" s="1"/>
  <c r="AT1" i="20"/>
  <c r="E4" i="22" s="1"/>
  <c r="E7" i="22" s="1"/>
  <c r="AP1" i="20"/>
  <c r="C4" i="22" s="1"/>
  <c r="C7" i="22" s="1"/>
  <c r="F26" i="10"/>
  <c r="F27" i="10"/>
  <c r="F25" i="22" l="1"/>
  <c r="F28" i="22" s="1"/>
  <c r="F18" i="22"/>
  <c r="F21" i="22" s="1"/>
  <c r="F11" i="22"/>
  <c r="F14" i="22" s="1"/>
  <c r="F4" i="22"/>
  <c r="F7" i="22" s="1"/>
  <c r="BL94" i="15"/>
  <c r="BH94" i="15"/>
  <c r="BJ94" i="15"/>
  <c r="G142" i="17"/>
  <c r="G143" i="17"/>
  <c r="G136" i="17"/>
  <c r="G137" i="17"/>
  <c r="G138" i="17"/>
  <c r="G139" i="17"/>
  <c r="G140" i="17"/>
  <c r="G141" i="17"/>
  <c r="E133" i="17"/>
  <c r="F133" i="17"/>
  <c r="D133" i="17"/>
  <c r="G134" i="17"/>
  <c r="G135" i="17"/>
  <c r="G103" i="17"/>
  <c r="G133" i="17" l="1"/>
  <c r="G145" i="17" s="1"/>
  <c r="G71" i="17" l="1"/>
  <c r="G35" i="17" l="1"/>
  <c r="BL80" i="15" l="1"/>
  <c r="BL79" i="15"/>
  <c r="BL78" i="15"/>
  <c r="BL77" i="15"/>
  <c r="BL76" i="15"/>
  <c r="BL75" i="15"/>
  <c r="BL74" i="15"/>
  <c r="BL73" i="15"/>
  <c r="BL72" i="15"/>
  <c r="BL71" i="15"/>
  <c r="BL70" i="15"/>
  <c r="BL69" i="15"/>
  <c r="BL68" i="15"/>
  <c r="BL67" i="15"/>
  <c r="BL66" i="15"/>
  <c r="BL65" i="15"/>
  <c r="BL64" i="15"/>
  <c r="BL63" i="15"/>
  <c r="BJ80" i="15"/>
  <c r="BJ79" i="15"/>
  <c r="BJ78" i="15"/>
  <c r="BJ77" i="15"/>
  <c r="BJ76" i="15"/>
  <c r="BJ75" i="15"/>
  <c r="BJ74" i="15"/>
  <c r="BJ73" i="15"/>
  <c r="BJ72" i="15"/>
  <c r="BJ71" i="15"/>
  <c r="BJ70" i="15"/>
  <c r="BJ69" i="15"/>
  <c r="BJ68" i="15"/>
  <c r="BJ67" i="15"/>
  <c r="BJ66" i="15"/>
  <c r="BJ65" i="15"/>
  <c r="BJ64" i="15"/>
  <c r="BJ63" i="15"/>
  <c r="BH80" i="15"/>
  <c r="BH79" i="15"/>
  <c r="BH78" i="15"/>
  <c r="BH77" i="15"/>
  <c r="BH76" i="15"/>
  <c r="BH75" i="15"/>
  <c r="BH74" i="15"/>
  <c r="BH73" i="15"/>
  <c r="BH72" i="15"/>
  <c r="BH71" i="15"/>
  <c r="BH70" i="15"/>
  <c r="BH69" i="15"/>
  <c r="BH68" i="15"/>
  <c r="BH67" i="15"/>
  <c r="BH66" i="15"/>
  <c r="BH65" i="15"/>
  <c r="BH64" i="15"/>
  <c r="BH63" i="15"/>
  <c r="BF80" i="15"/>
  <c r="BF79" i="15"/>
  <c r="BF78" i="15"/>
  <c r="BF77" i="15"/>
  <c r="BF76" i="15"/>
  <c r="BF75" i="15"/>
  <c r="BF74" i="15"/>
  <c r="BF73" i="15"/>
  <c r="BF72" i="15"/>
  <c r="BF71" i="15"/>
  <c r="BF70" i="15"/>
  <c r="BF69" i="15"/>
  <c r="BF68" i="15"/>
  <c r="BF67" i="15"/>
  <c r="BF66" i="15"/>
  <c r="BF65" i="15"/>
  <c r="BF64" i="15"/>
  <c r="BF63" i="15"/>
  <c r="BD80" i="15"/>
  <c r="BD79" i="15"/>
  <c r="BD78" i="15"/>
  <c r="BD77" i="15"/>
  <c r="BD76" i="15"/>
  <c r="BD75" i="15"/>
  <c r="BD74" i="15"/>
  <c r="BD73" i="15"/>
  <c r="BD72" i="15"/>
  <c r="BD71" i="15"/>
  <c r="BD70" i="15"/>
  <c r="BD69" i="15"/>
  <c r="BD68" i="15"/>
  <c r="BD67" i="15"/>
  <c r="BD66" i="15"/>
  <c r="BD65" i="15"/>
  <c r="BD64" i="15"/>
  <c r="BD63" i="15"/>
  <c r="BB63" i="15"/>
  <c r="BB64" i="15"/>
  <c r="BB65" i="15"/>
  <c r="BB66" i="15"/>
  <c r="BB67" i="15"/>
  <c r="BB68" i="15"/>
  <c r="BB69" i="15"/>
  <c r="BB70" i="15"/>
  <c r="BB71" i="15"/>
  <c r="BB72" i="15"/>
  <c r="BB73" i="15"/>
  <c r="BB74" i="15"/>
  <c r="BB75" i="15"/>
  <c r="BB76" i="15"/>
  <c r="BB77" i="15"/>
  <c r="BB78" i="15"/>
  <c r="BB79" i="15"/>
  <c r="BB80" i="15"/>
  <c r="AZ79" i="15"/>
  <c r="AZ78" i="15"/>
  <c r="AZ77" i="15"/>
  <c r="AZ76" i="15"/>
  <c r="AZ75" i="15"/>
  <c r="AZ74" i="15"/>
  <c r="AZ73" i="15"/>
  <c r="AZ72" i="15"/>
  <c r="AZ71" i="15"/>
  <c r="AZ70" i="15"/>
  <c r="AZ69" i="15"/>
  <c r="AZ68" i="15"/>
  <c r="AZ67" i="15"/>
  <c r="AZ66" i="15"/>
  <c r="AZ65" i="15"/>
  <c r="AZ64" i="15"/>
  <c r="AZ63" i="15"/>
  <c r="AX79" i="15"/>
  <c r="AX78" i="15"/>
  <c r="AX77" i="15"/>
  <c r="AX76" i="15"/>
  <c r="AX75" i="15"/>
  <c r="AX74" i="15"/>
  <c r="AX73" i="15"/>
  <c r="AX72" i="15"/>
  <c r="AX71" i="15"/>
  <c r="AX70" i="15"/>
  <c r="AX69" i="15"/>
  <c r="AX68" i="15"/>
  <c r="AX67" i="15"/>
  <c r="AX66" i="15"/>
  <c r="AX65" i="15"/>
  <c r="AX64" i="15"/>
  <c r="AX63" i="15"/>
  <c r="AV79" i="15"/>
  <c r="AV78" i="15"/>
  <c r="AV77" i="15"/>
  <c r="AV76" i="15"/>
  <c r="AV75" i="15"/>
  <c r="AV74" i="15"/>
  <c r="AV73" i="15"/>
  <c r="AV72" i="15"/>
  <c r="AV71" i="15"/>
  <c r="AV70" i="15"/>
  <c r="AV69" i="15"/>
  <c r="AV68" i="15"/>
  <c r="AV67" i="15"/>
  <c r="AV66" i="15"/>
  <c r="AV65" i="15"/>
  <c r="AV64" i="15"/>
  <c r="AV63" i="15"/>
  <c r="AT79" i="15"/>
  <c r="AT78" i="15"/>
  <c r="AT77" i="15"/>
  <c r="AT76" i="15"/>
  <c r="AT75" i="15"/>
  <c r="AT74" i="15"/>
  <c r="AT73" i="15"/>
  <c r="AT72" i="15"/>
  <c r="AT71" i="15"/>
  <c r="AT70" i="15"/>
  <c r="AT69" i="15"/>
  <c r="AT68" i="15"/>
  <c r="AT67" i="15"/>
  <c r="AT66" i="15"/>
  <c r="AT65" i="15"/>
  <c r="AT64" i="15"/>
  <c r="AT63" i="15"/>
  <c r="AR79" i="15"/>
  <c r="AR78" i="15"/>
  <c r="AR77" i="15"/>
  <c r="AR76" i="15"/>
  <c r="AR75" i="15"/>
  <c r="AR74" i="15"/>
  <c r="AR73" i="15"/>
  <c r="AR72" i="15"/>
  <c r="AR71" i="15"/>
  <c r="AR70" i="15"/>
  <c r="AR69" i="15"/>
  <c r="AR68" i="15"/>
  <c r="AR67" i="15"/>
  <c r="AR66" i="15"/>
  <c r="AR65" i="15"/>
  <c r="AR64" i="15"/>
  <c r="AR63" i="15"/>
  <c r="AP79" i="15"/>
  <c r="AP78" i="15"/>
  <c r="AP77" i="15"/>
  <c r="AP76" i="15"/>
  <c r="AP75" i="15"/>
  <c r="AP74" i="15"/>
  <c r="AP73" i="15"/>
  <c r="AP72" i="15"/>
  <c r="AP71" i="15"/>
  <c r="AP70" i="15"/>
  <c r="AP69" i="15"/>
  <c r="AP68" i="15"/>
  <c r="AP67" i="15"/>
  <c r="AP66" i="15"/>
  <c r="AP65" i="15"/>
  <c r="AP64" i="15"/>
  <c r="AP63" i="15"/>
  <c r="AZ94" i="15" l="1"/>
  <c r="AX94" i="15"/>
  <c r="BF94" i="15" l="1"/>
  <c r="BD94" i="15"/>
  <c r="BB94" i="15"/>
  <c r="AZ148" i="15" l="1"/>
  <c r="AZ147" i="15"/>
  <c r="AZ146" i="15"/>
  <c r="AZ145" i="15"/>
  <c r="AZ144" i="15"/>
  <c r="AZ143" i="15"/>
  <c r="AZ142" i="15"/>
  <c r="AZ141" i="15"/>
  <c r="AZ140" i="15"/>
  <c r="AZ139" i="15"/>
  <c r="AZ138" i="15"/>
  <c r="AZ137" i="15"/>
  <c r="AZ136" i="15"/>
  <c r="AZ135" i="15"/>
  <c r="AZ134" i="15"/>
  <c r="AZ133" i="15"/>
  <c r="AZ132" i="15"/>
  <c r="AZ131" i="15"/>
  <c r="AZ130" i="15"/>
  <c r="AZ129" i="15"/>
  <c r="AZ128" i="15"/>
  <c r="AZ127" i="15"/>
  <c r="AZ126" i="15"/>
  <c r="AZ125" i="15"/>
  <c r="AZ124" i="15"/>
  <c r="AZ123" i="15"/>
  <c r="AZ122" i="15"/>
  <c r="AZ121" i="15"/>
  <c r="AZ120" i="15"/>
  <c r="AZ119" i="15"/>
  <c r="AZ118" i="15"/>
  <c r="AZ117" i="15"/>
  <c r="AZ116" i="15"/>
  <c r="AZ115" i="15"/>
  <c r="AZ114" i="15"/>
  <c r="AZ113" i="15"/>
  <c r="AZ112" i="15"/>
  <c r="AZ111" i="15"/>
  <c r="AZ110" i="15"/>
  <c r="AZ109" i="15"/>
  <c r="AZ108" i="15"/>
  <c r="AZ107" i="15"/>
  <c r="AZ106" i="15"/>
  <c r="AZ105" i="15"/>
  <c r="AZ104" i="15"/>
  <c r="AZ103" i="15"/>
  <c r="AZ102" i="15"/>
  <c r="AZ101" i="15"/>
  <c r="AZ100" i="15"/>
  <c r="AZ99" i="15"/>
  <c r="AZ98" i="15"/>
  <c r="AZ97" i="15"/>
  <c r="AZ96" i="15"/>
  <c r="AZ95" i="15"/>
  <c r="AZ93" i="15"/>
  <c r="AZ92" i="15"/>
  <c r="AZ91" i="15"/>
  <c r="AZ90" i="15"/>
  <c r="AZ89" i="15"/>
  <c r="AZ88" i="15"/>
  <c r="AZ87" i="15"/>
  <c r="AZ86" i="15"/>
  <c r="AZ85" i="15"/>
  <c r="AZ84" i="15"/>
  <c r="AZ83" i="15"/>
  <c r="AZ82" i="15"/>
  <c r="BL82" i="15"/>
  <c r="BJ82" i="15"/>
  <c r="BH82" i="15"/>
  <c r="BF82" i="15"/>
  <c r="BD82" i="15"/>
  <c r="BB82" i="15"/>
  <c r="AX82" i="15"/>
  <c r="AV82" i="15"/>
  <c r="AR85" i="15"/>
  <c r="AR84" i="15"/>
  <c r="AR83" i="15"/>
  <c r="AR82" i="15"/>
  <c r="AR81" i="15"/>
  <c r="AT84" i="15"/>
  <c r="AT83" i="15"/>
  <c r="AT82" i="15"/>
  <c r="AP84" i="15"/>
  <c r="AP83" i="15"/>
  <c r="AP82" i="15"/>
  <c r="BL148" i="15" l="1"/>
  <c r="BL147" i="15"/>
  <c r="BL146" i="15"/>
  <c r="BL145" i="15"/>
  <c r="BL144" i="15"/>
  <c r="BL143" i="15"/>
  <c r="BL142" i="15"/>
  <c r="BL141" i="15"/>
  <c r="BL140" i="15"/>
  <c r="BL139" i="15"/>
  <c r="BL138" i="15"/>
  <c r="BL137" i="15"/>
  <c r="BL136" i="15"/>
  <c r="BL135" i="15"/>
  <c r="BL134" i="15"/>
  <c r="BL133" i="15"/>
  <c r="BL132" i="15"/>
  <c r="BL131" i="15"/>
  <c r="BL130" i="15"/>
  <c r="BL129" i="15"/>
  <c r="BL128" i="15"/>
  <c r="BL127" i="15"/>
  <c r="BL126" i="15"/>
  <c r="BL125" i="15"/>
  <c r="BL124" i="15"/>
  <c r="BL123" i="15"/>
  <c r="BL122" i="15"/>
  <c r="BL121" i="15"/>
  <c r="BL120" i="15"/>
  <c r="BL119" i="15"/>
  <c r="BL118" i="15"/>
  <c r="BL117" i="15"/>
  <c r="BL116" i="15"/>
  <c r="BL115" i="15"/>
  <c r="BL114" i="15"/>
  <c r="BL113" i="15"/>
  <c r="BL112" i="15"/>
  <c r="BL111" i="15"/>
  <c r="BL110" i="15"/>
  <c r="BL109" i="15"/>
  <c r="BL108" i="15"/>
  <c r="BL107" i="15"/>
  <c r="BL106" i="15"/>
  <c r="BL105" i="15"/>
  <c r="BL104" i="15"/>
  <c r="BL103" i="15"/>
  <c r="BL102" i="15"/>
  <c r="BL101" i="15"/>
  <c r="BL100" i="15"/>
  <c r="BL99" i="15"/>
  <c r="BL98" i="15"/>
  <c r="BL97" i="15"/>
  <c r="BL96" i="15"/>
  <c r="BL95" i="15"/>
  <c r="BL93" i="15"/>
  <c r="BL92" i="15"/>
  <c r="BL91" i="15"/>
  <c r="BL90" i="15"/>
  <c r="BL89" i="15"/>
  <c r="BL88" i="15"/>
  <c r="BL87" i="15"/>
  <c r="BL86" i="15"/>
  <c r="BL85" i="15"/>
  <c r="BL84" i="15"/>
  <c r="BL83" i="15"/>
  <c r="BL81" i="15"/>
  <c r="BL62" i="15"/>
  <c r="BL61" i="15"/>
  <c r="BL60" i="15"/>
  <c r="BL59" i="15"/>
  <c r="BL58" i="15"/>
  <c r="BL57" i="15"/>
  <c r="BL56" i="15"/>
  <c r="BL55" i="15"/>
  <c r="BL54" i="15"/>
  <c r="BL53" i="15"/>
  <c r="BL52" i="15"/>
  <c r="BL51" i="15"/>
  <c r="BL50" i="15"/>
  <c r="BL49" i="15"/>
  <c r="BL48" i="15"/>
  <c r="BL47" i="15"/>
  <c r="BL46" i="15"/>
  <c r="BL45" i="15"/>
  <c r="BL44" i="15"/>
  <c r="BL43" i="15"/>
  <c r="BL42" i="15"/>
  <c r="BL41" i="15"/>
  <c r="BL40" i="15"/>
  <c r="BL39" i="15"/>
  <c r="BL38" i="15"/>
  <c r="BL37" i="15"/>
  <c r="BL36" i="15"/>
  <c r="BL35" i="15"/>
  <c r="BL34" i="15"/>
  <c r="BL33" i="15"/>
  <c r="BL32" i="15"/>
  <c r="BL31" i="15"/>
  <c r="BL30" i="15"/>
  <c r="BL29" i="15"/>
  <c r="BL28" i="15"/>
  <c r="BL27" i="15"/>
  <c r="BL26" i="15"/>
  <c r="BL25" i="15"/>
  <c r="BL24" i="15"/>
  <c r="BL23" i="15"/>
  <c r="BL22" i="15"/>
  <c r="BL21" i="15"/>
  <c r="BL20" i="15"/>
  <c r="BL19" i="15"/>
  <c r="BL18" i="15"/>
  <c r="BL17" i="15"/>
  <c r="BL16" i="15"/>
  <c r="BL15" i="15"/>
  <c r="BL14" i="15"/>
  <c r="BL13" i="15"/>
  <c r="BL12" i="15"/>
  <c r="BL11" i="15"/>
  <c r="BL10" i="15"/>
  <c r="BL9" i="15"/>
  <c r="BL8" i="15"/>
  <c r="BL7" i="15"/>
  <c r="BL6" i="15"/>
  <c r="BL5" i="15"/>
  <c r="BL4" i="15"/>
  <c r="BJ148" i="15"/>
  <c r="BJ147" i="15"/>
  <c r="BJ146" i="15"/>
  <c r="BJ145" i="15"/>
  <c r="BJ144" i="15"/>
  <c r="BJ143" i="15"/>
  <c r="BJ142" i="15"/>
  <c r="BJ141" i="15"/>
  <c r="BJ140" i="15"/>
  <c r="BJ139" i="15"/>
  <c r="BJ138" i="15"/>
  <c r="BJ137" i="15"/>
  <c r="BJ136" i="15"/>
  <c r="BJ135" i="15"/>
  <c r="BJ134" i="15"/>
  <c r="BJ133" i="15"/>
  <c r="BJ132" i="15"/>
  <c r="BJ131" i="15"/>
  <c r="BJ130" i="15"/>
  <c r="BJ129" i="15"/>
  <c r="BJ128" i="15"/>
  <c r="BJ127" i="15"/>
  <c r="BJ126" i="15"/>
  <c r="BJ125" i="15"/>
  <c r="BJ124" i="15"/>
  <c r="BJ123" i="15"/>
  <c r="BJ122" i="15"/>
  <c r="BJ121" i="15"/>
  <c r="BJ120" i="15"/>
  <c r="BJ119" i="15"/>
  <c r="BJ118" i="15"/>
  <c r="BJ117" i="15"/>
  <c r="BJ116" i="15"/>
  <c r="BJ115" i="15"/>
  <c r="BJ114" i="15"/>
  <c r="BJ113" i="15"/>
  <c r="BJ112" i="15"/>
  <c r="BJ111" i="15"/>
  <c r="BJ110" i="15"/>
  <c r="BJ109" i="15"/>
  <c r="BJ108" i="15"/>
  <c r="BJ107" i="15"/>
  <c r="BJ106" i="15"/>
  <c r="BJ105" i="15"/>
  <c r="BJ104" i="15"/>
  <c r="BJ103" i="15"/>
  <c r="BJ102" i="15"/>
  <c r="BJ101" i="15"/>
  <c r="BJ100" i="15"/>
  <c r="BJ99" i="15"/>
  <c r="BJ98" i="15"/>
  <c r="BJ97" i="15"/>
  <c r="BJ96" i="15"/>
  <c r="BJ95" i="15"/>
  <c r="BJ93" i="15"/>
  <c r="BJ92" i="15"/>
  <c r="BJ91" i="15"/>
  <c r="BJ90" i="15"/>
  <c r="BJ89" i="15"/>
  <c r="BJ88" i="15"/>
  <c r="BJ87" i="15"/>
  <c r="BJ86" i="15"/>
  <c r="BJ85" i="15"/>
  <c r="BJ84" i="15"/>
  <c r="BJ83" i="15"/>
  <c r="BJ81" i="15"/>
  <c r="BJ62" i="15"/>
  <c r="BJ61" i="15"/>
  <c r="BJ60" i="15"/>
  <c r="BJ59" i="15"/>
  <c r="BJ58" i="15"/>
  <c r="BJ57" i="15"/>
  <c r="BJ56" i="15"/>
  <c r="BJ55" i="15"/>
  <c r="BJ54" i="15"/>
  <c r="BJ53" i="15"/>
  <c r="BJ52" i="15"/>
  <c r="BJ51" i="15"/>
  <c r="BJ50" i="15"/>
  <c r="BJ49" i="15"/>
  <c r="BJ48" i="15"/>
  <c r="BJ47" i="15"/>
  <c r="BJ46" i="15"/>
  <c r="BJ45" i="15"/>
  <c r="BJ44" i="15"/>
  <c r="BJ43" i="15"/>
  <c r="BJ42" i="15"/>
  <c r="BJ41" i="15"/>
  <c r="BJ40" i="15"/>
  <c r="BJ39" i="15"/>
  <c r="BJ38" i="15"/>
  <c r="BJ37" i="15"/>
  <c r="BJ36" i="15"/>
  <c r="BJ35" i="15"/>
  <c r="BJ34" i="15"/>
  <c r="BJ33" i="15"/>
  <c r="BJ32" i="15"/>
  <c r="BJ31" i="15"/>
  <c r="BJ30" i="15"/>
  <c r="BJ29" i="15"/>
  <c r="BJ28" i="15"/>
  <c r="BJ27" i="15"/>
  <c r="BJ26" i="15"/>
  <c r="BJ25" i="15"/>
  <c r="BJ24" i="15"/>
  <c r="BJ23" i="15"/>
  <c r="BJ22" i="15"/>
  <c r="BJ21" i="15"/>
  <c r="BJ20" i="15"/>
  <c r="BJ19" i="15"/>
  <c r="BJ18" i="15"/>
  <c r="BJ17" i="15"/>
  <c r="BJ16" i="15"/>
  <c r="BJ15" i="15"/>
  <c r="BJ14" i="15"/>
  <c r="BJ13" i="15"/>
  <c r="BJ12" i="15"/>
  <c r="BJ11" i="15"/>
  <c r="BJ10" i="15"/>
  <c r="BJ9" i="15"/>
  <c r="BJ8" i="15"/>
  <c r="BJ7" i="15"/>
  <c r="BJ6" i="15"/>
  <c r="BJ5" i="15"/>
  <c r="BJ4" i="15"/>
  <c r="BH148" i="15"/>
  <c r="BH147" i="15"/>
  <c r="BH146" i="15"/>
  <c r="BH145" i="15"/>
  <c r="BH144" i="15"/>
  <c r="BH143" i="15"/>
  <c r="BH142" i="15"/>
  <c r="BH141" i="15"/>
  <c r="BH140" i="15"/>
  <c r="BH139" i="15"/>
  <c r="BH138" i="15"/>
  <c r="BH137" i="15"/>
  <c r="BH136" i="15"/>
  <c r="BH135" i="15"/>
  <c r="BH134" i="15"/>
  <c r="BH133" i="15"/>
  <c r="BH132" i="15"/>
  <c r="BH131" i="15"/>
  <c r="BH130" i="15"/>
  <c r="BH129" i="15"/>
  <c r="BH128" i="15"/>
  <c r="BH127" i="15"/>
  <c r="BH126" i="15"/>
  <c r="BH125" i="15"/>
  <c r="BH124" i="15"/>
  <c r="BH123" i="15"/>
  <c r="BH122" i="15"/>
  <c r="BH121" i="15"/>
  <c r="BH120" i="15"/>
  <c r="BH119" i="15"/>
  <c r="BH118" i="15"/>
  <c r="BH117" i="15"/>
  <c r="BH116" i="15"/>
  <c r="BH115" i="15"/>
  <c r="BH114" i="15"/>
  <c r="BH113" i="15"/>
  <c r="BH112" i="15"/>
  <c r="BH111" i="15"/>
  <c r="BH110" i="15"/>
  <c r="BH109" i="15"/>
  <c r="BH108" i="15"/>
  <c r="BH107" i="15"/>
  <c r="BH106" i="15"/>
  <c r="BH105" i="15"/>
  <c r="BH104" i="15"/>
  <c r="BH103" i="15"/>
  <c r="BH102" i="15"/>
  <c r="BH101" i="15"/>
  <c r="BH100" i="15"/>
  <c r="BH99" i="15"/>
  <c r="BH98" i="15"/>
  <c r="BH97" i="15"/>
  <c r="BH96" i="15"/>
  <c r="BH95" i="15"/>
  <c r="BH93" i="15"/>
  <c r="BH92" i="15"/>
  <c r="BH91" i="15"/>
  <c r="BH90" i="15"/>
  <c r="BH89" i="15"/>
  <c r="BH88" i="15"/>
  <c r="BH87" i="15"/>
  <c r="BH86" i="15"/>
  <c r="BH85" i="15"/>
  <c r="BH84" i="15"/>
  <c r="BH83" i="15"/>
  <c r="BH81" i="15"/>
  <c r="BH62" i="15"/>
  <c r="BH61" i="15"/>
  <c r="BH60" i="15"/>
  <c r="BH59" i="15"/>
  <c r="BH58" i="15"/>
  <c r="BH57" i="15"/>
  <c r="BH56" i="15"/>
  <c r="BH55" i="15"/>
  <c r="BH54" i="15"/>
  <c r="BH53" i="15"/>
  <c r="BH52" i="15"/>
  <c r="BH51" i="15"/>
  <c r="BH50" i="15"/>
  <c r="BH49" i="15"/>
  <c r="BH48" i="15"/>
  <c r="BH47" i="15"/>
  <c r="BH46" i="15"/>
  <c r="BH45" i="15"/>
  <c r="BH44" i="15"/>
  <c r="BH43" i="15"/>
  <c r="BH42" i="15"/>
  <c r="BH41" i="15"/>
  <c r="BH40" i="15"/>
  <c r="BH39" i="15"/>
  <c r="BH38" i="15"/>
  <c r="BH37" i="15"/>
  <c r="BH36" i="15"/>
  <c r="BH35" i="15"/>
  <c r="BH34" i="15"/>
  <c r="BH33" i="15"/>
  <c r="BH32" i="15"/>
  <c r="BH31" i="15"/>
  <c r="BH30" i="15"/>
  <c r="BH29" i="15"/>
  <c r="BH28" i="15"/>
  <c r="BH27" i="15"/>
  <c r="BH26" i="15"/>
  <c r="BH25" i="15"/>
  <c r="BH24" i="15"/>
  <c r="BH23" i="15"/>
  <c r="BH22" i="15"/>
  <c r="BH21" i="15"/>
  <c r="BH20" i="15"/>
  <c r="BH19" i="15"/>
  <c r="BH18" i="15"/>
  <c r="BH17" i="15"/>
  <c r="BH16" i="15"/>
  <c r="BH15" i="15"/>
  <c r="BH14" i="15"/>
  <c r="BH13" i="15"/>
  <c r="BH12" i="15"/>
  <c r="BH11" i="15"/>
  <c r="BH10" i="15"/>
  <c r="BH9" i="15"/>
  <c r="BH8" i="15"/>
  <c r="BH7" i="15"/>
  <c r="BH6" i="15"/>
  <c r="BH5" i="15"/>
  <c r="BH4" i="15"/>
  <c r="BF148" i="15"/>
  <c r="BF147" i="15"/>
  <c r="BF146" i="15"/>
  <c r="BF145" i="15"/>
  <c r="BF144" i="15"/>
  <c r="BF143" i="15"/>
  <c r="BF142" i="15"/>
  <c r="BF141" i="15"/>
  <c r="BF140" i="15"/>
  <c r="BF139" i="15"/>
  <c r="BF138" i="15"/>
  <c r="BF137" i="15"/>
  <c r="BF136" i="15"/>
  <c r="BF135" i="15"/>
  <c r="BF134" i="15"/>
  <c r="BF133" i="15"/>
  <c r="BF132" i="15"/>
  <c r="BF131" i="15"/>
  <c r="BF130" i="15"/>
  <c r="BF129" i="15"/>
  <c r="BF128" i="15"/>
  <c r="BF127" i="15"/>
  <c r="BF126" i="15"/>
  <c r="BF125" i="15"/>
  <c r="BF124" i="15"/>
  <c r="BF123" i="15"/>
  <c r="BF122" i="15"/>
  <c r="BF121" i="15"/>
  <c r="BF120" i="15"/>
  <c r="BF119" i="15"/>
  <c r="BF118" i="15"/>
  <c r="BF117" i="15"/>
  <c r="BF116" i="15"/>
  <c r="BF115" i="15"/>
  <c r="BF114" i="15"/>
  <c r="BF113" i="15"/>
  <c r="BF112" i="15"/>
  <c r="BF111" i="15"/>
  <c r="BF110" i="15"/>
  <c r="BF109" i="15"/>
  <c r="BF108" i="15"/>
  <c r="BF107" i="15"/>
  <c r="BF106" i="15"/>
  <c r="BF105" i="15"/>
  <c r="BF104" i="15"/>
  <c r="BF103" i="15"/>
  <c r="BF102" i="15"/>
  <c r="BF101" i="15"/>
  <c r="BF100" i="15"/>
  <c r="BF99" i="15"/>
  <c r="BF98" i="15"/>
  <c r="BF97" i="15"/>
  <c r="BF96" i="15"/>
  <c r="BF95" i="15"/>
  <c r="BF93" i="15"/>
  <c r="BF92" i="15"/>
  <c r="BF91" i="15"/>
  <c r="BF90" i="15"/>
  <c r="BF89" i="15"/>
  <c r="BF88" i="15"/>
  <c r="BF87" i="15"/>
  <c r="BF86" i="15"/>
  <c r="BF85" i="15"/>
  <c r="BF84" i="15"/>
  <c r="BF83" i="15"/>
  <c r="BF81" i="15"/>
  <c r="BF62" i="15"/>
  <c r="BF61" i="15"/>
  <c r="BF60" i="15"/>
  <c r="BF59" i="15"/>
  <c r="BF58" i="15"/>
  <c r="BF57" i="15"/>
  <c r="BF56" i="15"/>
  <c r="BF55" i="15"/>
  <c r="BF54" i="15"/>
  <c r="BF53" i="15"/>
  <c r="BF52" i="15"/>
  <c r="BF51" i="15"/>
  <c r="BF50" i="15"/>
  <c r="BF49" i="15"/>
  <c r="BF48" i="15"/>
  <c r="BF47" i="15"/>
  <c r="BF46" i="15"/>
  <c r="BF45" i="15"/>
  <c r="BF44" i="15"/>
  <c r="BF43" i="15"/>
  <c r="BF42" i="15"/>
  <c r="BF41" i="15"/>
  <c r="BF40" i="15"/>
  <c r="BF39" i="15"/>
  <c r="BF38" i="15"/>
  <c r="BF37" i="15"/>
  <c r="BF36" i="15"/>
  <c r="BF35" i="15"/>
  <c r="BF34" i="15"/>
  <c r="BF33" i="15"/>
  <c r="BF32" i="15"/>
  <c r="BF31" i="15"/>
  <c r="BF30" i="15"/>
  <c r="BF29" i="15"/>
  <c r="BF28" i="15"/>
  <c r="BF27" i="15"/>
  <c r="BF26" i="15"/>
  <c r="BF25" i="15"/>
  <c r="BF24" i="15"/>
  <c r="BF23" i="15"/>
  <c r="BF22" i="15"/>
  <c r="BF21" i="15"/>
  <c r="BF20" i="15"/>
  <c r="BF19" i="15"/>
  <c r="BF18" i="15"/>
  <c r="BF17" i="15"/>
  <c r="BF16" i="15"/>
  <c r="BF15" i="15"/>
  <c r="BF14" i="15"/>
  <c r="BF13" i="15"/>
  <c r="BF12" i="15"/>
  <c r="BF11" i="15"/>
  <c r="BF10" i="15"/>
  <c r="BF9" i="15"/>
  <c r="BF8" i="15"/>
  <c r="BF7" i="15"/>
  <c r="BF6" i="15"/>
  <c r="BF5" i="15"/>
  <c r="BF4" i="15"/>
  <c r="BD148" i="15"/>
  <c r="BD147" i="15"/>
  <c r="BD146" i="15"/>
  <c r="BD145" i="15"/>
  <c r="BD144" i="15"/>
  <c r="BD143" i="15"/>
  <c r="BD142" i="15"/>
  <c r="BD141" i="15"/>
  <c r="BD140" i="15"/>
  <c r="BD139" i="15"/>
  <c r="BD138" i="15"/>
  <c r="BD137" i="15"/>
  <c r="BD136" i="15"/>
  <c r="BD135" i="15"/>
  <c r="BD134" i="15"/>
  <c r="BD133" i="15"/>
  <c r="BD132" i="15"/>
  <c r="BD131" i="15"/>
  <c r="BD130" i="15"/>
  <c r="BD129" i="15"/>
  <c r="BD128" i="15"/>
  <c r="BD127" i="15"/>
  <c r="BD126" i="15"/>
  <c r="BD125" i="15"/>
  <c r="BD124" i="15"/>
  <c r="BD123" i="15"/>
  <c r="BD122" i="15"/>
  <c r="BD121" i="15"/>
  <c r="BD120" i="15"/>
  <c r="BD119" i="15"/>
  <c r="BD118" i="15"/>
  <c r="BD117" i="15"/>
  <c r="BD116" i="15"/>
  <c r="BD115" i="15"/>
  <c r="BD114" i="15"/>
  <c r="BD113" i="15"/>
  <c r="BD112" i="15"/>
  <c r="BD111" i="15"/>
  <c r="BD110" i="15"/>
  <c r="BD109" i="15"/>
  <c r="BD108" i="15"/>
  <c r="BD107" i="15"/>
  <c r="BD106" i="15"/>
  <c r="BD105" i="15"/>
  <c r="BD104" i="15"/>
  <c r="BD103" i="15"/>
  <c r="BD102" i="15"/>
  <c r="BD101" i="15"/>
  <c r="BD100" i="15"/>
  <c r="BD99" i="15"/>
  <c r="BD98" i="15"/>
  <c r="BD97" i="15"/>
  <c r="BD96" i="15"/>
  <c r="BD95" i="15"/>
  <c r="BD93" i="15"/>
  <c r="BD92" i="15"/>
  <c r="BD91" i="15"/>
  <c r="BD90" i="15"/>
  <c r="BD89" i="15"/>
  <c r="BD88" i="15"/>
  <c r="BD87" i="15"/>
  <c r="BD86" i="15"/>
  <c r="BD85" i="15"/>
  <c r="BD84" i="15"/>
  <c r="BD83" i="15"/>
  <c r="BD81" i="15"/>
  <c r="BD62" i="15"/>
  <c r="BD61" i="15"/>
  <c r="BD60" i="15"/>
  <c r="BD59" i="15"/>
  <c r="BD58" i="15"/>
  <c r="BD57" i="15"/>
  <c r="BD56" i="15"/>
  <c r="BD55" i="15"/>
  <c r="BD54" i="15"/>
  <c r="BD53" i="15"/>
  <c r="BD52" i="15"/>
  <c r="BD51" i="15"/>
  <c r="BD50" i="15"/>
  <c r="BD49" i="15"/>
  <c r="BD48" i="15"/>
  <c r="BD47" i="15"/>
  <c r="BD46" i="15"/>
  <c r="BD45" i="15"/>
  <c r="BD44" i="15"/>
  <c r="BD43" i="15"/>
  <c r="BD42" i="15"/>
  <c r="BD41" i="15"/>
  <c r="BD40" i="15"/>
  <c r="BD39" i="15"/>
  <c r="BD38" i="15"/>
  <c r="BD37" i="15"/>
  <c r="BD36" i="15"/>
  <c r="BD35" i="15"/>
  <c r="BD34" i="15"/>
  <c r="BD33" i="15"/>
  <c r="BD32" i="15"/>
  <c r="BD31" i="15"/>
  <c r="BD30" i="15"/>
  <c r="BD29" i="15"/>
  <c r="BD28" i="15"/>
  <c r="BD27" i="15"/>
  <c r="BD26" i="15"/>
  <c r="BD25" i="15"/>
  <c r="BD24" i="15"/>
  <c r="BD23" i="15"/>
  <c r="BD22" i="15"/>
  <c r="BD21" i="15"/>
  <c r="BD20" i="15"/>
  <c r="BD19" i="15"/>
  <c r="BD18" i="15"/>
  <c r="BD17" i="15"/>
  <c r="BD16" i="15"/>
  <c r="BD15" i="15"/>
  <c r="BD14" i="15"/>
  <c r="BD13" i="15"/>
  <c r="BD12" i="15"/>
  <c r="BD11" i="15"/>
  <c r="BD10" i="15"/>
  <c r="BD9" i="15"/>
  <c r="BD8" i="15"/>
  <c r="BD7" i="15"/>
  <c r="BD6" i="15"/>
  <c r="BD5" i="15"/>
  <c r="BD4" i="15"/>
  <c r="BB148" i="15"/>
  <c r="BB147" i="15"/>
  <c r="BB146" i="15"/>
  <c r="BB145" i="15"/>
  <c r="BB144" i="15"/>
  <c r="BB143" i="15"/>
  <c r="BB142" i="15"/>
  <c r="BB141" i="15"/>
  <c r="BB140" i="15"/>
  <c r="BB139" i="15"/>
  <c r="BB138" i="15"/>
  <c r="BB137" i="15"/>
  <c r="BB136" i="15"/>
  <c r="BB135" i="15"/>
  <c r="BB134" i="15"/>
  <c r="BB133" i="15"/>
  <c r="BB132" i="15"/>
  <c r="BB131" i="15"/>
  <c r="BB130" i="15"/>
  <c r="BB129" i="15"/>
  <c r="BB128" i="15"/>
  <c r="BB127" i="15"/>
  <c r="BB126" i="15"/>
  <c r="BB125" i="15"/>
  <c r="BB124" i="15"/>
  <c r="BB123" i="15"/>
  <c r="BB122" i="15"/>
  <c r="BB121" i="15"/>
  <c r="BB120" i="15"/>
  <c r="BB119" i="15"/>
  <c r="BB118" i="15"/>
  <c r="BB117" i="15"/>
  <c r="BB116" i="15"/>
  <c r="BB115" i="15"/>
  <c r="BB114" i="15"/>
  <c r="BB113" i="15"/>
  <c r="BB112" i="15"/>
  <c r="BB111" i="15"/>
  <c r="BB110" i="15"/>
  <c r="BB109" i="15"/>
  <c r="BB108" i="15"/>
  <c r="BB107" i="15"/>
  <c r="BB106" i="15"/>
  <c r="BB105" i="15"/>
  <c r="BB104" i="15"/>
  <c r="BB103" i="15"/>
  <c r="BB102" i="15"/>
  <c r="BB101" i="15"/>
  <c r="BB100" i="15"/>
  <c r="BB99" i="15"/>
  <c r="BB98" i="15"/>
  <c r="BB97" i="15"/>
  <c r="BB96" i="15"/>
  <c r="BB95" i="15"/>
  <c r="BB93" i="15"/>
  <c r="BB92" i="15"/>
  <c r="BB91" i="15"/>
  <c r="BB90" i="15"/>
  <c r="BB89" i="15"/>
  <c r="BB88" i="15"/>
  <c r="BB87" i="15"/>
  <c r="BB86" i="15"/>
  <c r="BB85" i="15"/>
  <c r="BB84" i="15"/>
  <c r="BB83" i="15"/>
  <c r="BB81" i="15"/>
  <c r="BB62" i="15"/>
  <c r="BB61" i="15"/>
  <c r="BB60" i="15"/>
  <c r="BB59" i="15"/>
  <c r="BB58" i="15"/>
  <c r="BB57" i="15"/>
  <c r="BB56" i="15"/>
  <c r="BB55" i="15"/>
  <c r="BB54" i="15"/>
  <c r="BB53" i="15"/>
  <c r="BB52" i="15"/>
  <c r="BB51" i="15"/>
  <c r="BB50" i="15"/>
  <c r="BB49" i="15"/>
  <c r="BB48" i="15"/>
  <c r="BB47" i="15"/>
  <c r="BB46" i="15"/>
  <c r="BB45" i="15"/>
  <c r="BB44" i="15"/>
  <c r="BB43" i="15"/>
  <c r="BB42" i="15"/>
  <c r="BB41" i="15"/>
  <c r="BB40" i="15"/>
  <c r="BB39" i="15"/>
  <c r="BB38" i="15"/>
  <c r="BB37" i="15"/>
  <c r="BB36" i="15"/>
  <c r="BB35" i="15"/>
  <c r="BB34" i="15"/>
  <c r="BB33" i="15"/>
  <c r="BB32" i="15"/>
  <c r="BB31" i="15"/>
  <c r="BB30" i="15"/>
  <c r="BB29" i="15"/>
  <c r="BB28" i="15"/>
  <c r="BB27" i="15"/>
  <c r="BB26" i="15"/>
  <c r="BB25" i="15"/>
  <c r="BB24" i="15"/>
  <c r="BB23" i="15"/>
  <c r="BB22" i="15"/>
  <c r="BB21" i="15"/>
  <c r="BB20" i="15"/>
  <c r="BB19" i="15"/>
  <c r="BB18" i="15"/>
  <c r="BB17" i="15"/>
  <c r="BB16" i="15"/>
  <c r="BB15" i="15"/>
  <c r="BB14" i="15"/>
  <c r="BB13" i="15"/>
  <c r="BB12" i="15"/>
  <c r="BB11" i="15"/>
  <c r="BB10" i="15"/>
  <c r="BB9" i="15"/>
  <c r="BB8" i="15"/>
  <c r="BB7" i="15"/>
  <c r="BB6" i="15"/>
  <c r="BB5" i="15"/>
  <c r="BB4" i="15"/>
  <c r="AZ81" i="15"/>
  <c r="AZ80" i="15"/>
  <c r="AZ62" i="15"/>
  <c r="AZ61" i="15"/>
  <c r="AZ60" i="15"/>
  <c r="AZ59" i="15"/>
  <c r="AZ58" i="15"/>
  <c r="AZ57" i="15"/>
  <c r="AZ56" i="15"/>
  <c r="AZ55" i="15"/>
  <c r="AZ54" i="15"/>
  <c r="AZ53" i="15"/>
  <c r="AZ52" i="15"/>
  <c r="AZ51" i="15"/>
  <c r="AZ50" i="15"/>
  <c r="AZ49" i="15"/>
  <c r="AZ48" i="15"/>
  <c r="AZ47" i="15"/>
  <c r="AZ46" i="15"/>
  <c r="AZ45" i="15"/>
  <c r="AZ44" i="15"/>
  <c r="AZ43" i="15"/>
  <c r="AZ42" i="15"/>
  <c r="AZ41" i="15"/>
  <c r="AZ40" i="15"/>
  <c r="AZ39" i="15"/>
  <c r="AZ38" i="15"/>
  <c r="AZ37" i="15"/>
  <c r="AZ36" i="15"/>
  <c r="AZ35" i="15"/>
  <c r="AZ34" i="15"/>
  <c r="AZ33" i="15"/>
  <c r="AZ32" i="15"/>
  <c r="AZ31" i="15"/>
  <c r="AZ30" i="15"/>
  <c r="AZ29" i="15"/>
  <c r="AZ28" i="15"/>
  <c r="AZ27" i="15"/>
  <c r="AZ26" i="15"/>
  <c r="AZ25" i="15"/>
  <c r="AZ24" i="15"/>
  <c r="AZ23" i="15"/>
  <c r="AZ22" i="15"/>
  <c r="AZ21" i="15"/>
  <c r="AZ20" i="15"/>
  <c r="AZ19" i="15"/>
  <c r="AZ18" i="15"/>
  <c r="AZ17" i="15"/>
  <c r="AZ16" i="15"/>
  <c r="AZ15" i="15"/>
  <c r="AZ14" i="15"/>
  <c r="AZ13" i="15"/>
  <c r="AZ12" i="15"/>
  <c r="AZ11" i="15"/>
  <c r="AZ10" i="15"/>
  <c r="AZ9" i="15"/>
  <c r="AZ8" i="15"/>
  <c r="AZ7" i="15"/>
  <c r="AZ6" i="15"/>
  <c r="AZ5" i="15"/>
  <c r="AX96" i="15"/>
  <c r="AX95" i="15"/>
  <c r="AX93" i="15"/>
  <c r="AX92" i="15"/>
  <c r="AX91" i="15"/>
  <c r="AX90" i="15"/>
  <c r="AX89" i="15"/>
  <c r="AX88" i="15"/>
  <c r="AX87" i="15"/>
  <c r="AX86" i="15"/>
  <c r="AX85" i="15"/>
  <c r="AX84" i="15"/>
  <c r="AX83" i="15"/>
  <c r="AX81" i="15"/>
  <c r="AV148" i="15" l="1"/>
  <c r="AV147" i="15"/>
  <c r="AV146" i="15"/>
  <c r="AV145" i="15"/>
  <c r="AV144" i="15"/>
  <c r="AV143" i="15"/>
  <c r="AV142" i="15"/>
  <c r="AV141" i="15"/>
  <c r="AV140" i="15"/>
  <c r="AV139" i="15"/>
  <c r="AV138" i="15"/>
  <c r="AV137" i="15"/>
  <c r="AV136" i="15"/>
  <c r="AV135" i="15"/>
  <c r="AV134" i="15"/>
  <c r="AV133" i="15"/>
  <c r="AV132" i="15"/>
  <c r="AV131" i="15"/>
  <c r="AV130" i="15"/>
  <c r="AV129" i="15"/>
  <c r="AV128" i="15"/>
  <c r="AV127" i="15"/>
  <c r="AV126" i="15"/>
  <c r="AV125" i="15"/>
  <c r="AV124" i="15"/>
  <c r="AV123" i="15"/>
  <c r="AV122" i="15"/>
  <c r="AV121" i="15"/>
  <c r="AV120" i="15"/>
  <c r="AV119" i="15"/>
  <c r="AV118" i="15"/>
  <c r="AV117" i="15"/>
  <c r="AV116" i="15"/>
  <c r="AV115" i="15"/>
  <c r="AV114" i="15"/>
  <c r="AV113" i="15"/>
  <c r="AV112" i="15"/>
  <c r="AV111" i="15"/>
  <c r="AV110" i="15"/>
  <c r="AV109" i="15"/>
  <c r="AV108" i="15"/>
  <c r="AV107" i="15"/>
  <c r="AV106" i="15"/>
  <c r="AV105" i="15"/>
  <c r="AV104" i="15"/>
  <c r="AV103" i="15"/>
  <c r="AV102" i="15"/>
  <c r="AV101" i="15"/>
  <c r="AV100" i="15"/>
  <c r="AV99" i="15"/>
  <c r="AV98" i="15"/>
  <c r="AV97" i="15"/>
  <c r="AV96" i="15"/>
  <c r="AV95" i="15"/>
  <c r="AV93" i="15"/>
  <c r="AV92" i="15"/>
  <c r="AV91" i="15"/>
  <c r="AV90" i="15"/>
  <c r="AV89" i="15"/>
  <c r="AV88" i="15"/>
  <c r="AV87" i="15"/>
  <c r="AV86" i="15"/>
  <c r="AV85" i="15"/>
  <c r="AV84" i="15"/>
  <c r="AV83" i="15"/>
  <c r="AV81" i="15"/>
  <c r="AV80" i="15"/>
  <c r="AV62" i="15"/>
  <c r="AV61" i="15"/>
  <c r="AV60" i="15"/>
  <c r="AV59" i="15"/>
  <c r="AV58" i="15"/>
  <c r="AV57" i="15"/>
  <c r="AV56" i="15"/>
  <c r="AV55" i="15"/>
  <c r="AV54" i="15"/>
  <c r="AV53" i="15"/>
  <c r="AV52" i="15"/>
  <c r="AV51" i="15"/>
  <c r="AV50" i="15"/>
  <c r="AV49" i="15"/>
  <c r="AV48" i="15"/>
  <c r="AV47" i="15"/>
  <c r="AV46" i="15"/>
  <c r="AV45" i="15"/>
  <c r="AV44" i="15"/>
  <c r="AV43" i="15"/>
  <c r="AV42" i="15"/>
  <c r="AV41" i="15"/>
  <c r="AV40" i="15"/>
  <c r="AV39" i="15"/>
  <c r="AV38" i="15"/>
  <c r="AV37" i="15"/>
  <c r="AV36" i="15"/>
  <c r="AV35" i="15"/>
  <c r="AV34" i="15"/>
  <c r="AV33" i="15"/>
  <c r="AV32" i="15"/>
  <c r="AV31" i="15"/>
  <c r="AV30" i="15"/>
  <c r="AV29" i="15"/>
  <c r="AV28" i="15"/>
  <c r="AV27" i="15"/>
  <c r="AV26" i="15"/>
  <c r="AV25" i="15"/>
  <c r="AV24" i="15"/>
  <c r="AV23" i="15"/>
  <c r="AV22" i="15"/>
  <c r="AV21" i="15"/>
  <c r="AV20" i="15"/>
  <c r="AV19" i="15"/>
  <c r="AV18" i="15"/>
  <c r="AV17" i="15"/>
  <c r="AV16" i="15"/>
  <c r="AV15" i="15"/>
  <c r="AV14" i="15"/>
  <c r="AV13" i="15"/>
  <c r="AV12" i="15"/>
  <c r="AV11" i="15"/>
  <c r="AV10" i="15"/>
  <c r="AV9" i="15"/>
  <c r="AV8" i="15"/>
  <c r="AV7" i="15"/>
  <c r="AV6" i="15"/>
  <c r="AP96" i="15"/>
  <c r="AP95" i="15"/>
  <c r="AX14" i="15" l="1"/>
  <c r="AX13" i="15"/>
  <c r="AT13" i="15"/>
  <c r="AT14" i="15"/>
  <c r="AR13" i="15"/>
  <c r="AR14" i="15"/>
  <c r="AP13" i="15"/>
  <c r="AP14" i="15"/>
  <c r="AB84" i="15"/>
  <c r="AB96" i="15"/>
  <c r="AB95" i="15"/>
  <c r="AB14" i="15"/>
  <c r="AB13" i="15"/>
  <c r="AP93" i="15" l="1"/>
  <c r="AP92" i="15"/>
  <c r="AP91" i="15"/>
  <c r="AP90" i="15"/>
  <c r="AP89" i="15"/>
  <c r="AP88" i="15"/>
  <c r="AP87" i="15"/>
  <c r="AP86" i="15"/>
  <c r="AX33" i="15" l="1"/>
  <c r="AP33" i="15"/>
  <c r="AT33" i="15"/>
  <c r="AR33" i="15"/>
  <c r="AZ4" i="15" l="1"/>
  <c r="AT148" i="15"/>
  <c r="AT147" i="15"/>
  <c r="AT146" i="15"/>
  <c r="AT145" i="15"/>
  <c r="AT144" i="15"/>
  <c r="AT143" i="15"/>
  <c r="AT142" i="15"/>
  <c r="AT141" i="15"/>
  <c r="AT140" i="15"/>
  <c r="AT139" i="15"/>
  <c r="AT138" i="15"/>
  <c r="AT137" i="15"/>
  <c r="AT136" i="15"/>
  <c r="AT135" i="15"/>
  <c r="AT134" i="15"/>
  <c r="AT133" i="15"/>
  <c r="AT132" i="15"/>
  <c r="AT131" i="15"/>
  <c r="AT130" i="15"/>
  <c r="AT129" i="15"/>
  <c r="AT128" i="15"/>
  <c r="AT127" i="15"/>
  <c r="AT126" i="15"/>
  <c r="AT125" i="15"/>
  <c r="AT124" i="15"/>
  <c r="AT123" i="15"/>
  <c r="AT122" i="15"/>
  <c r="AT121" i="15"/>
  <c r="AT120" i="15"/>
  <c r="AT119" i="15"/>
  <c r="AT118" i="15"/>
  <c r="AT117" i="15"/>
  <c r="AT116" i="15"/>
  <c r="AT115" i="15"/>
  <c r="AT114" i="15"/>
  <c r="AT113" i="15"/>
  <c r="AT112" i="15"/>
  <c r="AT111" i="15"/>
  <c r="AT110" i="15"/>
  <c r="AT109" i="15"/>
  <c r="AT108" i="15"/>
  <c r="AT107" i="15"/>
  <c r="AT106" i="15"/>
  <c r="AT105" i="15"/>
  <c r="AT104" i="15"/>
  <c r="AT103" i="15"/>
  <c r="AT102" i="15"/>
  <c r="AT101" i="15"/>
  <c r="AT100" i="15"/>
  <c r="AT99" i="15"/>
  <c r="AT98" i="15"/>
  <c r="AT97" i="15"/>
  <c r="AT96" i="15"/>
  <c r="AT95" i="15"/>
  <c r="AT93" i="15"/>
  <c r="AT92" i="15"/>
  <c r="AT91" i="15"/>
  <c r="AT90" i="15"/>
  <c r="AT89" i="15"/>
  <c r="AT88" i="15"/>
  <c r="AT87" i="15"/>
  <c r="AT86" i="15"/>
  <c r="AT85" i="15"/>
  <c r="AT81" i="15"/>
  <c r="AT80" i="15"/>
  <c r="AT62" i="15"/>
  <c r="AT61" i="15"/>
  <c r="AT60" i="15"/>
  <c r="AT59" i="15"/>
  <c r="AT58" i="15"/>
  <c r="AT57" i="15"/>
  <c r="AT56" i="15"/>
  <c r="AT55" i="15"/>
  <c r="AT54" i="15"/>
  <c r="AT53" i="15"/>
  <c r="AT52" i="15"/>
  <c r="AT51" i="15"/>
  <c r="AT50" i="15"/>
  <c r="AT49" i="15"/>
  <c r="AT48" i="15"/>
  <c r="AT47" i="15"/>
  <c r="AT46" i="15"/>
  <c r="AT45" i="15"/>
  <c r="AT44" i="15"/>
  <c r="AT43" i="15"/>
  <c r="AT42" i="15"/>
  <c r="AT41" i="15"/>
  <c r="AT40" i="15"/>
  <c r="AT39" i="15"/>
  <c r="AT38" i="15"/>
  <c r="AT37" i="15"/>
  <c r="AT36" i="15"/>
  <c r="AT35" i="15"/>
  <c r="AT34" i="15"/>
  <c r="AT32" i="15"/>
  <c r="AT31" i="15"/>
  <c r="AT30" i="15"/>
  <c r="AT29" i="15"/>
  <c r="AT28" i="15"/>
  <c r="AT27" i="15"/>
  <c r="AT26" i="15"/>
  <c r="AT25" i="15"/>
  <c r="AT24" i="15"/>
  <c r="AT23" i="15"/>
  <c r="AT22" i="15"/>
  <c r="AT21" i="15"/>
  <c r="AT20" i="15"/>
  <c r="AT19" i="15"/>
  <c r="AT18" i="15"/>
  <c r="AT17" i="15"/>
  <c r="AT16" i="15"/>
  <c r="AT15" i="15"/>
  <c r="AT12" i="15"/>
  <c r="AT11" i="15"/>
  <c r="AT10" i="15"/>
  <c r="AT9" i="15"/>
  <c r="AT8" i="15"/>
  <c r="AT7" i="15"/>
  <c r="AT6" i="15"/>
  <c r="AT5" i="15"/>
  <c r="AT4" i="15"/>
  <c r="AR148" i="15"/>
  <c r="AR147" i="15"/>
  <c r="AR146" i="15"/>
  <c r="AR145" i="15"/>
  <c r="AR144" i="15"/>
  <c r="AR143" i="15"/>
  <c r="AR142" i="15"/>
  <c r="AR141" i="15"/>
  <c r="AR140" i="15"/>
  <c r="AR139" i="15"/>
  <c r="AR138" i="15"/>
  <c r="AR137" i="15"/>
  <c r="AR136" i="15"/>
  <c r="AR135" i="15"/>
  <c r="AR134" i="15"/>
  <c r="AR133" i="15"/>
  <c r="AR132" i="15"/>
  <c r="AR131" i="15"/>
  <c r="AR130" i="15"/>
  <c r="AR129" i="15"/>
  <c r="AR128" i="15"/>
  <c r="AR127" i="15"/>
  <c r="AR126" i="15"/>
  <c r="AR125" i="15"/>
  <c r="AR124" i="15"/>
  <c r="AR123" i="15"/>
  <c r="AR122" i="15"/>
  <c r="AR121" i="15"/>
  <c r="AR120" i="15"/>
  <c r="AR119" i="15"/>
  <c r="AR118" i="15"/>
  <c r="AR117" i="15"/>
  <c r="AR116" i="15"/>
  <c r="AR115" i="15"/>
  <c r="AR114" i="15"/>
  <c r="AR113" i="15"/>
  <c r="AR112" i="15"/>
  <c r="AR111" i="15"/>
  <c r="AR110" i="15"/>
  <c r="AR109" i="15"/>
  <c r="AR108" i="15"/>
  <c r="AR107" i="15"/>
  <c r="AR106" i="15"/>
  <c r="AR105" i="15"/>
  <c r="AR104" i="15"/>
  <c r="AR103" i="15"/>
  <c r="AR102" i="15"/>
  <c r="AR101" i="15"/>
  <c r="AR100" i="15"/>
  <c r="AR99" i="15"/>
  <c r="AR98" i="15"/>
  <c r="AR97" i="15"/>
  <c r="AR96" i="15"/>
  <c r="AR95" i="15"/>
  <c r="AR93" i="15"/>
  <c r="AR92" i="15"/>
  <c r="AR91" i="15"/>
  <c r="AR90" i="15"/>
  <c r="AR89" i="15"/>
  <c r="AR88" i="15"/>
  <c r="AR87" i="15"/>
  <c r="AR86" i="15"/>
  <c r="AR80" i="15"/>
  <c r="AR62" i="15"/>
  <c r="AR61" i="15"/>
  <c r="AR60" i="15"/>
  <c r="AR59" i="15"/>
  <c r="AR58" i="15"/>
  <c r="AR57" i="15"/>
  <c r="AR56" i="15"/>
  <c r="AR55" i="15"/>
  <c r="AR54" i="15"/>
  <c r="AR53" i="15"/>
  <c r="AR52" i="15"/>
  <c r="AR51" i="15"/>
  <c r="AR50" i="15"/>
  <c r="AR49" i="15"/>
  <c r="AR48" i="15"/>
  <c r="AR47" i="15"/>
  <c r="AR46" i="15"/>
  <c r="AR45" i="15"/>
  <c r="AR44" i="15"/>
  <c r="AR43" i="15"/>
  <c r="AR42" i="15"/>
  <c r="AR41" i="15"/>
  <c r="AR40" i="15"/>
  <c r="AR39" i="15"/>
  <c r="AR38" i="15"/>
  <c r="AR37" i="15"/>
  <c r="AR36" i="15"/>
  <c r="AR35" i="15"/>
  <c r="AR34" i="15"/>
  <c r="AR32" i="15"/>
  <c r="AR31" i="15"/>
  <c r="AR30" i="15"/>
  <c r="AR29" i="15"/>
  <c r="AR28" i="15"/>
  <c r="AR27" i="15"/>
  <c r="AR26" i="15"/>
  <c r="AR25" i="15"/>
  <c r="AR24" i="15"/>
  <c r="AR23" i="15"/>
  <c r="AR22" i="15"/>
  <c r="AR21" i="15"/>
  <c r="AR20" i="15"/>
  <c r="AR19" i="15"/>
  <c r="AR18" i="15"/>
  <c r="AR17" i="15"/>
  <c r="AR16" i="15"/>
  <c r="AR15" i="15"/>
  <c r="AR12" i="15"/>
  <c r="AR11" i="15"/>
  <c r="AR10" i="15"/>
  <c r="AR9" i="15"/>
  <c r="AR8" i="15"/>
  <c r="AR7" i="15"/>
  <c r="AR6" i="15"/>
  <c r="AR5" i="15"/>
  <c r="AR4" i="15"/>
  <c r="AP81" i="15"/>
  <c r="D34" i="17" l="1"/>
  <c r="AX17" i="15" l="1"/>
  <c r="AP17" i="15"/>
  <c r="D70" i="17" l="1"/>
  <c r="E70" i="17"/>
  <c r="F70" i="17"/>
  <c r="G128" i="17" l="1"/>
  <c r="G127" i="17"/>
  <c r="G126" i="17"/>
  <c r="G125" i="17"/>
  <c r="G124" i="17"/>
  <c r="G123" i="17"/>
  <c r="G122" i="17"/>
  <c r="G121" i="17"/>
  <c r="G120" i="17"/>
  <c r="G119" i="17"/>
  <c r="G118" i="17"/>
  <c r="G117" i="17"/>
  <c r="G116" i="17"/>
  <c r="G115" i="17"/>
  <c r="G114" i="17"/>
  <c r="G113" i="17"/>
  <c r="G112" i="17"/>
  <c r="G111" i="17"/>
  <c r="G110" i="17"/>
  <c r="G109" i="17"/>
  <c r="G108" i="17"/>
  <c r="F102" i="17"/>
  <c r="E102" i="17"/>
  <c r="D102" i="17"/>
  <c r="G97" i="17"/>
  <c r="G96" i="17"/>
  <c r="G95" i="17"/>
  <c r="G94" i="17"/>
  <c r="G93" i="17"/>
  <c r="G92" i="17"/>
  <c r="G91" i="17"/>
  <c r="G90" i="17"/>
  <c r="G89" i="17"/>
  <c r="G88" i="17"/>
  <c r="G87" i="17"/>
  <c r="G86" i="17"/>
  <c r="G85" i="17"/>
  <c r="G84" i="17"/>
  <c r="G83" i="17"/>
  <c r="G82" i="17"/>
  <c r="G81" i="17"/>
  <c r="G80" i="17"/>
  <c r="G79" i="17"/>
  <c r="G78" i="17"/>
  <c r="G77" i="17"/>
  <c r="G70" i="17"/>
  <c r="G72" i="17" s="1"/>
  <c r="G61" i="17"/>
  <c r="G60" i="17"/>
  <c r="G59" i="17"/>
  <c r="G58" i="17"/>
  <c r="G57" i="17"/>
  <c r="G56" i="17"/>
  <c r="G55" i="17"/>
  <c r="G54" i="17"/>
  <c r="G53" i="17"/>
  <c r="G52" i="17"/>
  <c r="G51" i="17"/>
  <c r="G50" i="17"/>
  <c r="G49" i="17"/>
  <c r="G48" i="17"/>
  <c r="G47" i="17"/>
  <c r="G46" i="17"/>
  <c r="G45" i="17"/>
  <c r="G44" i="17"/>
  <c r="G43" i="17"/>
  <c r="G42" i="17"/>
  <c r="G41" i="17"/>
  <c r="F34" i="17"/>
  <c r="E34" i="17"/>
  <c r="G25" i="17"/>
  <c r="G24" i="17"/>
  <c r="G23" i="17"/>
  <c r="G22" i="17"/>
  <c r="G21" i="17"/>
  <c r="G20" i="17"/>
  <c r="G19" i="17"/>
  <c r="G18" i="17"/>
  <c r="G17" i="17"/>
  <c r="G16" i="17"/>
  <c r="G15" i="17"/>
  <c r="G14" i="17"/>
  <c r="G13" i="17"/>
  <c r="G12" i="17"/>
  <c r="G11" i="17"/>
  <c r="G10" i="17"/>
  <c r="G9" i="17"/>
  <c r="G8" i="17"/>
  <c r="G7" i="17"/>
  <c r="G6" i="17"/>
  <c r="G5" i="17"/>
  <c r="G34" i="17" l="1"/>
  <c r="G37" i="17" s="1"/>
  <c r="G102" i="17"/>
  <c r="G104" i="17" s="1"/>
  <c r="G129" i="17"/>
  <c r="G98" i="17"/>
  <c r="G62" i="17"/>
  <c r="G26" i="17"/>
  <c r="BK11" i="13"/>
  <c r="F26" i="6"/>
  <c r="AX124" i="15" l="1"/>
  <c r="AP124" i="15"/>
  <c r="AX113" i="15"/>
  <c r="AX114" i="15"/>
  <c r="AX115" i="15"/>
  <c r="AX116" i="15"/>
  <c r="AP113" i="15"/>
  <c r="AP114" i="15"/>
  <c r="AP115" i="15"/>
  <c r="AP116" i="15"/>
  <c r="AX20" i="15" l="1"/>
  <c r="AX21" i="15"/>
  <c r="AP20" i="15"/>
  <c r="AP21" i="15"/>
  <c r="AX57" i="15" l="1"/>
  <c r="AX58" i="15"/>
  <c r="AX59" i="15"/>
  <c r="AX60" i="15"/>
  <c r="AP57" i="15"/>
  <c r="AP58" i="15"/>
  <c r="AP59" i="15"/>
  <c r="AP60" i="15"/>
  <c r="BK16" i="13" l="1"/>
  <c r="BK15" i="13"/>
  <c r="BK14" i="13"/>
  <c r="BK13" i="13"/>
  <c r="BK12" i="13"/>
  <c r="BK10" i="13"/>
  <c r="BK9" i="13"/>
  <c r="BK8" i="13"/>
  <c r="BK7" i="13"/>
  <c r="BK6" i="13"/>
  <c r="BK55" i="13" l="1"/>
  <c r="BK56" i="13"/>
  <c r="BK57" i="13"/>
  <c r="BI55" i="13"/>
  <c r="BI56" i="13"/>
  <c r="BI57" i="13"/>
  <c r="BG55" i="13"/>
  <c r="BG56" i="13"/>
  <c r="BG57" i="13"/>
  <c r="BE57" i="13"/>
  <c r="BC57" i="13"/>
  <c r="BA57" i="13"/>
  <c r="BE56" i="13"/>
  <c r="BC56" i="13"/>
  <c r="BA56" i="13"/>
  <c r="BE55" i="13"/>
  <c r="BC55" i="13"/>
  <c r="BA55" i="13"/>
  <c r="AY57" i="13"/>
  <c r="AW57" i="13"/>
  <c r="AU57" i="13"/>
  <c r="AY56" i="13"/>
  <c r="AW56" i="13"/>
  <c r="AU56" i="13"/>
  <c r="AY55" i="13"/>
  <c r="AW55" i="13"/>
  <c r="AU55" i="13"/>
  <c r="AS57" i="13"/>
  <c r="AS56" i="13"/>
  <c r="AS55" i="13"/>
  <c r="AQ57" i="13"/>
  <c r="AQ56" i="13"/>
  <c r="AQ55" i="13"/>
  <c r="AO57" i="13"/>
  <c r="AO56" i="13"/>
  <c r="AO55" i="13"/>
  <c r="BK54" i="13" l="1"/>
  <c r="BI54" i="13"/>
  <c r="BG54" i="13"/>
  <c r="BE54" i="13"/>
  <c r="BC54" i="13"/>
  <c r="BA54" i="13"/>
  <c r="AY54" i="13"/>
  <c r="AW54" i="13"/>
  <c r="AU54" i="13"/>
  <c r="AQ54" i="13"/>
  <c r="AS54" i="13"/>
  <c r="AO54" i="13"/>
  <c r="AX56" i="15" l="1"/>
  <c r="AP56" i="15"/>
  <c r="BK50" i="13"/>
  <c r="BI50" i="13"/>
  <c r="BG50" i="13"/>
  <c r="BE50" i="13"/>
  <c r="BC50" i="13"/>
  <c r="BA50" i="13"/>
  <c r="AY50" i="13"/>
  <c r="AW50" i="13"/>
  <c r="AU50" i="13"/>
  <c r="AS50" i="13"/>
  <c r="AQ50" i="13"/>
  <c r="AO50" i="13"/>
  <c r="E136" i="16" l="1"/>
  <c r="F136" i="16"/>
  <c r="D136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07" i="16"/>
  <c r="G136" i="16" l="1"/>
  <c r="G137" i="16" s="1"/>
  <c r="G128" i="16"/>
  <c r="F101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76" i="16"/>
  <c r="E101" i="16"/>
  <c r="D101" i="16"/>
  <c r="G70" i="16"/>
  <c r="F69" i="16"/>
  <c r="E69" i="16"/>
  <c r="D69" i="16"/>
  <c r="G60" i="16"/>
  <c r="G59" i="16"/>
  <c r="G58" i="16"/>
  <c r="G57" i="16"/>
  <c r="G56" i="16"/>
  <c r="G55" i="16"/>
  <c r="G54" i="16"/>
  <c r="G53" i="16"/>
  <c r="G52" i="16"/>
  <c r="G51" i="16"/>
  <c r="G50" i="16"/>
  <c r="G49" i="16"/>
  <c r="G48" i="16"/>
  <c r="G47" i="16"/>
  <c r="G46" i="16"/>
  <c r="G45" i="16"/>
  <c r="G44" i="16"/>
  <c r="G43" i="16"/>
  <c r="G42" i="16"/>
  <c r="G41" i="16"/>
  <c r="G40" i="16"/>
  <c r="F34" i="16"/>
  <c r="E34" i="16"/>
  <c r="D34" i="16"/>
  <c r="G25" i="16"/>
  <c r="G24" i="16"/>
  <c r="G23" i="16"/>
  <c r="G22" i="16"/>
  <c r="G21" i="16"/>
  <c r="G20" i="16"/>
  <c r="G19" i="16"/>
  <c r="G18" i="16"/>
  <c r="G17" i="16"/>
  <c r="G16" i="16"/>
  <c r="G15" i="16"/>
  <c r="G14" i="16"/>
  <c r="G13" i="16"/>
  <c r="G12" i="16"/>
  <c r="G11" i="16"/>
  <c r="G10" i="16"/>
  <c r="G9" i="16"/>
  <c r="G8" i="16"/>
  <c r="G7" i="16"/>
  <c r="G6" i="16"/>
  <c r="G5" i="16"/>
  <c r="G34" i="16" l="1"/>
  <c r="G36" i="16" s="1"/>
  <c r="G69" i="16"/>
  <c r="G71" i="16" s="1"/>
  <c r="G61" i="16"/>
  <c r="G101" i="16"/>
  <c r="G103" i="16" s="1"/>
  <c r="G26" i="16"/>
  <c r="G97" i="16"/>
  <c r="AX148" i="15"/>
  <c r="AP148" i="15"/>
  <c r="AX147" i="15"/>
  <c r="AP147" i="15"/>
  <c r="AX146" i="15"/>
  <c r="AP146" i="15"/>
  <c r="AX145" i="15"/>
  <c r="AP145" i="15"/>
  <c r="AX144" i="15"/>
  <c r="AP144" i="15"/>
  <c r="AX143" i="15"/>
  <c r="AP143" i="15"/>
  <c r="AX142" i="15"/>
  <c r="AP142" i="15"/>
  <c r="AX141" i="15"/>
  <c r="AP141" i="15"/>
  <c r="AX140" i="15"/>
  <c r="AP140" i="15"/>
  <c r="AX139" i="15"/>
  <c r="AP139" i="15"/>
  <c r="AX138" i="15"/>
  <c r="AP138" i="15"/>
  <c r="AX137" i="15"/>
  <c r="AP137" i="15"/>
  <c r="AX136" i="15"/>
  <c r="AP136" i="15"/>
  <c r="AX135" i="15"/>
  <c r="AP135" i="15"/>
  <c r="AX134" i="15"/>
  <c r="AP134" i="15"/>
  <c r="AX133" i="15"/>
  <c r="AP133" i="15"/>
  <c r="AX132" i="15"/>
  <c r="AP132" i="15"/>
  <c r="AX131" i="15"/>
  <c r="AP131" i="15"/>
  <c r="AX130" i="15"/>
  <c r="AP130" i="15"/>
  <c r="AX129" i="15"/>
  <c r="AP129" i="15"/>
  <c r="AX128" i="15"/>
  <c r="AP128" i="15"/>
  <c r="AX127" i="15"/>
  <c r="AP127" i="15"/>
  <c r="AX126" i="15"/>
  <c r="AP126" i="15"/>
  <c r="AX125" i="15"/>
  <c r="AP125" i="15"/>
  <c r="AX123" i="15"/>
  <c r="AP123" i="15"/>
  <c r="AX122" i="15"/>
  <c r="AP122" i="15"/>
  <c r="AX121" i="15"/>
  <c r="AP121" i="15"/>
  <c r="AX120" i="15"/>
  <c r="AP120" i="15"/>
  <c r="AX119" i="15"/>
  <c r="AP119" i="15"/>
  <c r="AX118" i="15"/>
  <c r="AP118" i="15"/>
  <c r="AX117" i="15"/>
  <c r="AP117" i="15"/>
  <c r="AX112" i="15"/>
  <c r="AP112" i="15"/>
  <c r="AX111" i="15"/>
  <c r="AP111" i="15"/>
  <c r="AX110" i="15"/>
  <c r="AP110" i="15"/>
  <c r="AX109" i="15"/>
  <c r="AP109" i="15"/>
  <c r="AX108" i="15"/>
  <c r="AP108" i="15"/>
  <c r="AX107" i="15"/>
  <c r="AP107" i="15"/>
  <c r="AX106" i="15"/>
  <c r="AP106" i="15"/>
  <c r="AX105" i="15"/>
  <c r="AP105" i="15"/>
  <c r="AX104" i="15"/>
  <c r="AP104" i="15"/>
  <c r="AX103" i="15"/>
  <c r="AP103" i="15"/>
  <c r="AX102" i="15"/>
  <c r="AP102" i="15"/>
  <c r="AX101" i="15"/>
  <c r="AP101" i="15"/>
  <c r="AX100" i="15"/>
  <c r="AP100" i="15"/>
  <c r="AX99" i="15"/>
  <c r="AP99" i="15"/>
  <c r="AX98" i="15"/>
  <c r="AP98" i="15"/>
  <c r="AX80" i="15"/>
  <c r="AP80" i="15"/>
  <c r="AX62" i="15"/>
  <c r="AP62" i="15"/>
  <c r="AX61" i="15"/>
  <c r="AP61" i="15"/>
  <c r="AX55" i="15"/>
  <c r="AP55" i="15"/>
  <c r="AX54" i="15"/>
  <c r="AP54" i="15"/>
  <c r="AX53" i="15"/>
  <c r="AP53" i="15"/>
  <c r="AX52" i="15"/>
  <c r="AP52" i="15"/>
  <c r="AX51" i="15"/>
  <c r="AP51" i="15"/>
  <c r="AX50" i="15"/>
  <c r="AP50" i="15"/>
  <c r="AX49" i="15"/>
  <c r="AP49" i="15"/>
  <c r="AX48" i="15"/>
  <c r="AP48" i="15"/>
  <c r="AX47" i="15"/>
  <c r="AP47" i="15"/>
  <c r="AX46" i="15"/>
  <c r="AP46" i="15"/>
  <c r="AX45" i="15"/>
  <c r="AP45" i="15"/>
  <c r="AX44" i="15"/>
  <c r="AP44" i="15"/>
  <c r="AX43" i="15"/>
  <c r="AP43" i="15"/>
  <c r="AX42" i="15"/>
  <c r="AP42" i="15"/>
  <c r="AX41" i="15"/>
  <c r="AP41" i="15"/>
  <c r="AX40" i="15"/>
  <c r="AP40" i="15"/>
  <c r="AX39" i="15"/>
  <c r="AP39" i="15"/>
  <c r="AX38" i="15"/>
  <c r="AP38" i="15"/>
  <c r="AX37" i="15"/>
  <c r="AP37" i="15"/>
  <c r="AX36" i="15"/>
  <c r="AP36" i="15"/>
  <c r="AX35" i="15"/>
  <c r="AP35" i="15"/>
  <c r="AX34" i="15"/>
  <c r="AP34" i="15"/>
  <c r="AX32" i="15"/>
  <c r="AP32" i="15"/>
  <c r="AX31" i="15"/>
  <c r="AP31" i="15"/>
  <c r="AX30" i="15"/>
  <c r="AP30" i="15"/>
  <c r="AX29" i="15"/>
  <c r="AP29" i="15"/>
  <c r="AX28" i="15"/>
  <c r="AP28" i="15"/>
  <c r="AX27" i="15"/>
  <c r="AP27" i="15"/>
  <c r="AX26" i="15"/>
  <c r="AP26" i="15"/>
  <c r="AX25" i="15"/>
  <c r="AP25" i="15"/>
  <c r="AX24" i="15"/>
  <c r="AP24" i="15"/>
  <c r="AX23" i="15"/>
  <c r="AP23" i="15"/>
  <c r="AX22" i="15"/>
  <c r="AP22" i="15"/>
  <c r="AX19" i="15"/>
  <c r="AP19" i="15"/>
  <c r="AX18" i="15"/>
  <c r="AP18" i="15"/>
  <c r="AX16" i="15"/>
  <c r="AP16" i="15"/>
  <c r="AX15" i="15"/>
  <c r="AP15" i="15"/>
  <c r="AX12" i="15"/>
  <c r="AP12" i="15"/>
  <c r="AX11" i="15"/>
  <c r="AP11" i="15"/>
  <c r="AX10" i="15"/>
  <c r="AP10" i="15"/>
  <c r="AX9" i="15"/>
  <c r="AP9" i="15"/>
  <c r="AX8" i="15"/>
  <c r="AP8" i="15"/>
  <c r="AX7" i="15"/>
  <c r="AP7" i="15"/>
  <c r="AX6" i="15"/>
  <c r="AP6" i="15"/>
  <c r="AX5" i="15"/>
  <c r="AV5" i="15"/>
  <c r="AP5" i="15"/>
  <c r="AX4" i="15"/>
  <c r="AV4" i="15"/>
  <c r="AP4" i="15"/>
  <c r="BL3" i="15"/>
  <c r="BJ3" i="15"/>
  <c r="BH3" i="15"/>
  <c r="BF3" i="15"/>
  <c r="BD3" i="15"/>
  <c r="BB3" i="15"/>
  <c r="AZ3" i="15"/>
  <c r="AX3" i="15"/>
  <c r="AV3" i="15"/>
  <c r="AT3" i="15"/>
  <c r="AR3" i="15"/>
  <c r="AP3" i="15"/>
  <c r="AN1" i="15"/>
  <c r="AM1" i="15"/>
  <c r="AL1" i="15"/>
  <c r="AK1" i="15"/>
  <c r="AJ1" i="15"/>
  <c r="AI1" i="15"/>
  <c r="AH1" i="15"/>
  <c r="AG1" i="15"/>
  <c r="AF1" i="15"/>
  <c r="AE1" i="15"/>
  <c r="AD1" i="15"/>
  <c r="AC1" i="15"/>
  <c r="AP1" i="15" l="1"/>
  <c r="C4" i="10" s="1"/>
  <c r="BH1" i="15"/>
  <c r="C25" i="10" s="1"/>
  <c r="BF1" i="15"/>
  <c r="E18" i="10" s="1"/>
  <c r="AR1" i="15"/>
  <c r="D4" i="10" s="1"/>
  <c r="D7" i="10" s="1"/>
  <c r="AX1" i="15"/>
  <c r="D11" i="10" s="1"/>
  <c r="BB1" i="15"/>
  <c r="C18" i="10" s="1"/>
  <c r="BL1" i="15"/>
  <c r="E25" i="10" s="1"/>
  <c r="BJ1" i="15"/>
  <c r="D25" i="10" s="1"/>
  <c r="AZ1" i="15"/>
  <c r="E11" i="10" s="1"/>
  <c r="BD1" i="15"/>
  <c r="D18" i="10" s="1"/>
  <c r="AV1" i="15"/>
  <c r="C11" i="10" s="1"/>
  <c r="AT1" i="15"/>
  <c r="E4" i="10" s="1"/>
  <c r="AC1" i="13" l="1"/>
  <c r="AD1" i="13"/>
  <c r="AE1" i="13"/>
  <c r="AF1" i="13"/>
  <c r="AG1" i="13"/>
  <c r="AH1" i="13"/>
  <c r="AI1" i="13"/>
  <c r="AJ1" i="13"/>
  <c r="AK1" i="13"/>
  <c r="AL1" i="13"/>
  <c r="AM1" i="13"/>
  <c r="AB1" i="13"/>
  <c r="BK4" i="13" l="1"/>
  <c r="BK5" i="13"/>
  <c r="BK18" i="13"/>
  <c r="BK19" i="13"/>
  <c r="BK20" i="13"/>
  <c r="BK21" i="13"/>
  <c r="BK22" i="13"/>
  <c r="BK23" i="13"/>
  <c r="BK24" i="13"/>
  <c r="BK25" i="13"/>
  <c r="BK26" i="13"/>
  <c r="BK27" i="13"/>
  <c r="BK28" i="13"/>
  <c r="BK29" i="13"/>
  <c r="BK30" i="13"/>
  <c r="BK31" i="13"/>
  <c r="BK32" i="13"/>
  <c r="BK33" i="13"/>
  <c r="BK34" i="13"/>
  <c r="BK35" i="13"/>
  <c r="BK36" i="13"/>
  <c r="BK37" i="13"/>
  <c r="BK38" i="13"/>
  <c r="BK39" i="13"/>
  <c r="BK40" i="13"/>
  <c r="BK41" i="13"/>
  <c r="BK42" i="13"/>
  <c r="BK43" i="13"/>
  <c r="BK44" i="13"/>
  <c r="BK45" i="13"/>
  <c r="BK46" i="13"/>
  <c r="BK47" i="13"/>
  <c r="BK48" i="13"/>
  <c r="BK49" i="13"/>
  <c r="BK51" i="13"/>
  <c r="BK52" i="13"/>
  <c r="BK53" i="13"/>
  <c r="BK59" i="13"/>
  <c r="BK60" i="13"/>
  <c r="BK61" i="13"/>
  <c r="BK62" i="13"/>
  <c r="BK63" i="13"/>
  <c r="BK64" i="13"/>
  <c r="BK65" i="13"/>
  <c r="BK66" i="13"/>
  <c r="BK67" i="13"/>
  <c r="BK68" i="13"/>
  <c r="BK69" i="13"/>
  <c r="BK70" i="13"/>
  <c r="BK71" i="13"/>
  <c r="BK72" i="13"/>
  <c r="BK73" i="13"/>
  <c r="BK74" i="13"/>
  <c r="BK75" i="13"/>
  <c r="BK76" i="13"/>
  <c r="BK77" i="13"/>
  <c r="BK78" i="13"/>
  <c r="BK79" i="13"/>
  <c r="BK80" i="13"/>
  <c r="BK81" i="13"/>
  <c r="BK82" i="13"/>
  <c r="BK83" i="13"/>
  <c r="BK84" i="13"/>
  <c r="BK85" i="13"/>
  <c r="BK86" i="13"/>
  <c r="BK87" i="13"/>
  <c r="BK88" i="13"/>
  <c r="BK89" i="13"/>
  <c r="BK90" i="13"/>
  <c r="BK91" i="13"/>
  <c r="BK92" i="13"/>
  <c r="BK93" i="13"/>
  <c r="BK94" i="13"/>
  <c r="BK95" i="13"/>
  <c r="BK96" i="13"/>
  <c r="BK97" i="13"/>
  <c r="BK98" i="13"/>
  <c r="BK99" i="13"/>
  <c r="BK100" i="13"/>
  <c r="BK101" i="13"/>
  <c r="BK102" i="13"/>
  <c r="BK103" i="13"/>
  <c r="BK104" i="13"/>
  <c r="BK105" i="13"/>
  <c r="BK106" i="13"/>
  <c r="BK107" i="13"/>
  <c r="BK108" i="13"/>
  <c r="BK109" i="13"/>
  <c r="BK110" i="13"/>
  <c r="BK111" i="13"/>
  <c r="BK112" i="13"/>
  <c r="BK113" i="13"/>
  <c r="BK114" i="13"/>
  <c r="BK115" i="13"/>
  <c r="BK3" i="13"/>
  <c r="BI4" i="13"/>
  <c r="BI5" i="13"/>
  <c r="BI6" i="13"/>
  <c r="BI7" i="13"/>
  <c r="BI8" i="13"/>
  <c r="BI9" i="13"/>
  <c r="BI10" i="13"/>
  <c r="BI11" i="13"/>
  <c r="BI12" i="13"/>
  <c r="BI13" i="13"/>
  <c r="BI14" i="13"/>
  <c r="BI15" i="13"/>
  <c r="BI16" i="13"/>
  <c r="BI17" i="13"/>
  <c r="BI18" i="13"/>
  <c r="BI19" i="13"/>
  <c r="BI20" i="13"/>
  <c r="BI21" i="13"/>
  <c r="BI22" i="13"/>
  <c r="BI23" i="13"/>
  <c r="BI24" i="13"/>
  <c r="BI25" i="13"/>
  <c r="BI26" i="13"/>
  <c r="BI27" i="13"/>
  <c r="BI28" i="13"/>
  <c r="BI29" i="13"/>
  <c r="BI30" i="13"/>
  <c r="BI31" i="13"/>
  <c r="BI32" i="13"/>
  <c r="BI33" i="13"/>
  <c r="BI34" i="13"/>
  <c r="BI35" i="13"/>
  <c r="BI36" i="13"/>
  <c r="BI37" i="13"/>
  <c r="BI38" i="13"/>
  <c r="BI39" i="13"/>
  <c r="BI40" i="13"/>
  <c r="BI41" i="13"/>
  <c r="BI42" i="13"/>
  <c r="BI43" i="13"/>
  <c r="BI44" i="13"/>
  <c r="BI45" i="13"/>
  <c r="BI46" i="13"/>
  <c r="BI47" i="13"/>
  <c r="BI48" i="13"/>
  <c r="BI49" i="13"/>
  <c r="BI51" i="13"/>
  <c r="BI52" i="13"/>
  <c r="BI53" i="13"/>
  <c r="BI59" i="13"/>
  <c r="BI60" i="13"/>
  <c r="BI61" i="13"/>
  <c r="BI62" i="13"/>
  <c r="BI63" i="13"/>
  <c r="BI64" i="13"/>
  <c r="BI65" i="13"/>
  <c r="BI66" i="13"/>
  <c r="BI67" i="13"/>
  <c r="BI68" i="13"/>
  <c r="BI69" i="13"/>
  <c r="BI70" i="13"/>
  <c r="BI71" i="13"/>
  <c r="BI72" i="13"/>
  <c r="BI73" i="13"/>
  <c r="BI74" i="13"/>
  <c r="BI75" i="13"/>
  <c r="BI76" i="13"/>
  <c r="BI77" i="13"/>
  <c r="BI78" i="13"/>
  <c r="BI79" i="13"/>
  <c r="BI80" i="13"/>
  <c r="BI81" i="13"/>
  <c r="BI82" i="13"/>
  <c r="BI83" i="13"/>
  <c r="BI84" i="13"/>
  <c r="BI85" i="13"/>
  <c r="BI86" i="13"/>
  <c r="BI87" i="13"/>
  <c r="BI88" i="13"/>
  <c r="BI89" i="13"/>
  <c r="BI90" i="13"/>
  <c r="BI91" i="13"/>
  <c r="BI92" i="13"/>
  <c r="BI93" i="13"/>
  <c r="BI94" i="13"/>
  <c r="BI95" i="13"/>
  <c r="BI96" i="13"/>
  <c r="BI97" i="13"/>
  <c r="BI98" i="13"/>
  <c r="BI99" i="13"/>
  <c r="BI100" i="13"/>
  <c r="BI101" i="13"/>
  <c r="BI102" i="13"/>
  <c r="BI103" i="13"/>
  <c r="BI104" i="13"/>
  <c r="BI105" i="13"/>
  <c r="BI106" i="13"/>
  <c r="BI107" i="13"/>
  <c r="BI108" i="13"/>
  <c r="BI109" i="13"/>
  <c r="BI110" i="13"/>
  <c r="BI111" i="13"/>
  <c r="BI112" i="13"/>
  <c r="BI113" i="13"/>
  <c r="BI114" i="13"/>
  <c r="BI115" i="13"/>
  <c r="BI3" i="13"/>
  <c r="BG4" i="13"/>
  <c r="BG5" i="13"/>
  <c r="BG6" i="13"/>
  <c r="BG7" i="13"/>
  <c r="BG8" i="13"/>
  <c r="BG9" i="13"/>
  <c r="BG10" i="13"/>
  <c r="BG11" i="13"/>
  <c r="BG12" i="13"/>
  <c r="BG13" i="13"/>
  <c r="BG14" i="13"/>
  <c r="BG15" i="13"/>
  <c r="BG16" i="13"/>
  <c r="BG17" i="13"/>
  <c r="BG18" i="13"/>
  <c r="BG19" i="13"/>
  <c r="BG20" i="13"/>
  <c r="BG21" i="13"/>
  <c r="BG22" i="13"/>
  <c r="BG23" i="13"/>
  <c r="BG24" i="13"/>
  <c r="BG25" i="13"/>
  <c r="BG26" i="13"/>
  <c r="BG27" i="13"/>
  <c r="BG28" i="13"/>
  <c r="BG29" i="13"/>
  <c r="BG30" i="13"/>
  <c r="BG31" i="13"/>
  <c r="BG32" i="13"/>
  <c r="BG33" i="13"/>
  <c r="BG34" i="13"/>
  <c r="BG35" i="13"/>
  <c r="BG36" i="13"/>
  <c r="BG37" i="13"/>
  <c r="BG38" i="13"/>
  <c r="BG39" i="13"/>
  <c r="BG40" i="13"/>
  <c r="BG41" i="13"/>
  <c r="BG42" i="13"/>
  <c r="BG43" i="13"/>
  <c r="BG44" i="13"/>
  <c r="BG45" i="13"/>
  <c r="BG46" i="13"/>
  <c r="BG47" i="13"/>
  <c r="BG48" i="13"/>
  <c r="BG49" i="13"/>
  <c r="BG51" i="13"/>
  <c r="BG52" i="13"/>
  <c r="BG53" i="13"/>
  <c r="BG59" i="13"/>
  <c r="BG60" i="13"/>
  <c r="BG61" i="13"/>
  <c r="BG62" i="13"/>
  <c r="BG63" i="13"/>
  <c r="BG64" i="13"/>
  <c r="BG65" i="13"/>
  <c r="BG66" i="13"/>
  <c r="BG67" i="13"/>
  <c r="BG68" i="13"/>
  <c r="BG69" i="13"/>
  <c r="BG70" i="13"/>
  <c r="BG71" i="13"/>
  <c r="BG72" i="13"/>
  <c r="BG73" i="13"/>
  <c r="BG74" i="13"/>
  <c r="BG75" i="13"/>
  <c r="BG76" i="13"/>
  <c r="BG77" i="13"/>
  <c r="BG78" i="13"/>
  <c r="BG79" i="13"/>
  <c r="BG80" i="13"/>
  <c r="BG81" i="13"/>
  <c r="BG82" i="13"/>
  <c r="BG83" i="13"/>
  <c r="BG84" i="13"/>
  <c r="BG85" i="13"/>
  <c r="BG86" i="13"/>
  <c r="BG87" i="13"/>
  <c r="BG88" i="13"/>
  <c r="BG89" i="13"/>
  <c r="BG90" i="13"/>
  <c r="BG91" i="13"/>
  <c r="BG92" i="13"/>
  <c r="BG93" i="13"/>
  <c r="BG94" i="13"/>
  <c r="BG95" i="13"/>
  <c r="BG96" i="13"/>
  <c r="BG97" i="13"/>
  <c r="BG98" i="13"/>
  <c r="BG99" i="13"/>
  <c r="BG100" i="13"/>
  <c r="BG101" i="13"/>
  <c r="BG102" i="13"/>
  <c r="BG103" i="13"/>
  <c r="BG104" i="13"/>
  <c r="BG105" i="13"/>
  <c r="BG106" i="13"/>
  <c r="BG107" i="13"/>
  <c r="BG108" i="13"/>
  <c r="BG109" i="13"/>
  <c r="BG110" i="13"/>
  <c r="BG111" i="13"/>
  <c r="BG112" i="13"/>
  <c r="BG113" i="13"/>
  <c r="BG114" i="13"/>
  <c r="BG115" i="13"/>
  <c r="BG3" i="13"/>
  <c r="BE4" i="13"/>
  <c r="BE5" i="13"/>
  <c r="BE6" i="13"/>
  <c r="BE7" i="13"/>
  <c r="BE8" i="13"/>
  <c r="BE9" i="13"/>
  <c r="BE10" i="13"/>
  <c r="BE11" i="13"/>
  <c r="BE12" i="13"/>
  <c r="BE13" i="13"/>
  <c r="BE14" i="13"/>
  <c r="BE15" i="13"/>
  <c r="BE16" i="13"/>
  <c r="BE17" i="13"/>
  <c r="BE18" i="13"/>
  <c r="BE19" i="13"/>
  <c r="BE20" i="13"/>
  <c r="BE21" i="13"/>
  <c r="BE22" i="13"/>
  <c r="BE23" i="13"/>
  <c r="BE24" i="13"/>
  <c r="BE25" i="13"/>
  <c r="BE26" i="13"/>
  <c r="BE27" i="13"/>
  <c r="BE28" i="13"/>
  <c r="BE29" i="13"/>
  <c r="BE30" i="13"/>
  <c r="BE31" i="13"/>
  <c r="BE32" i="13"/>
  <c r="BE33" i="13"/>
  <c r="BE34" i="13"/>
  <c r="BE35" i="13"/>
  <c r="BE36" i="13"/>
  <c r="BE37" i="13"/>
  <c r="BE38" i="13"/>
  <c r="BE39" i="13"/>
  <c r="BE40" i="13"/>
  <c r="BE41" i="13"/>
  <c r="BE42" i="13"/>
  <c r="BE43" i="13"/>
  <c r="BE44" i="13"/>
  <c r="BE45" i="13"/>
  <c r="BE46" i="13"/>
  <c r="BE47" i="13"/>
  <c r="BE48" i="13"/>
  <c r="BE49" i="13"/>
  <c r="BE51" i="13"/>
  <c r="BE52" i="13"/>
  <c r="BE53" i="13"/>
  <c r="BE59" i="13"/>
  <c r="BE60" i="13"/>
  <c r="BE61" i="13"/>
  <c r="BE62" i="13"/>
  <c r="BE63" i="13"/>
  <c r="BE64" i="13"/>
  <c r="BE65" i="13"/>
  <c r="BE66" i="13"/>
  <c r="BE67" i="13"/>
  <c r="BE68" i="13"/>
  <c r="BE69" i="13"/>
  <c r="BE70" i="13"/>
  <c r="BE71" i="13"/>
  <c r="BE72" i="13"/>
  <c r="BE73" i="13"/>
  <c r="BE74" i="13"/>
  <c r="BE75" i="13"/>
  <c r="BE76" i="13"/>
  <c r="BE77" i="13"/>
  <c r="BE78" i="13"/>
  <c r="BE79" i="13"/>
  <c r="BE80" i="13"/>
  <c r="BE81" i="13"/>
  <c r="BE82" i="13"/>
  <c r="BE83" i="13"/>
  <c r="BE84" i="13"/>
  <c r="BE85" i="13"/>
  <c r="BE86" i="13"/>
  <c r="BE87" i="13"/>
  <c r="BE88" i="13"/>
  <c r="BE89" i="13"/>
  <c r="BE90" i="13"/>
  <c r="BE91" i="13"/>
  <c r="BE92" i="13"/>
  <c r="BE93" i="13"/>
  <c r="BE94" i="13"/>
  <c r="BE95" i="13"/>
  <c r="BE96" i="13"/>
  <c r="BE97" i="13"/>
  <c r="BE98" i="13"/>
  <c r="BE99" i="13"/>
  <c r="BE100" i="13"/>
  <c r="BE101" i="13"/>
  <c r="BE102" i="13"/>
  <c r="BE103" i="13"/>
  <c r="BE104" i="13"/>
  <c r="BE105" i="13"/>
  <c r="BE106" i="13"/>
  <c r="BE107" i="13"/>
  <c r="BE108" i="13"/>
  <c r="BE109" i="13"/>
  <c r="BE110" i="13"/>
  <c r="BE111" i="13"/>
  <c r="BE112" i="13"/>
  <c r="BE113" i="13"/>
  <c r="BE114" i="13"/>
  <c r="BE115" i="13"/>
  <c r="BE3" i="13"/>
  <c r="BC4" i="13"/>
  <c r="BC5" i="13"/>
  <c r="BC6" i="13"/>
  <c r="BC7" i="13"/>
  <c r="BC8" i="13"/>
  <c r="BC9" i="13"/>
  <c r="BC10" i="13"/>
  <c r="BC11" i="13"/>
  <c r="BC12" i="13"/>
  <c r="BC13" i="13"/>
  <c r="BC14" i="13"/>
  <c r="BC15" i="13"/>
  <c r="BC16" i="13"/>
  <c r="BC17" i="13"/>
  <c r="BC18" i="13"/>
  <c r="BC19" i="13"/>
  <c r="BC20" i="13"/>
  <c r="BC21" i="13"/>
  <c r="BC22" i="13"/>
  <c r="BC23" i="13"/>
  <c r="BC24" i="13"/>
  <c r="BC25" i="13"/>
  <c r="BC26" i="13"/>
  <c r="BC27" i="13"/>
  <c r="BC28" i="13"/>
  <c r="BC29" i="13"/>
  <c r="BC30" i="13"/>
  <c r="BC31" i="13"/>
  <c r="BC32" i="13"/>
  <c r="BC33" i="13"/>
  <c r="BC34" i="13"/>
  <c r="BC35" i="13"/>
  <c r="BC36" i="13"/>
  <c r="BC37" i="13"/>
  <c r="BC38" i="13"/>
  <c r="BC39" i="13"/>
  <c r="BC40" i="13"/>
  <c r="BC41" i="13"/>
  <c r="BC42" i="13"/>
  <c r="BC43" i="13"/>
  <c r="BC44" i="13"/>
  <c r="BC45" i="13"/>
  <c r="BC46" i="13"/>
  <c r="BC47" i="13"/>
  <c r="BC48" i="13"/>
  <c r="BC49" i="13"/>
  <c r="BC51" i="13"/>
  <c r="BC52" i="13"/>
  <c r="BC53" i="13"/>
  <c r="BC59" i="13"/>
  <c r="BC60" i="13"/>
  <c r="BC61" i="13"/>
  <c r="BC62" i="13"/>
  <c r="BC63" i="13"/>
  <c r="BC64" i="13"/>
  <c r="BC65" i="13"/>
  <c r="BC66" i="13"/>
  <c r="BC67" i="13"/>
  <c r="BC68" i="13"/>
  <c r="BC69" i="13"/>
  <c r="BC70" i="13"/>
  <c r="BC71" i="13"/>
  <c r="BC72" i="13"/>
  <c r="BC73" i="13"/>
  <c r="BC74" i="13"/>
  <c r="BC75" i="13"/>
  <c r="BC76" i="13"/>
  <c r="BC77" i="13"/>
  <c r="BC78" i="13"/>
  <c r="BC79" i="13"/>
  <c r="BC80" i="13"/>
  <c r="BC81" i="13"/>
  <c r="BC82" i="13"/>
  <c r="BC83" i="13"/>
  <c r="BC84" i="13"/>
  <c r="BC85" i="13"/>
  <c r="BC86" i="13"/>
  <c r="BC87" i="13"/>
  <c r="BC88" i="13"/>
  <c r="BC89" i="13"/>
  <c r="BC90" i="13"/>
  <c r="BC91" i="13"/>
  <c r="BC92" i="13"/>
  <c r="BC93" i="13"/>
  <c r="BC94" i="13"/>
  <c r="BC95" i="13"/>
  <c r="BC96" i="13"/>
  <c r="BC97" i="13"/>
  <c r="BC98" i="13"/>
  <c r="BC99" i="13"/>
  <c r="BC100" i="13"/>
  <c r="BC101" i="13"/>
  <c r="BC102" i="13"/>
  <c r="BC103" i="13"/>
  <c r="BC104" i="13"/>
  <c r="BC105" i="13"/>
  <c r="BC106" i="13"/>
  <c r="BC107" i="13"/>
  <c r="BC108" i="13"/>
  <c r="BC109" i="13"/>
  <c r="BC110" i="13"/>
  <c r="BC111" i="13"/>
  <c r="BC112" i="13"/>
  <c r="BC113" i="13"/>
  <c r="BC114" i="13"/>
  <c r="BC115" i="13"/>
  <c r="BC3" i="13"/>
  <c r="BA4" i="13"/>
  <c r="BA5" i="13"/>
  <c r="BA6" i="13"/>
  <c r="BA7" i="13"/>
  <c r="BA8" i="13"/>
  <c r="BA9" i="13"/>
  <c r="BA10" i="13"/>
  <c r="BA11" i="13"/>
  <c r="BA12" i="13"/>
  <c r="BA13" i="13"/>
  <c r="BA14" i="13"/>
  <c r="BA15" i="13"/>
  <c r="BA16" i="13"/>
  <c r="BA17" i="13"/>
  <c r="BA18" i="13"/>
  <c r="BA19" i="13"/>
  <c r="BA20" i="13"/>
  <c r="BA21" i="13"/>
  <c r="BA22" i="13"/>
  <c r="BA23" i="13"/>
  <c r="BA24" i="13"/>
  <c r="BA25" i="13"/>
  <c r="BA26" i="13"/>
  <c r="BA27" i="13"/>
  <c r="BA28" i="13"/>
  <c r="BA29" i="13"/>
  <c r="BA30" i="13"/>
  <c r="BA31" i="13"/>
  <c r="BA32" i="13"/>
  <c r="BA33" i="13"/>
  <c r="BA34" i="13"/>
  <c r="BA35" i="13"/>
  <c r="BA36" i="13"/>
  <c r="BA37" i="13"/>
  <c r="BA38" i="13"/>
  <c r="BA39" i="13"/>
  <c r="BA40" i="13"/>
  <c r="BA41" i="13"/>
  <c r="BA42" i="13"/>
  <c r="BA43" i="13"/>
  <c r="BA44" i="13"/>
  <c r="BA45" i="13"/>
  <c r="BA46" i="13"/>
  <c r="BA47" i="13"/>
  <c r="BA48" i="13"/>
  <c r="BA49" i="13"/>
  <c r="BA51" i="13"/>
  <c r="BA52" i="13"/>
  <c r="BA53" i="13"/>
  <c r="BA59" i="13"/>
  <c r="BA60" i="13"/>
  <c r="BA61" i="13"/>
  <c r="BA62" i="13"/>
  <c r="BA63" i="13"/>
  <c r="BA64" i="13"/>
  <c r="BA65" i="13"/>
  <c r="BA66" i="13"/>
  <c r="BA67" i="13"/>
  <c r="BA68" i="13"/>
  <c r="BA69" i="13"/>
  <c r="BA70" i="13"/>
  <c r="BA71" i="13"/>
  <c r="BA72" i="13"/>
  <c r="BA73" i="13"/>
  <c r="BA74" i="13"/>
  <c r="BA75" i="13"/>
  <c r="BA76" i="13"/>
  <c r="BA77" i="13"/>
  <c r="BA78" i="13"/>
  <c r="BA79" i="13"/>
  <c r="BA80" i="13"/>
  <c r="BA81" i="13"/>
  <c r="BA82" i="13"/>
  <c r="BA83" i="13"/>
  <c r="BA84" i="13"/>
  <c r="BA85" i="13"/>
  <c r="BA86" i="13"/>
  <c r="BA87" i="13"/>
  <c r="BA88" i="13"/>
  <c r="BA89" i="13"/>
  <c r="BA90" i="13"/>
  <c r="BA91" i="13"/>
  <c r="BA92" i="13"/>
  <c r="BA93" i="13"/>
  <c r="BA94" i="13"/>
  <c r="BA95" i="13"/>
  <c r="BA96" i="13"/>
  <c r="BA97" i="13"/>
  <c r="BA98" i="13"/>
  <c r="BA99" i="13"/>
  <c r="BA100" i="13"/>
  <c r="BA101" i="13"/>
  <c r="BA102" i="13"/>
  <c r="BA103" i="13"/>
  <c r="BA104" i="13"/>
  <c r="BA105" i="13"/>
  <c r="BA106" i="13"/>
  <c r="BA107" i="13"/>
  <c r="BA108" i="13"/>
  <c r="BA109" i="13"/>
  <c r="BA110" i="13"/>
  <c r="BA111" i="13"/>
  <c r="BA112" i="13"/>
  <c r="BA113" i="13"/>
  <c r="BA114" i="13"/>
  <c r="BA115" i="13"/>
  <c r="BA3" i="13"/>
  <c r="AY4" i="13"/>
  <c r="AY5" i="13"/>
  <c r="AY6" i="13"/>
  <c r="AY7" i="13"/>
  <c r="AY8" i="13"/>
  <c r="AY9" i="13"/>
  <c r="AY10" i="13"/>
  <c r="AY11" i="13"/>
  <c r="AY12" i="13"/>
  <c r="AY13" i="13"/>
  <c r="AY14" i="13"/>
  <c r="AY15" i="13"/>
  <c r="AY16" i="13"/>
  <c r="AY17" i="13"/>
  <c r="AY18" i="13"/>
  <c r="AY19" i="13"/>
  <c r="AY20" i="13"/>
  <c r="AY21" i="13"/>
  <c r="AY22" i="13"/>
  <c r="AY23" i="13"/>
  <c r="AY24" i="13"/>
  <c r="AY25" i="13"/>
  <c r="AY26" i="13"/>
  <c r="AY27" i="13"/>
  <c r="AY28" i="13"/>
  <c r="AY29" i="13"/>
  <c r="AY30" i="13"/>
  <c r="AY31" i="13"/>
  <c r="AY32" i="13"/>
  <c r="AY33" i="13"/>
  <c r="AY34" i="13"/>
  <c r="AY35" i="13"/>
  <c r="AY36" i="13"/>
  <c r="AY37" i="13"/>
  <c r="AY38" i="13"/>
  <c r="AY39" i="13"/>
  <c r="AY40" i="13"/>
  <c r="AY41" i="13"/>
  <c r="AY42" i="13"/>
  <c r="AY43" i="13"/>
  <c r="AY44" i="13"/>
  <c r="AY45" i="13"/>
  <c r="AY46" i="13"/>
  <c r="AY47" i="13"/>
  <c r="AY48" i="13"/>
  <c r="AY49" i="13"/>
  <c r="AY51" i="13"/>
  <c r="AY52" i="13"/>
  <c r="AY53" i="13"/>
  <c r="AY59" i="13"/>
  <c r="AY60" i="13"/>
  <c r="AY61" i="13"/>
  <c r="AY62" i="13"/>
  <c r="AY63" i="13"/>
  <c r="AY64" i="13"/>
  <c r="AY65" i="13"/>
  <c r="AY66" i="13"/>
  <c r="AY67" i="13"/>
  <c r="AY68" i="13"/>
  <c r="AY69" i="13"/>
  <c r="AY70" i="13"/>
  <c r="AY71" i="13"/>
  <c r="AY72" i="13"/>
  <c r="AY73" i="13"/>
  <c r="AY74" i="13"/>
  <c r="AY75" i="13"/>
  <c r="AY76" i="13"/>
  <c r="AY77" i="13"/>
  <c r="AY78" i="13"/>
  <c r="AY79" i="13"/>
  <c r="AY80" i="13"/>
  <c r="AY81" i="13"/>
  <c r="AY82" i="13"/>
  <c r="AY83" i="13"/>
  <c r="AY84" i="13"/>
  <c r="AY85" i="13"/>
  <c r="AY86" i="13"/>
  <c r="AY87" i="13"/>
  <c r="AY88" i="13"/>
  <c r="AY89" i="13"/>
  <c r="AY90" i="13"/>
  <c r="AY91" i="13"/>
  <c r="AY92" i="13"/>
  <c r="AY93" i="13"/>
  <c r="AY94" i="13"/>
  <c r="AY95" i="13"/>
  <c r="AY96" i="13"/>
  <c r="AY97" i="13"/>
  <c r="AY98" i="13"/>
  <c r="AY99" i="13"/>
  <c r="AY100" i="13"/>
  <c r="AY101" i="13"/>
  <c r="AY102" i="13"/>
  <c r="AY103" i="13"/>
  <c r="AY104" i="13"/>
  <c r="AY105" i="13"/>
  <c r="AY106" i="13"/>
  <c r="AY107" i="13"/>
  <c r="AY108" i="13"/>
  <c r="AY109" i="13"/>
  <c r="AY110" i="13"/>
  <c r="AY111" i="13"/>
  <c r="AY112" i="13"/>
  <c r="AY113" i="13"/>
  <c r="AY114" i="13"/>
  <c r="AY115" i="13"/>
  <c r="AY3" i="13"/>
  <c r="AW4" i="13"/>
  <c r="AW5" i="13"/>
  <c r="AW6" i="13"/>
  <c r="AW7" i="13"/>
  <c r="AW8" i="13"/>
  <c r="AW9" i="13"/>
  <c r="AW10" i="13"/>
  <c r="AW11" i="13"/>
  <c r="AW12" i="13"/>
  <c r="AW13" i="13"/>
  <c r="AW14" i="13"/>
  <c r="AW15" i="13"/>
  <c r="AW16" i="13"/>
  <c r="AW17" i="13"/>
  <c r="AW18" i="13"/>
  <c r="AW19" i="13"/>
  <c r="AW20" i="13"/>
  <c r="AW21" i="13"/>
  <c r="AW22" i="13"/>
  <c r="AW23" i="13"/>
  <c r="AW24" i="13"/>
  <c r="AW25" i="13"/>
  <c r="AW26" i="13"/>
  <c r="AW27" i="13"/>
  <c r="AW28" i="13"/>
  <c r="AW29" i="13"/>
  <c r="AW30" i="13"/>
  <c r="AW31" i="13"/>
  <c r="AW32" i="13"/>
  <c r="AW33" i="13"/>
  <c r="AW34" i="13"/>
  <c r="AW35" i="13"/>
  <c r="AW36" i="13"/>
  <c r="AW37" i="13"/>
  <c r="AW38" i="13"/>
  <c r="AW39" i="13"/>
  <c r="AW40" i="13"/>
  <c r="AW41" i="13"/>
  <c r="AW42" i="13"/>
  <c r="AW43" i="13"/>
  <c r="AW44" i="13"/>
  <c r="AW45" i="13"/>
  <c r="AW46" i="13"/>
  <c r="AW47" i="13"/>
  <c r="AW48" i="13"/>
  <c r="AW49" i="13"/>
  <c r="AW51" i="13"/>
  <c r="AW52" i="13"/>
  <c r="AW53" i="13"/>
  <c r="AW59" i="13"/>
  <c r="AW60" i="13"/>
  <c r="AW61" i="13"/>
  <c r="AW62" i="13"/>
  <c r="AW63" i="13"/>
  <c r="AW64" i="13"/>
  <c r="AW65" i="13"/>
  <c r="AW66" i="13"/>
  <c r="AW67" i="13"/>
  <c r="AW68" i="13"/>
  <c r="AW69" i="13"/>
  <c r="AW70" i="13"/>
  <c r="AW71" i="13"/>
  <c r="AW72" i="13"/>
  <c r="AW73" i="13"/>
  <c r="AW74" i="13"/>
  <c r="AW75" i="13"/>
  <c r="AW76" i="13"/>
  <c r="AW77" i="13"/>
  <c r="AW78" i="13"/>
  <c r="AW79" i="13"/>
  <c r="AW80" i="13"/>
  <c r="AW81" i="13"/>
  <c r="AW82" i="13"/>
  <c r="AW83" i="13"/>
  <c r="AW84" i="13"/>
  <c r="AW85" i="13"/>
  <c r="AW86" i="13"/>
  <c r="AW87" i="13"/>
  <c r="AW88" i="13"/>
  <c r="AW89" i="13"/>
  <c r="AW90" i="13"/>
  <c r="AW91" i="13"/>
  <c r="AW92" i="13"/>
  <c r="AW93" i="13"/>
  <c r="AW94" i="13"/>
  <c r="AW95" i="13"/>
  <c r="AW96" i="13"/>
  <c r="AW97" i="13"/>
  <c r="AW98" i="13"/>
  <c r="AW99" i="13"/>
  <c r="AW100" i="13"/>
  <c r="AW101" i="13"/>
  <c r="AW102" i="13"/>
  <c r="AW103" i="13"/>
  <c r="AW104" i="13"/>
  <c r="AW105" i="13"/>
  <c r="AW106" i="13"/>
  <c r="AW107" i="13"/>
  <c r="AW108" i="13"/>
  <c r="AW109" i="13"/>
  <c r="AW110" i="13"/>
  <c r="AW111" i="13"/>
  <c r="AW112" i="13"/>
  <c r="AW113" i="13"/>
  <c r="AW114" i="13"/>
  <c r="AW115" i="13"/>
  <c r="AW3" i="13"/>
  <c r="AU4" i="13"/>
  <c r="AU5" i="13"/>
  <c r="AU6" i="13"/>
  <c r="AU7" i="13"/>
  <c r="AU8" i="13"/>
  <c r="AU9" i="13"/>
  <c r="AU10" i="13"/>
  <c r="AU11" i="13"/>
  <c r="AU12" i="13"/>
  <c r="AU13" i="13"/>
  <c r="AU14" i="13"/>
  <c r="AU15" i="13"/>
  <c r="AU16" i="13"/>
  <c r="AU17" i="13"/>
  <c r="AU18" i="13"/>
  <c r="AU19" i="13"/>
  <c r="AU20" i="13"/>
  <c r="AU21" i="13"/>
  <c r="AU22" i="13"/>
  <c r="AU23" i="13"/>
  <c r="AU24" i="13"/>
  <c r="AU25" i="13"/>
  <c r="AU26" i="13"/>
  <c r="AU27" i="13"/>
  <c r="AU28" i="13"/>
  <c r="AU29" i="13"/>
  <c r="AU30" i="13"/>
  <c r="AU31" i="13"/>
  <c r="AU32" i="13"/>
  <c r="AU33" i="13"/>
  <c r="AU34" i="13"/>
  <c r="AU35" i="13"/>
  <c r="AU36" i="13"/>
  <c r="AU37" i="13"/>
  <c r="AU38" i="13"/>
  <c r="AU39" i="13"/>
  <c r="AU40" i="13"/>
  <c r="AU41" i="13"/>
  <c r="AU42" i="13"/>
  <c r="AU43" i="13"/>
  <c r="AU44" i="13"/>
  <c r="AU45" i="13"/>
  <c r="AU46" i="13"/>
  <c r="AU47" i="13"/>
  <c r="AU48" i="13"/>
  <c r="AU49" i="13"/>
  <c r="AU51" i="13"/>
  <c r="AU52" i="13"/>
  <c r="AU53" i="13"/>
  <c r="AU59" i="13"/>
  <c r="AU61" i="13"/>
  <c r="AU62" i="13"/>
  <c r="AU63" i="13"/>
  <c r="AU64" i="13"/>
  <c r="AU65" i="13"/>
  <c r="AU66" i="13"/>
  <c r="AU67" i="13"/>
  <c r="AU68" i="13"/>
  <c r="AU69" i="13"/>
  <c r="AU70" i="13"/>
  <c r="AU71" i="13"/>
  <c r="AU72" i="13"/>
  <c r="AU73" i="13"/>
  <c r="AU74" i="13"/>
  <c r="AU75" i="13"/>
  <c r="AU76" i="13"/>
  <c r="AU77" i="13"/>
  <c r="AU78" i="13"/>
  <c r="AU79" i="13"/>
  <c r="AU80" i="13"/>
  <c r="AU81" i="13"/>
  <c r="AU82" i="13"/>
  <c r="AU83" i="13"/>
  <c r="AU84" i="13"/>
  <c r="AU85" i="13"/>
  <c r="AU86" i="13"/>
  <c r="AU87" i="13"/>
  <c r="AU88" i="13"/>
  <c r="AU89" i="13"/>
  <c r="AU90" i="13"/>
  <c r="AU91" i="13"/>
  <c r="AU92" i="13"/>
  <c r="AU93" i="13"/>
  <c r="AU94" i="13"/>
  <c r="AU95" i="13"/>
  <c r="AU96" i="13"/>
  <c r="AU97" i="13"/>
  <c r="AU98" i="13"/>
  <c r="AU99" i="13"/>
  <c r="AU100" i="13"/>
  <c r="AU101" i="13"/>
  <c r="AU102" i="13"/>
  <c r="AU103" i="13"/>
  <c r="AU104" i="13"/>
  <c r="AU105" i="13"/>
  <c r="AU106" i="13"/>
  <c r="AU107" i="13"/>
  <c r="AU108" i="13"/>
  <c r="AU109" i="13"/>
  <c r="AU110" i="13"/>
  <c r="AU111" i="13"/>
  <c r="AU112" i="13"/>
  <c r="AU113" i="13"/>
  <c r="AU114" i="13"/>
  <c r="AU115" i="13"/>
  <c r="AU3" i="13"/>
  <c r="AS4" i="13"/>
  <c r="AS5" i="13"/>
  <c r="AS6" i="13"/>
  <c r="AS7" i="13"/>
  <c r="AS8" i="13"/>
  <c r="AS9" i="13"/>
  <c r="AS10" i="13"/>
  <c r="AS11" i="13"/>
  <c r="AS12" i="13"/>
  <c r="AS13" i="13"/>
  <c r="AS14" i="13"/>
  <c r="AS15" i="13"/>
  <c r="AS16" i="13"/>
  <c r="AS17" i="13"/>
  <c r="AS18" i="13"/>
  <c r="AS19" i="13"/>
  <c r="AS20" i="13"/>
  <c r="AS21" i="13"/>
  <c r="AS22" i="13"/>
  <c r="AS23" i="13"/>
  <c r="AS24" i="13"/>
  <c r="AS26" i="13"/>
  <c r="AS27" i="13"/>
  <c r="AS28" i="13"/>
  <c r="AS29" i="13"/>
  <c r="AS30" i="13"/>
  <c r="AS31" i="13"/>
  <c r="AS32" i="13"/>
  <c r="AS33" i="13"/>
  <c r="AS34" i="13"/>
  <c r="AS35" i="13"/>
  <c r="AS36" i="13"/>
  <c r="AS37" i="13"/>
  <c r="AS38" i="13"/>
  <c r="AS39" i="13"/>
  <c r="AS40" i="13"/>
  <c r="AS41" i="13"/>
  <c r="AS42" i="13"/>
  <c r="AS43" i="13"/>
  <c r="AS44" i="13"/>
  <c r="AS45" i="13"/>
  <c r="AS47" i="13"/>
  <c r="AS48" i="13"/>
  <c r="AS49" i="13"/>
  <c r="AS51" i="13"/>
  <c r="AS52" i="13"/>
  <c r="AS53" i="13"/>
  <c r="AS59" i="13"/>
  <c r="AS60" i="13"/>
  <c r="AS61" i="13"/>
  <c r="AS62" i="13"/>
  <c r="AS63" i="13"/>
  <c r="AS64" i="13"/>
  <c r="AS65" i="13"/>
  <c r="AS66" i="13"/>
  <c r="AS67" i="13"/>
  <c r="AS68" i="13"/>
  <c r="AS69" i="13"/>
  <c r="AS70" i="13"/>
  <c r="AS71" i="13"/>
  <c r="AS72" i="13"/>
  <c r="AS73" i="13"/>
  <c r="AS74" i="13"/>
  <c r="AS75" i="13"/>
  <c r="AS77" i="13"/>
  <c r="AS78" i="13"/>
  <c r="AS79" i="13"/>
  <c r="AS80" i="13"/>
  <c r="AS81" i="13"/>
  <c r="AS82" i="13"/>
  <c r="AS83" i="13"/>
  <c r="AS84" i="13"/>
  <c r="AS85" i="13"/>
  <c r="AS86" i="13"/>
  <c r="AS87" i="13"/>
  <c r="AS88" i="13"/>
  <c r="AS89" i="13"/>
  <c r="AS90" i="13"/>
  <c r="AS91" i="13"/>
  <c r="AS92" i="13"/>
  <c r="AS93" i="13"/>
  <c r="AS94" i="13"/>
  <c r="AS95" i="13"/>
  <c r="AS96" i="13"/>
  <c r="AS97" i="13"/>
  <c r="AS98" i="13"/>
  <c r="AS99" i="13"/>
  <c r="AS100" i="13"/>
  <c r="AS101" i="13"/>
  <c r="AS102" i="13"/>
  <c r="AS103" i="13"/>
  <c r="AS104" i="13"/>
  <c r="AS105" i="13"/>
  <c r="AS106" i="13"/>
  <c r="AS107" i="13"/>
  <c r="AS108" i="13"/>
  <c r="AS109" i="13"/>
  <c r="AS110" i="13"/>
  <c r="AS111" i="13"/>
  <c r="AS112" i="13"/>
  <c r="AS113" i="13"/>
  <c r="AS114" i="13"/>
  <c r="AS115" i="13"/>
  <c r="AS3" i="13"/>
  <c r="AQ4" i="13"/>
  <c r="AQ5" i="13"/>
  <c r="AQ6" i="13"/>
  <c r="AQ7" i="13"/>
  <c r="AQ8" i="13"/>
  <c r="AQ9" i="13"/>
  <c r="AQ10" i="13"/>
  <c r="AQ11" i="13"/>
  <c r="AQ12" i="13"/>
  <c r="AQ13" i="13"/>
  <c r="AQ14" i="13"/>
  <c r="AQ15" i="13"/>
  <c r="AQ16" i="13"/>
  <c r="AQ17" i="13"/>
  <c r="AQ18" i="13"/>
  <c r="AQ19" i="13"/>
  <c r="AQ20" i="13"/>
  <c r="AQ21" i="13"/>
  <c r="AQ22" i="13"/>
  <c r="AQ23" i="13"/>
  <c r="AQ24" i="13"/>
  <c r="AQ25" i="13"/>
  <c r="AQ26" i="13"/>
  <c r="AQ27" i="13"/>
  <c r="AQ28" i="13"/>
  <c r="AQ29" i="13"/>
  <c r="AQ30" i="13"/>
  <c r="AQ31" i="13"/>
  <c r="AQ32" i="13"/>
  <c r="AQ33" i="13"/>
  <c r="AQ34" i="13"/>
  <c r="AQ35" i="13"/>
  <c r="AQ36" i="13"/>
  <c r="AQ37" i="13"/>
  <c r="AQ38" i="13"/>
  <c r="AQ39" i="13"/>
  <c r="AQ40" i="13"/>
  <c r="AQ41" i="13"/>
  <c r="AQ42" i="13"/>
  <c r="AQ43" i="13"/>
  <c r="AQ44" i="13"/>
  <c r="AQ45" i="13"/>
  <c r="AQ46" i="13"/>
  <c r="AQ47" i="13"/>
  <c r="AQ48" i="13"/>
  <c r="AQ49" i="13"/>
  <c r="AQ51" i="13"/>
  <c r="AQ52" i="13"/>
  <c r="AQ53" i="13"/>
  <c r="AQ59" i="13"/>
  <c r="AQ60" i="13"/>
  <c r="AQ61" i="13"/>
  <c r="AQ62" i="13"/>
  <c r="AQ63" i="13"/>
  <c r="AQ64" i="13"/>
  <c r="AQ65" i="13"/>
  <c r="AQ66" i="13"/>
  <c r="AQ67" i="13"/>
  <c r="AQ68" i="13"/>
  <c r="AQ69" i="13"/>
  <c r="AQ70" i="13"/>
  <c r="AQ71" i="13"/>
  <c r="AQ72" i="13"/>
  <c r="AQ73" i="13"/>
  <c r="AQ74" i="13"/>
  <c r="AQ75" i="13"/>
  <c r="AQ76" i="13"/>
  <c r="AQ77" i="13"/>
  <c r="AQ78" i="13"/>
  <c r="AQ79" i="13"/>
  <c r="AQ80" i="13"/>
  <c r="AQ81" i="13"/>
  <c r="AQ82" i="13"/>
  <c r="AQ83" i="13"/>
  <c r="AQ84" i="13"/>
  <c r="AQ85" i="13"/>
  <c r="AQ86" i="13"/>
  <c r="AQ87" i="13"/>
  <c r="AQ88" i="13"/>
  <c r="AQ89" i="13"/>
  <c r="AQ90" i="13"/>
  <c r="AQ91" i="13"/>
  <c r="AQ92" i="13"/>
  <c r="AQ93" i="13"/>
  <c r="AQ94" i="13"/>
  <c r="AQ95" i="13"/>
  <c r="AQ96" i="13"/>
  <c r="AQ97" i="13"/>
  <c r="AQ98" i="13"/>
  <c r="AQ99" i="13"/>
  <c r="AQ100" i="13"/>
  <c r="AQ101" i="13"/>
  <c r="AQ102" i="13"/>
  <c r="AQ103" i="13"/>
  <c r="AQ104" i="13"/>
  <c r="AQ105" i="13"/>
  <c r="AQ106" i="13"/>
  <c r="AQ107" i="13"/>
  <c r="AQ108" i="13"/>
  <c r="AQ109" i="13"/>
  <c r="AQ110" i="13"/>
  <c r="AQ111" i="13"/>
  <c r="AQ112" i="13"/>
  <c r="AQ113" i="13"/>
  <c r="AQ114" i="13"/>
  <c r="AQ115" i="13"/>
  <c r="AQ3" i="13"/>
  <c r="AO4" i="13"/>
  <c r="AO5" i="13"/>
  <c r="AO6" i="13"/>
  <c r="AO7" i="13"/>
  <c r="AO8" i="13"/>
  <c r="AO9" i="13"/>
  <c r="AO10" i="13"/>
  <c r="AO11" i="13"/>
  <c r="AO12" i="13"/>
  <c r="AO13" i="13"/>
  <c r="AO14" i="13"/>
  <c r="AO15" i="13"/>
  <c r="AO16" i="13"/>
  <c r="AO17" i="13"/>
  <c r="AO18" i="13"/>
  <c r="AO19" i="13"/>
  <c r="AO20" i="13"/>
  <c r="AO21" i="13"/>
  <c r="AO22" i="13"/>
  <c r="AO23" i="13"/>
  <c r="AO24" i="13"/>
  <c r="AO25" i="13"/>
  <c r="AO26" i="13"/>
  <c r="AO27" i="13"/>
  <c r="AO28" i="13"/>
  <c r="AO29" i="13"/>
  <c r="AO30" i="13"/>
  <c r="AO31" i="13"/>
  <c r="AO32" i="13"/>
  <c r="AO33" i="13"/>
  <c r="AO34" i="13"/>
  <c r="AO35" i="13"/>
  <c r="AO36" i="13"/>
  <c r="AO37" i="13"/>
  <c r="AO38" i="13"/>
  <c r="AO39" i="13"/>
  <c r="AO40" i="13"/>
  <c r="AO41" i="13"/>
  <c r="AO42" i="13"/>
  <c r="AO43" i="13"/>
  <c r="AO44" i="13"/>
  <c r="AO45" i="13"/>
  <c r="AO46" i="13"/>
  <c r="AO47" i="13"/>
  <c r="AO48" i="13"/>
  <c r="AO49" i="13"/>
  <c r="AO51" i="13"/>
  <c r="AO52" i="13"/>
  <c r="AO53" i="13"/>
  <c r="AO59" i="13"/>
  <c r="AO60" i="13"/>
  <c r="AO61" i="13"/>
  <c r="AO62" i="13"/>
  <c r="AO63" i="13"/>
  <c r="AO64" i="13"/>
  <c r="AO65" i="13"/>
  <c r="AO66" i="13"/>
  <c r="AO67" i="13"/>
  <c r="AO68" i="13"/>
  <c r="AO69" i="13"/>
  <c r="AO70" i="13"/>
  <c r="AO71" i="13"/>
  <c r="AO72" i="13"/>
  <c r="AO73" i="13"/>
  <c r="AO74" i="13"/>
  <c r="AO75" i="13"/>
  <c r="AO76" i="13"/>
  <c r="AO77" i="13"/>
  <c r="AO78" i="13"/>
  <c r="AO79" i="13"/>
  <c r="AO80" i="13"/>
  <c r="AO81" i="13"/>
  <c r="AO82" i="13"/>
  <c r="AO83" i="13"/>
  <c r="AO84" i="13"/>
  <c r="AO85" i="13"/>
  <c r="AO86" i="13"/>
  <c r="AO87" i="13"/>
  <c r="AO88" i="13"/>
  <c r="AO89" i="13"/>
  <c r="AO90" i="13"/>
  <c r="AO91" i="13"/>
  <c r="AO92" i="13"/>
  <c r="AO93" i="13"/>
  <c r="AO94" i="13"/>
  <c r="AO95" i="13"/>
  <c r="AO96" i="13"/>
  <c r="AO97" i="13"/>
  <c r="AO98" i="13"/>
  <c r="AO99" i="13"/>
  <c r="AO100" i="13"/>
  <c r="AO101" i="13"/>
  <c r="AO102" i="13"/>
  <c r="AO103" i="13"/>
  <c r="AO104" i="13"/>
  <c r="AO105" i="13"/>
  <c r="AO106" i="13"/>
  <c r="AO107" i="13"/>
  <c r="AO108" i="13"/>
  <c r="AO109" i="13"/>
  <c r="AO110" i="13"/>
  <c r="AO111" i="13"/>
  <c r="AO112" i="13"/>
  <c r="AO113" i="13"/>
  <c r="AO114" i="13"/>
  <c r="AO115" i="13"/>
  <c r="AO3" i="13"/>
  <c r="AR25" i="13"/>
  <c r="AS25" i="13" s="1"/>
  <c r="AR46" i="13"/>
  <c r="AS46" i="13" s="1"/>
  <c r="AT60" i="13"/>
  <c r="AU60" i="13" s="1"/>
  <c r="AR76" i="13"/>
  <c r="AS76" i="13" s="1"/>
  <c r="AN116" i="13"/>
  <c r="AO116" i="13" s="1"/>
  <c r="AP116" i="13"/>
  <c r="AQ116" i="13" s="1"/>
  <c r="AV116" i="13"/>
  <c r="AW116" i="13" s="1"/>
  <c r="AX116" i="13"/>
  <c r="AY116" i="13" s="1"/>
  <c r="AZ116" i="13"/>
  <c r="BA116" i="13" s="1"/>
  <c r="BB116" i="13"/>
  <c r="BC116" i="13" s="1"/>
  <c r="BD116" i="13"/>
  <c r="BE116" i="13" s="1"/>
  <c r="BF116" i="13"/>
  <c r="BG116" i="13" s="1"/>
  <c r="BH116" i="13"/>
  <c r="BI116" i="13" s="1"/>
  <c r="BJ116" i="13"/>
  <c r="BK116" i="13" s="1"/>
  <c r="BC1" i="13" l="1"/>
  <c r="D18" i="6" s="1"/>
  <c r="AY1" i="13"/>
  <c r="E11" i="6" s="1"/>
  <c r="BG1" i="13"/>
  <c r="C25" i="6" s="1"/>
  <c r="BI1" i="13"/>
  <c r="D25" i="6" s="1"/>
  <c r="BE1" i="13"/>
  <c r="E18" i="6" s="1"/>
  <c r="BK1" i="13"/>
  <c r="E25" i="6" s="1"/>
  <c r="AO1" i="13"/>
  <c r="C4" i="6" s="1"/>
  <c r="AQ1" i="13"/>
  <c r="D4" i="6" s="1"/>
  <c r="AW1" i="13"/>
  <c r="D11" i="6" s="1"/>
  <c r="BA1" i="13"/>
  <c r="C18" i="6" s="1"/>
  <c r="AT116" i="13"/>
  <c r="AU116" i="13" s="1"/>
  <c r="AU1" i="13" s="1"/>
  <c r="C11" i="6" s="1"/>
  <c r="AR116" i="13"/>
  <c r="AS116" i="13" s="1"/>
  <c r="AS1" i="13" s="1"/>
  <c r="E4" i="6" s="1"/>
  <c r="D28" i="6" l="1"/>
  <c r="E28" i="6"/>
  <c r="C28" i="6"/>
  <c r="F27" i="6"/>
  <c r="E21" i="6"/>
  <c r="F19" i="6"/>
  <c r="F20" i="6"/>
  <c r="F12" i="6"/>
  <c r="F13" i="6"/>
  <c r="F5" i="6"/>
  <c r="F6" i="6"/>
  <c r="F25" i="6"/>
  <c r="F18" i="6"/>
  <c r="C21" i="6"/>
  <c r="E14" i="6"/>
  <c r="D14" i="6"/>
  <c r="F11" i="6"/>
  <c r="E7" i="6"/>
  <c r="D7" i="6"/>
  <c r="F4" i="6"/>
  <c r="F19" i="10"/>
  <c r="F20" i="10"/>
  <c r="F12" i="10"/>
  <c r="F13" i="10"/>
  <c r="F5" i="10"/>
  <c r="F6" i="10"/>
  <c r="F7" i="6" l="1"/>
  <c r="F28" i="6"/>
  <c r="F21" i="6"/>
  <c r="F14" i="6"/>
  <c r="E14" i="10"/>
  <c r="C28" i="10"/>
  <c r="D14" i="10"/>
  <c r="C7" i="10"/>
  <c r="D28" i="10"/>
  <c r="E28" i="10"/>
  <c r="E21" i="10"/>
  <c r="D21" i="10"/>
  <c r="C14" i="10"/>
  <c r="C21" i="10"/>
  <c r="C7" i="6"/>
  <c r="D21" i="6"/>
  <c r="C14" i="6"/>
  <c r="E7" i="10"/>
  <c r="F25" i="10" l="1"/>
  <c r="F28" i="10" s="1"/>
  <c r="F18" i="10"/>
  <c r="F21" i="10" s="1"/>
  <c r="F11" i="10"/>
  <c r="F14" i="10" s="1"/>
  <c r="F4" i="10"/>
  <c r="F7" i="10" s="1"/>
</calcChain>
</file>

<file path=xl/comments1.xml><?xml version="1.0" encoding="utf-8"?>
<comments xmlns="http://schemas.openxmlformats.org/spreadsheetml/2006/main">
  <authors>
    <author>Sunrex</author>
  </authors>
  <commentList>
    <comment ref="D5" authorId="0" shapeId="0">
      <text>
        <r>
          <rPr>
            <b/>
            <sz val="9"/>
            <color indexed="81"/>
            <rFont val="Tahoma"/>
            <family val="2"/>
          </rPr>
          <t>Sunrex:</t>
        </r>
        <r>
          <rPr>
            <sz val="9"/>
            <color indexed="81"/>
            <rFont val="Tahoma"/>
            <family val="2"/>
          </rPr>
          <t xml:space="preserve">
Irwin E&amp;O</t>
        </r>
      </text>
    </comment>
  </commentList>
</comments>
</file>

<file path=xl/comments2.xml><?xml version="1.0" encoding="utf-8"?>
<comments xmlns="http://schemas.openxmlformats.org/spreadsheetml/2006/main">
  <authors>
    <author>Sunrex</author>
  </authors>
  <commentList>
    <comment ref="D5" authorId="0" shapeId="0">
      <text>
        <r>
          <rPr>
            <b/>
            <sz val="9"/>
            <color indexed="81"/>
            <rFont val="Tahoma"/>
            <family val="2"/>
          </rPr>
          <t>Sunrex:</t>
        </r>
        <r>
          <rPr>
            <sz val="9"/>
            <color indexed="81"/>
            <rFont val="Tahoma"/>
            <family val="2"/>
          </rPr>
          <t xml:space="preserve">
Irwin E&amp;O</t>
        </r>
      </text>
    </comment>
  </commentList>
</comments>
</file>

<file path=xl/comments3.xml><?xml version="1.0" encoding="utf-8"?>
<comments xmlns="http://schemas.openxmlformats.org/spreadsheetml/2006/main">
  <authors>
    <author>Sunrex</author>
  </authors>
  <commentList>
    <comment ref="D5" authorId="0" shapeId="0">
      <text>
        <r>
          <rPr>
            <b/>
            <sz val="9"/>
            <color indexed="81"/>
            <rFont val="Tahoma"/>
            <family val="2"/>
          </rPr>
          <t>Sunrex:</t>
        </r>
        <r>
          <rPr>
            <sz val="9"/>
            <color indexed="81"/>
            <rFont val="Tahoma"/>
            <family val="2"/>
          </rPr>
          <t xml:space="preserve">
Irwin E&amp;O</t>
        </r>
      </text>
    </comment>
  </commentList>
</comments>
</file>

<file path=xl/sharedStrings.xml><?xml version="1.0" encoding="utf-8"?>
<sst xmlns="http://schemas.openxmlformats.org/spreadsheetml/2006/main" count="11324" uniqueCount="860">
  <si>
    <t>ID</t>
  </si>
  <si>
    <t>Action</t>
  </si>
  <si>
    <t>Remark</t>
  </si>
  <si>
    <t>A-M欄及BM-BP欄照理來說不會更動只會新增</t>
  </si>
  <si>
    <t>檔名的部分請像這樣 "Rebate and Spending report Supplier’s name_2025 01"，勿加上其他說明，若有V2版本請寫 "Rebate and Spending report Supplier’s name_2025 01_V2"</t>
  </si>
  <si>
    <t>請全年度都放在同一個tab，Summary也是Q1-Q4都放在一起，若有更新的年度請一樣要加上對應的Summary</t>
  </si>
  <si>
    <t>Title相關規範請看右方所示, 請按照此欄位進行填寫, 勿更改資料次序
*上面也附上Example, 參考的顏色表以及Mason的PDF instruction</t>
  </si>
  <si>
    <t>A欄位:打上年度，新年度記得要更新</t>
  </si>
  <si>
    <t>B欄位: SPM, 請填全名, ex Benson Chen, 而不是Benson，若SPM有異動也請更新</t>
  </si>
  <si>
    <r>
      <t xml:space="preserve">C </t>
    </r>
    <r>
      <rPr>
        <sz val="11"/>
        <color theme="1"/>
        <rFont val="PMingLiU"/>
        <family val="1"/>
      </rPr>
      <t>欄位</t>
    </r>
    <r>
      <rPr>
        <sz val="11"/>
        <color theme="1"/>
        <rFont val="新細明體"/>
        <family val="2"/>
        <scheme val="minor"/>
      </rPr>
      <t xml:space="preserve">: </t>
    </r>
    <r>
      <rPr>
        <sz val="11"/>
        <color theme="1"/>
        <rFont val="PMingLiU"/>
        <family val="1"/>
      </rPr>
      <t>一律填自己公司名稱</t>
    </r>
  </si>
  <si>
    <r>
      <t>D</t>
    </r>
    <r>
      <rPr>
        <sz val="11"/>
        <color theme="1"/>
        <rFont val="PMingLiU"/>
        <family val="1"/>
      </rPr>
      <t>欄位</t>
    </r>
    <r>
      <rPr>
        <sz val="11"/>
        <color theme="1"/>
        <rFont val="新細明體"/>
        <family val="2"/>
        <scheme val="minor"/>
      </rPr>
      <t xml:space="preserve">: </t>
    </r>
    <r>
      <rPr>
        <sz val="11"/>
        <color theme="1"/>
        <rFont val="PMingLiU"/>
        <family val="1"/>
      </rPr>
      <t>請照上方指示</t>
    </r>
    <r>
      <rPr>
        <sz val="11"/>
        <color theme="1"/>
        <rFont val="新細明體"/>
        <family val="2"/>
        <scheme val="minor"/>
      </rPr>
      <t xml:space="preserve">, </t>
    </r>
    <r>
      <rPr>
        <sz val="11"/>
        <color theme="1"/>
        <rFont val="PMingLiU"/>
        <family val="1"/>
      </rPr>
      <t>勿自創提詞</t>
    </r>
    <r>
      <rPr>
        <sz val="11"/>
        <color theme="1"/>
        <rFont val="新細明體"/>
        <family val="2"/>
        <scheme val="minor"/>
      </rPr>
      <t xml:space="preserve">, </t>
    </r>
    <r>
      <rPr>
        <sz val="11"/>
        <color theme="1"/>
        <rFont val="PMingLiU"/>
        <family val="1"/>
      </rPr>
      <t>須注意只有</t>
    </r>
    <r>
      <rPr>
        <sz val="11"/>
        <color theme="1"/>
        <rFont val="新細明體"/>
        <family val="2"/>
        <scheme val="minor"/>
      </rPr>
      <t>NB</t>
    </r>
    <r>
      <rPr>
        <sz val="11"/>
        <color theme="1"/>
        <rFont val="PMingLiU"/>
        <family val="1"/>
      </rPr>
      <t>和</t>
    </r>
    <r>
      <rPr>
        <sz val="11"/>
        <color theme="1"/>
        <rFont val="新細明體"/>
        <family val="2"/>
        <scheme val="minor"/>
      </rPr>
      <t>DT</t>
    </r>
    <r>
      <rPr>
        <sz val="11"/>
        <color theme="1"/>
        <rFont val="PMingLiU"/>
        <family val="1"/>
      </rPr>
      <t>才會有</t>
    </r>
    <r>
      <rPr>
        <sz val="11"/>
        <color theme="1"/>
        <rFont val="新細明體"/>
        <family val="2"/>
        <scheme val="minor"/>
      </rPr>
      <t>Consumer/Commercial</t>
    </r>
    <r>
      <rPr>
        <sz val="11"/>
        <color theme="1"/>
        <rFont val="PMingLiU"/>
        <family val="1"/>
      </rPr>
      <t>之分</t>
    </r>
    <r>
      <rPr>
        <sz val="11"/>
        <color theme="1"/>
        <rFont val="新細明體"/>
        <family val="2"/>
        <scheme val="minor"/>
      </rPr>
      <t>,  F</t>
    </r>
    <r>
      <rPr>
        <sz val="11"/>
        <color theme="1"/>
        <rFont val="PMingLiU"/>
        <family val="1"/>
      </rPr>
      <t>欄位是</t>
    </r>
    <r>
      <rPr>
        <sz val="11"/>
        <color theme="1"/>
        <rFont val="新細明體"/>
        <family val="2"/>
        <scheme val="minor"/>
      </rPr>
      <t>Peripheral</t>
    </r>
    <r>
      <rPr>
        <sz val="11"/>
        <color theme="1"/>
        <rFont val="PMingLiU"/>
        <family val="1"/>
      </rPr>
      <t>則D和E都是填</t>
    </r>
    <r>
      <rPr>
        <sz val="11"/>
        <color theme="1"/>
        <rFont val="新細明體"/>
        <family val="2"/>
        <scheme val="minor"/>
      </rPr>
      <t>Peripheral</t>
    </r>
  </si>
  <si>
    <t>E欄位 : 請照上方指示, 勿自創提詞</t>
  </si>
  <si>
    <t>F欄位 : Peripheral只需填寫Peripheral</t>
  </si>
  <si>
    <t>G欄位 : 已更新到2025</t>
  </si>
  <si>
    <t>H欄位 : 
-請一定不能空白此欄位，不然後面的數字都會讀不到
-如果多個platforms共用同keyboard, 請用 '/' 去 group這些platforms，大小寫沒關係。
-請Platform name請跟LTF一模一樣，像是有些後面會加上尺寸也請加上( BAYMAX14/LUISA14/BAYMAXW14/BAYMAX13/BAYMAX13X)
-請用"/"來 Grouping 不同 Platform (e.g. ANDAZ/ABU) ，勿用其他符號，錯誤範例如:ANDAZ&amp;ABU</t>
  </si>
  <si>
    <t>I欄位 : 請照上方指示, 勿自創提詞</t>
  </si>
  <si>
    <t>J欄位 : 如果沒有Size，則填寫"NA/"，不要只寫"NA"</t>
  </si>
  <si>
    <t>K欄 : 
-要注意勿將 Color grouping 在一起，像是Jet Black/Soft Grey，若有n個顏色需分成n筆資料去填
-如果沒有Color，則填寫"NA/"，請注意不要只寫"NA"
-Color 需確保填寫正確，如 SEAFOAM TEAL PEARL 需完整打出來，避免填成 SEAFOAM TEAL
-請確保在顏色中間加上空格，大小寫沒關係。
-關於灰色，請使用“Grey” 而非“Gray”
-Color 欄位需保持正常format，像是 PERFORMANCE BLUE OPAQUE 請避免填成 PERFORMANCE BLUE OPAQUE-RGB
-針對CNB Gaming，關於Numpad及RGB方面請遵照以下方式及右方的說明 : 
RGB Per Key W Numpad_Soft Grey
RGB Per Key W/O Numpad_Soft Grey
1 Zone W Numpad_Soft Grey, 1 Zone Red W Numpad_Soft Grey
4 Zone RGB W Numpad_Soft Grey
1 Zone W/O Numpad_Soft Grey, 1 Zone Red W/O Numpad_Soft Grey
4 Zone RGB W/O Numpad_Soft Grey
1 Zone RGB W Numpad_Soft Grey
1 Zone RGB W/O Numpad_Soft Grey</t>
    <phoneticPr fontId="4" type="noConversion"/>
  </si>
  <si>
    <t>L欄 : 請照上方指示，勿自創提詞，注意NMC更新為Thailand/Vietnam</t>
  </si>
  <si>
    <t>M欄 : 請照上方指示填寫對應ODM，勿自創提詞或簡寫。若發生ODM不存在於上方的情況，請勿寫上OTHERS，需參照在contract中寫的ODM或Regional site名稱</t>
    <phoneticPr fontId="5" type="noConversion"/>
  </si>
  <si>
    <t>N-BL欄 : 請注意勿留空白，O欄位為上一個年份的最後一個月的價格</t>
  </si>
  <si>
    <t>BM欄 : 請協助填寫料號，且每一列應為不同料號(除特殊情況)，接下來會使用這欄去串連其他資料</t>
  </si>
  <si>
    <t>BN欄 : 請勿將ODM, 料號等資料寫在這欄</t>
  </si>
  <si>
    <t>BO欄 : 請照上方指示，勿自創提詞，此部分指直接出貨到哪個地區的客戶，若是出到ODM則寫"ODM"</t>
  </si>
  <si>
    <t>BP欄 : 如果有HP Part#就填上，如果沒有的話就填上ODM Part# (語言別的部分可以屏蔽並用星號代替，除非有語言別會造成價格不同的情況才需列出語言別的部分)</t>
  </si>
  <si>
    <t>當月出貨的所有品項都必須填上, 即使rebate=0的項目, 定義為FCS之後, EOL前的platform 當月出貨都需要寫上(也就是不含service part)</t>
  </si>
  <si>
    <t>每個月10日固定上傳此份rebate and spending report，請注意目前的Share point已經與財務共用，因此有任何要更新的地方都請通知Jenny並且上傳V2/V3…版本，且舊檔案勿刪除</t>
  </si>
  <si>
    <t>在上傳此份檔案前針對數字的部分需再三確認，因為這些數字會直接當作日後開發票的金額</t>
  </si>
  <si>
    <t>excel欄位有相乘的部分 (rebate amount), 請不要直接在公式以外做數字上的調整, 沒有邏輯性的數字, 程式會偵測異常</t>
  </si>
  <si>
    <t>Summary_1不能有任何註記, 需要呈現最真實的數字, Summary_2貴司可有一些註記符號, 或是rebate抵扣等地紀錄是能夠被容許的</t>
  </si>
  <si>
    <t>Sunrex</t>
    <phoneticPr fontId="4" type="noConversion"/>
  </si>
  <si>
    <t>2022 11</t>
  </si>
  <si>
    <t>2022 12</t>
  </si>
  <si>
    <t>2023 01</t>
  </si>
  <si>
    <t>Total Q1</t>
  </si>
  <si>
    <t>Rebate amount</t>
  </si>
  <si>
    <t>E&amp;O reduction</t>
  </si>
  <si>
    <t>Complexity reduction</t>
  </si>
  <si>
    <t>1. 新增Summary_1, 原先的Summary重新命名為Summary_2</t>
  </si>
  <si>
    <t>Total amount</t>
  </si>
  <si>
    <t>2.黃色部位為貴司名稱, 請整份報告都跟檔名貴司名稱撰寫方式一致</t>
  </si>
  <si>
    <t>2023 02</t>
  </si>
  <si>
    <t>2023 03</t>
  </si>
  <si>
    <t>2023 04</t>
  </si>
  <si>
    <t>Total Q2</t>
  </si>
  <si>
    <t>3. 這些欄位一定要固定, B3-B28, C3-C28, D3-D28, E3-E28, F3-F28都有賦予定義</t>
  </si>
  <si>
    <t>4. Rebate amount 指得是summary_2的page金額 (就是我們一直以來收集的金額)</t>
  </si>
  <si>
    <t>5. 新增 E&amp;O reduction 及complexity reduction品項, 先留足空間</t>
  </si>
  <si>
    <t>若目前還未有此款項存在都先填0</t>
  </si>
  <si>
    <t>2023 05</t>
  </si>
  <si>
    <t>2023 06</t>
  </si>
  <si>
    <t>2023 07</t>
  </si>
  <si>
    <t>Total Q3</t>
  </si>
  <si>
    <t>6. 金額都放未經調整後的真實數字, 分析才具意義</t>
  </si>
  <si>
    <t>2023 08</t>
  </si>
  <si>
    <t>2023 09</t>
  </si>
  <si>
    <t>2023 10</t>
  </si>
  <si>
    <t>Total Q4</t>
  </si>
  <si>
    <t>Q1 Actual by Segment</t>
  </si>
  <si>
    <t>Segment</t>
  </si>
  <si>
    <t>Total Rebate in Q1 2023 (US$)</t>
  </si>
  <si>
    <t>CMIT Input Devices</t>
  </si>
  <si>
    <t>200 series (6U)</t>
  </si>
  <si>
    <t>400 series (S)</t>
  </si>
  <si>
    <t>600 series (B)</t>
  </si>
  <si>
    <t>800 series (P)</t>
  </si>
  <si>
    <t>1000 series (M</t>
  </si>
  <si>
    <t>MWS (Workstation)</t>
  </si>
  <si>
    <t>Soft Keyboard</t>
  </si>
  <si>
    <t>Chrome Book</t>
  </si>
  <si>
    <t>Clickpad</t>
  </si>
  <si>
    <t>Education</t>
  </si>
  <si>
    <t>Peripherals/AMO</t>
  </si>
  <si>
    <t>Desktop</t>
  </si>
  <si>
    <t>Consumer Input Devices</t>
  </si>
  <si>
    <t>OPP</t>
  </si>
  <si>
    <t>Pavilion</t>
    <phoneticPr fontId="3" type="noConversion"/>
  </si>
  <si>
    <t>Spectre</t>
  </si>
  <si>
    <t xml:space="preserve">Envy </t>
  </si>
  <si>
    <t>Stream</t>
  </si>
  <si>
    <t>Omen</t>
  </si>
  <si>
    <t>Supplier</t>
  </si>
  <si>
    <t>Input Devices</t>
  </si>
  <si>
    <t>Chicony</t>
  </si>
  <si>
    <t>Darfon</t>
  </si>
  <si>
    <t>Liteon</t>
  </si>
  <si>
    <t>Primax</t>
  </si>
  <si>
    <t>Sunrex</t>
  </si>
  <si>
    <t>reserved</t>
    <phoneticPr fontId="4" type="noConversion"/>
  </si>
  <si>
    <t>Total Q1 Rebate Amount Afer Adjustment</t>
    <phoneticPr fontId="3" type="noConversion"/>
  </si>
  <si>
    <t>Q2 Actual by Segment</t>
  </si>
  <si>
    <t>Total Rebate in Q2 2023 (US$)</t>
  </si>
  <si>
    <t>Pavillion</t>
  </si>
  <si>
    <t>Total Q2 Rebate Amount Afer Adjustment</t>
    <phoneticPr fontId="3" type="noConversion"/>
  </si>
  <si>
    <t>Q3 Actual by Segment</t>
  </si>
  <si>
    <t>Total Rebate in Q3 2023 (US$)</t>
  </si>
  <si>
    <t>Total Rebate Amount</t>
  </si>
  <si>
    <t>Q4 Actual by Segment</t>
  </si>
  <si>
    <t>Total Rebate in Q4 2023 (US$)</t>
  </si>
  <si>
    <t>Consumer/Commercial/
Peripheral</t>
    <phoneticPr fontId="5" type="noConversion"/>
  </si>
  <si>
    <t>NB/DT/Peripheral</t>
    <phoneticPr fontId="5" type="noConversion"/>
  </si>
  <si>
    <t xml:space="preserve"> </t>
    <phoneticPr fontId="5" type="noConversion"/>
  </si>
  <si>
    <t>2020/2021/2022</t>
  </si>
  <si>
    <t>Remove Size/Color, define Platform naming
Hagrid/Hedwig/Granger/Ashmore/Ramla (follow naming rule of product list)</t>
  </si>
  <si>
    <t>NBL KB/BL KB/Mouse
/Combo/Clickpad/Others</t>
  </si>
  <si>
    <t>NA/</t>
  </si>
  <si>
    <t>(E China/W China/S China/NMC)</t>
    <phoneticPr fontId="5" type="noConversion"/>
  </si>
  <si>
    <t>COMPAL/
QUANTA
/INVENTEC
/WISTRON/
FOXCONN/
OTHERS</t>
    <phoneticPr fontId="4" type="noConversion"/>
  </si>
  <si>
    <t>FY23</t>
  </si>
  <si>
    <t>SPM (Project Owner)</t>
  </si>
  <si>
    <t>GTK Suppliers</t>
  </si>
  <si>
    <t>Category</t>
    <phoneticPr fontId="8" type="noConversion"/>
  </si>
  <si>
    <t>Series</t>
  </si>
  <si>
    <t>Production Year</t>
  </si>
  <si>
    <t>Platforms</t>
  </si>
  <si>
    <t>Product</t>
  </si>
  <si>
    <t>Size</t>
  </si>
  <si>
    <t>Color</t>
  </si>
  <si>
    <t>Location</t>
  </si>
  <si>
    <t>ODM</t>
    <phoneticPr fontId="14" type="noConversion"/>
  </si>
  <si>
    <t>The lowest unit table price (ODM cost)</t>
  </si>
  <si>
    <t>Table Price Nov</t>
  </si>
  <si>
    <t>Table Price Dec</t>
  </si>
  <si>
    <t>Table Price Jan</t>
  </si>
  <si>
    <t>Table Price Feb</t>
  </si>
  <si>
    <t>Table Price Mar</t>
  </si>
  <si>
    <t>Table Price Apr</t>
  </si>
  <si>
    <t>Table Price May</t>
  </si>
  <si>
    <t>Table Price Jun</t>
  </si>
  <si>
    <t>Table Price Jul</t>
  </si>
  <si>
    <t>Table Price Aug</t>
  </si>
  <si>
    <t>Table Price Sep</t>
  </si>
  <si>
    <t>Table Price Oct</t>
  </si>
  <si>
    <t>The lowest unit rebate cost</t>
  </si>
  <si>
    <t>Unit Rebate Nov</t>
  </si>
  <si>
    <t>Unit Rebate Dec</t>
  </si>
  <si>
    <t>Unit Rebate Jan</t>
  </si>
  <si>
    <t>Unit Rebate Feb</t>
  </si>
  <si>
    <t>Unit Rebate Mar</t>
  </si>
  <si>
    <t>Unit Rebate Apr</t>
  </si>
  <si>
    <t>Unit Rebate May</t>
  </si>
  <si>
    <t>Unit Rebate Jun</t>
  </si>
  <si>
    <t>Unit Rebate Jul</t>
  </si>
  <si>
    <t>Unit Rebate Aug</t>
  </si>
  <si>
    <t>Unit Rebate Sep</t>
  </si>
  <si>
    <t>Unit Rebate Oct</t>
  </si>
  <si>
    <t>Nov Q'ty</t>
  </si>
  <si>
    <t>Nov Rebate Amount</t>
  </si>
  <si>
    <t>Dec Q'ty</t>
  </si>
  <si>
    <t>Dec Rebate Amount</t>
  </si>
  <si>
    <t>Jan Q'ty</t>
  </si>
  <si>
    <t>Jan Rebate Amount</t>
  </si>
  <si>
    <t>Feb Q'ty</t>
  </si>
  <si>
    <t>Feb Rebate Amount</t>
  </si>
  <si>
    <t>Mar Q'ty</t>
  </si>
  <si>
    <t>Mar Rebate Amount</t>
  </si>
  <si>
    <t>Apr Q'ty</t>
  </si>
  <si>
    <t>Apr Rebate Amount</t>
  </si>
  <si>
    <t>May Q'ty</t>
  </si>
  <si>
    <t>May Rebate Amount</t>
  </si>
  <si>
    <t>Jun Q'ty</t>
  </si>
  <si>
    <t>Jun Rebate Amount</t>
  </si>
  <si>
    <t>Jul Q'ty</t>
  </si>
  <si>
    <t>Jul Rebate Amount</t>
  </si>
  <si>
    <t>Aug Q'ty</t>
  </si>
  <si>
    <t>Aug Rebate Amount</t>
  </si>
  <si>
    <t>Sep Q'ty</t>
  </si>
  <si>
    <t>Sep Rebate Amount</t>
  </si>
  <si>
    <t>Oct Q'ty</t>
  </si>
  <si>
    <t>Oct Rebate Amount</t>
  </si>
  <si>
    <t>Supplier Part#</t>
  </si>
  <si>
    <t>Comment</t>
  </si>
  <si>
    <t>SUNREX</t>
    <phoneticPr fontId="5" type="noConversion"/>
  </si>
  <si>
    <t>Commercial</t>
    <phoneticPr fontId="5" type="noConversion"/>
  </si>
  <si>
    <t>NB</t>
    <phoneticPr fontId="5" type="noConversion"/>
  </si>
  <si>
    <t>SUNREX</t>
  </si>
  <si>
    <t>NB</t>
  </si>
  <si>
    <t xml:space="preserve">Iris Huang </t>
  </si>
  <si>
    <t>2021</t>
  </si>
  <si>
    <t>PRIMROSE/PEPPER/PIXIE/PAX</t>
    <phoneticPr fontId="5" type="noConversion"/>
  </si>
  <si>
    <t>NBL KB</t>
  </si>
  <si>
    <t>FLINT OPAQUE</t>
  </si>
  <si>
    <t>W China</t>
    <phoneticPr fontId="5" type="noConversion"/>
  </si>
  <si>
    <t>INVENTEC</t>
    <phoneticPr fontId="5" type="noConversion"/>
  </si>
  <si>
    <t>BL KB</t>
  </si>
  <si>
    <t>W China</t>
  </si>
  <si>
    <t>INVENTEC</t>
  </si>
  <si>
    <t>2020</t>
  </si>
  <si>
    <t>DIANSHAN/REEDS/IONIAN/KRAKEN</t>
    <phoneticPr fontId="5" type="noConversion"/>
  </si>
  <si>
    <t>QUANTA</t>
    <phoneticPr fontId="5" type="noConversion"/>
  </si>
  <si>
    <t>DONGQIAN/DIANSHAN/PETROF/RABON/IONIAN/IRONOAK/KRAKEN/ROC/XUANWU/KNUCKER/PAN</t>
    <phoneticPr fontId="5" type="noConversion"/>
  </si>
  <si>
    <t>14</t>
  </si>
  <si>
    <t>DIANSHAN/PECONIC/RARITAN/IONIAN/IRONOAK/KRAKEN/ROC/XUANWU/KNUCKER/PAN</t>
    <phoneticPr fontId="5" type="noConversion"/>
  </si>
  <si>
    <t>15</t>
  </si>
  <si>
    <t>Chris Chang</t>
  </si>
  <si>
    <t>IONIAN/RABON/PRTROF/REEDS/DONGQIAN/DIANSHAN</t>
  </si>
  <si>
    <t>CLICKPAD</t>
  </si>
  <si>
    <t>13/14</t>
  </si>
  <si>
    <t>PIKE SILVER</t>
  </si>
  <si>
    <t>IONIAN/RABON/PRTROF/REEDS</t>
  </si>
  <si>
    <t>2022</t>
  </si>
  <si>
    <t>THANS/THUNDRA/RONIN/PRIMA/DOOP/REDSTART/DARKSTAR</t>
  </si>
  <si>
    <t>2023</t>
  </si>
  <si>
    <t>KRAKEN/PAN/ROC/KNUCKER/KRAKEN/XUANWU</t>
  </si>
  <si>
    <t>QUANTA</t>
  </si>
  <si>
    <t xml:space="preserve">WARPATH/LOCKHEED  </t>
  </si>
  <si>
    <t>PIKE SILVER/NOUVELLE SILVER</t>
  </si>
  <si>
    <t>LOX/WARG/LOXW</t>
  </si>
  <si>
    <t/>
  </si>
  <si>
    <t>SPYKER</t>
  </si>
  <si>
    <t>E China</t>
    <phoneticPr fontId="5" type="noConversion"/>
  </si>
  <si>
    <t>COMPAL</t>
    <phoneticPr fontId="5" type="noConversion"/>
  </si>
  <si>
    <t>13</t>
  </si>
  <si>
    <t>E China</t>
  </si>
  <si>
    <t>COMPAL</t>
  </si>
  <si>
    <t>2019</t>
  </si>
  <si>
    <t>SYLVA</t>
  </si>
  <si>
    <t>GALAXY BLUE</t>
  </si>
  <si>
    <t>STARLIGHT</t>
  </si>
  <si>
    <t>SPARKING BLACK</t>
  </si>
  <si>
    <t>STARFOX</t>
  </si>
  <si>
    <t>PIKE SILVER/SLATE BLUE</t>
  </si>
  <si>
    <t xml:space="preserve">Probook </t>
    <phoneticPr fontId="5" type="noConversion"/>
  </si>
  <si>
    <t>GRIZZLY</t>
  </si>
  <si>
    <t>MWS
(Workstation)</t>
    <phoneticPr fontId="5" type="noConversion"/>
  </si>
  <si>
    <t>Chromebook</t>
  </si>
  <si>
    <t>AIRES</t>
  </si>
  <si>
    <t>JET BLACK/SNOW WHITE/DARKER LIGHT TEAL</t>
  </si>
  <si>
    <t>JET BLACK</t>
  </si>
  <si>
    <t>CERAMIC WHITE/DARKER LIGHT TEAL</t>
  </si>
  <si>
    <t>B52CHB/LEPUS</t>
  </si>
  <si>
    <t>SNOW WHITE/ASH GRAY /JACK BLACK</t>
  </si>
  <si>
    <t>CERAMIC WHITE</t>
  </si>
  <si>
    <t>ASH GRAY/JACK BLACK</t>
  </si>
  <si>
    <t>HITCHCOCK/OZU/MCKAY</t>
  </si>
  <si>
    <t>11</t>
  </si>
  <si>
    <t>NAUTICAL TEAL/JACK BLACK</t>
  </si>
  <si>
    <t>TARANTINO</t>
  </si>
  <si>
    <t>2021</t>
    <phoneticPr fontId="5" type="noConversion"/>
  </si>
  <si>
    <t>CANIS</t>
  </si>
  <si>
    <t>NBL KB</t>
    <phoneticPr fontId="5" type="noConversion"/>
  </si>
  <si>
    <t>14</t>
    <phoneticPr fontId="5" type="noConversion"/>
  </si>
  <si>
    <t>SPRUCE BLUE</t>
  </si>
  <si>
    <t>BLACK LICORICE</t>
  </si>
  <si>
    <t>Simon Yang</t>
    <phoneticPr fontId="5" type="noConversion"/>
  </si>
  <si>
    <t>Peripheral</t>
    <phoneticPr fontId="4" type="noConversion"/>
  </si>
  <si>
    <t>Peripheral</t>
    <phoneticPr fontId="5" type="noConversion"/>
  </si>
  <si>
    <t>2015</t>
    <phoneticPr fontId="5" type="noConversion"/>
  </si>
  <si>
    <t>BUBLE WIRELESS</t>
  </si>
  <si>
    <t>MS</t>
    <phoneticPr fontId="5" type="noConversion"/>
  </si>
  <si>
    <t>BLACK</t>
  </si>
  <si>
    <t>S China</t>
    <phoneticPr fontId="5" type="noConversion"/>
  </si>
  <si>
    <t>OTHERS</t>
    <phoneticPr fontId="5" type="noConversion"/>
  </si>
  <si>
    <t>Peripheral</t>
  </si>
  <si>
    <t>2018</t>
    <phoneticPr fontId="5" type="noConversion"/>
  </si>
  <si>
    <t>ELVIS</t>
  </si>
  <si>
    <t>COMBO</t>
    <phoneticPr fontId="4" type="noConversion"/>
  </si>
  <si>
    <t>S China</t>
  </si>
  <si>
    <t>OTHERS</t>
  </si>
  <si>
    <t>FY24</t>
  </si>
  <si>
    <t>2023</t>
    <phoneticPr fontId="4" type="noConversion"/>
  </si>
  <si>
    <t>ASH BT</t>
  </si>
  <si>
    <t>KB</t>
    <phoneticPr fontId="4" type="noConversion"/>
  </si>
  <si>
    <t>ASH DUAL</t>
  </si>
  <si>
    <t>KB</t>
  </si>
  <si>
    <t>ASH MACRO</t>
  </si>
  <si>
    <t>ASH WIRED</t>
  </si>
  <si>
    <t>Benson Chen</t>
  </si>
  <si>
    <t>Consumer</t>
    <phoneticPr fontId="5" type="noConversion"/>
  </si>
  <si>
    <t>MALDIVES/MALDIVES6U/HERSCHEL/HERSCHEL6U</t>
  </si>
  <si>
    <t>JACK BLACK</t>
  </si>
  <si>
    <t>VLAD/EUNICE/VLAD6U</t>
  </si>
  <si>
    <t>17</t>
  </si>
  <si>
    <t>SNOW WHITE/JET BLACK</t>
  </si>
  <si>
    <t>SNOW WHITE/SEAFOAM TEAL PEARL/WISTERIA LAVENDER PEARL</t>
  </si>
  <si>
    <t>SOFT GREY</t>
  </si>
  <si>
    <t>OTTO/SEBASTIAN</t>
  </si>
  <si>
    <t>Pavilion</t>
    <phoneticPr fontId="5" type="noConversion"/>
  </si>
  <si>
    <t>FELICETTE/STRELKA</t>
  </si>
  <si>
    <t>PIKE SILVER/LIGHT TEAL/CLOUD BLUE</t>
  </si>
  <si>
    <t>CLOUD BLUE</t>
  </si>
  <si>
    <t>LIGHT TEAL</t>
  </si>
  <si>
    <t>ROKU</t>
  </si>
  <si>
    <t>16</t>
  </si>
  <si>
    <t>MICA SILVER/CERAMIC WHITE</t>
  </si>
  <si>
    <t>PERFORMANCE BLUE</t>
  </si>
  <si>
    <t>ROAREE/BIGRED</t>
  </si>
  <si>
    <t>CERAMIC WHITE/PERFORMANCE BLUE OPAQUE</t>
  </si>
  <si>
    <t>MOONSTONE GREY</t>
  </si>
  <si>
    <t>CERAMIC WHITE-RGB</t>
  </si>
  <si>
    <t>PERFORMANCE BLUE OPAQUE-RGB</t>
  </si>
  <si>
    <t>MOONSTONE GREY-RGB</t>
  </si>
  <si>
    <t>TUFFY</t>
  </si>
  <si>
    <t>WISTRON</t>
  </si>
  <si>
    <t>SANDSTORM GREY</t>
  </si>
  <si>
    <t>Envy</t>
  </si>
  <si>
    <t>BULLEIT/WELLER</t>
  </si>
  <si>
    <t>NATURAL SILVER</t>
  </si>
  <si>
    <t>NIGHTFALL BLACK-ANO</t>
  </si>
  <si>
    <t>GOLDY/BUCKY</t>
  </si>
  <si>
    <t>NIGHTFALL BLACK OPAQUE</t>
  </si>
  <si>
    <t>OMEN</t>
    <phoneticPr fontId="5" type="noConversion"/>
  </si>
  <si>
    <t>STARMADE</t>
  </si>
  <si>
    <t>1 Zone W/O Num Pad-Black-Red</t>
  </si>
  <si>
    <t>VALKYRIE</t>
  </si>
  <si>
    <t>1 Zone W/O Num Pad-Silver-White</t>
  </si>
  <si>
    <t>4 Zone W/O Num Pad-Black-RGB</t>
  </si>
  <si>
    <t>4 Zone W/O Num Pad-Sliver-RGB</t>
  </si>
  <si>
    <t>RALPH</t>
  </si>
  <si>
    <t>VANELLOPE</t>
  </si>
  <si>
    <t>HENDRICKS</t>
  </si>
  <si>
    <t>NOLETS</t>
  </si>
  <si>
    <t>BRUNOBEAR/THETIGER</t>
  </si>
  <si>
    <t>1 Zone W/O Num Pad-Black-White</t>
  </si>
  <si>
    <t>QUAKER</t>
  </si>
  <si>
    <t>4 Zone W/O Num Pad-White-RGB</t>
  </si>
  <si>
    <t>DT</t>
  </si>
  <si>
    <t>Peripherals</t>
    <phoneticPr fontId="5" type="noConversion"/>
  </si>
  <si>
    <t>Peripherals</t>
  </si>
  <si>
    <t>Supplier's name</t>
  </si>
  <si>
    <t>2023 11</t>
  </si>
  <si>
    <t>2023 12</t>
  </si>
  <si>
    <t>2024 01</t>
  </si>
  <si>
    <t>2024 02</t>
  </si>
  <si>
    <t>2024 03</t>
  </si>
  <si>
    <t>2024 04</t>
  </si>
  <si>
    <t>2024 05</t>
  </si>
  <si>
    <t>2024 06</t>
  </si>
  <si>
    <t>2024 07</t>
  </si>
  <si>
    <t>2024 08</t>
  </si>
  <si>
    <t>2024 09</t>
  </si>
  <si>
    <t>2024 10</t>
  </si>
  <si>
    <t>Total Rebate in Q1 2024 (US$)</t>
    <phoneticPr fontId="4" type="noConversion"/>
  </si>
  <si>
    <t>E&amp;O incentive</t>
    <phoneticPr fontId="4" type="noConversion"/>
  </si>
  <si>
    <t>Irwin</t>
    <phoneticPr fontId="4" type="noConversion"/>
  </si>
  <si>
    <t>Total Rebate in Q2 2024 (US$)</t>
    <phoneticPr fontId="4" type="noConversion"/>
  </si>
  <si>
    <t>Total Rebate in Q3 2024 (US$)</t>
    <phoneticPr fontId="4" type="noConversion"/>
  </si>
  <si>
    <t>Total Rebate in Q4 2024 (US$)</t>
    <phoneticPr fontId="4" type="noConversion"/>
  </si>
  <si>
    <t>Aloe 1.0</t>
  </si>
  <si>
    <t>Ralph</t>
  </si>
  <si>
    <t>Sylva</t>
  </si>
  <si>
    <t>Modenas</t>
  </si>
  <si>
    <t>Hendricks</t>
  </si>
  <si>
    <t>Nolets</t>
  </si>
  <si>
    <t>Reeds</t>
  </si>
  <si>
    <t>Rambo</t>
  </si>
  <si>
    <t>Calhoun</t>
  </si>
  <si>
    <t>NB/DT/Peripherals/Chromebook</t>
    <phoneticPr fontId="5" type="noConversion"/>
  </si>
  <si>
    <t>NBL KB/BL KB/Mouse
/Combo/Clickpad/Others</t>
    <phoneticPr fontId="4" type="noConversion"/>
  </si>
  <si>
    <t>NA/EMEA/APJ/OTHER</t>
    <phoneticPr fontId="4" type="noConversion"/>
  </si>
  <si>
    <t>FY24</t>
    <phoneticPr fontId="8" type="noConversion"/>
  </si>
  <si>
    <t>RFQ Final Cost</t>
  </si>
  <si>
    <t>Region</t>
    <phoneticPr fontId="4" type="noConversion"/>
  </si>
  <si>
    <t>FY24</t>
    <phoneticPr fontId="4" type="noConversion"/>
  </si>
  <si>
    <t>Sandy Lu</t>
    <phoneticPr fontId="4" type="noConversion"/>
  </si>
  <si>
    <t>400/600</t>
    <phoneticPr fontId="4" type="noConversion"/>
  </si>
  <si>
    <t>PRIMROSE/PEPPER/PIXIE/PAX</t>
  </si>
  <si>
    <t>Sandy Lu</t>
  </si>
  <si>
    <t>DIANSHAN/REEDS/IONIAN/KRAKEN</t>
  </si>
  <si>
    <t>DONGQIAN/DIANSHAN/PETROF/RABON/IONIAN/IRONOAK/KRAKEN/ROC/XUANWU/KNUCKER/PAN</t>
  </si>
  <si>
    <t>DIANSHAN/PECONIC/RARITAN/IONIAN/IRONOAK/KRAKEN/ROC/XUANWU/KNUCKER/PAN</t>
  </si>
  <si>
    <t>NMC</t>
    <phoneticPr fontId="4" type="noConversion"/>
  </si>
  <si>
    <t>Mandy Yu</t>
  </si>
  <si>
    <t>REX/OLAF/ROZ/OAKEN/REDHEAD</t>
  </si>
  <si>
    <t>MWS</t>
    <phoneticPr fontId="5" type="noConversion"/>
  </si>
  <si>
    <t>Chromebook</t>
    <phoneticPr fontId="4" type="noConversion"/>
  </si>
  <si>
    <t>MANX</t>
    <phoneticPr fontId="4" type="noConversion"/>
  </si>
  <si>
    <t>11</t>
    <phoneticPr fontId="4" type="noConversion"/>
  </si>
  <si>
    <t xml:space="preserve">JET BLACK </t>
  </si>
  <si>
    <t>MANX</t>
  </si>
  <si>
    <t>COSMIC BLUE</t>
  </si>
  <si>
    <t>HIMALAYAN</t>
  </si>
  <si>
    <t>Peripherals</t>
    <phoneticPr fontId="4" type="noConversion"/>
  </si>
  <si>
    <t>Mouse</t>
    <phoneticPr fontId="4" type="noConversion"/>
  </si>
  <si>
    <t>NA</t>
    <phoneticPr fontId="4" type="noConversion"/>
  </si>
  <si>
    <t>2015</t>
  </si>
  <si>
    <t>Mouse</t>
  </si>
  <si>
    <t>EMEA</t>
    <phoneticPr fontId="4" type="noConversion"/>
  </si>
  <si>
    <t>APJ</t>
    <phoneticPr fontId="4" type="noConversion"/>
  </si>
  <si>
    <t>COMBO</t>
  </si>
  <si>
    <t>2018</t>
  </si>
  <si>
    <t>NBL KB</t>
    <phoneticPr fontId="4" type="noConversion"/>
  </si>
  <si>
    <t>BL KB</t>
    <phoneticPr fontId="4" type="noConversion"/>
  </si>
  <si>
    <t>Commercial/Consumer</t>
    <phoneticPr fontId="4" type="noConversion"/>
  </si>
  <si>
    <t>200/OPP</t>
    <phoneticPr fontId="4" type="noConversion"/>
  </si>
  <si>
    <t>2024</t>
    <phoneticPr fontId="4" type="noConversion"/>
  </si>
  <si>
    <t>MALDIVESR6U2</t>
    <phoneticPr fontId="4" type="noConversion"/>
  </si>
  <si>
    <t>NMC</t>
  </si>
  <si>
    <t>Consumer</t>
  </si>
  <si>
    <t>SNOW WHITE/JET BLACK/SOFT GREY</t>
    <phoneticPr fontId="4" type="noConversion"/>
  </si>
  <si>
    <t>PIKE SILVER</t>
    <phoneticPr fontId="4" type="noConversion"/>
  </si>
  <si>
    <t>SNOW WHITE</t>
    <phoneticPr fontId="4" type="noConversion"/>
  </si>
  <si>
    <t>SOFT GREY/SEAFOAM TEAL PEARL/WISTERIA LAVENDER PEARL</t>
  </si>
  <si>
    <t>FLINT OPAQUE</t>
    <phoneticPr fontId="4" type="noConversion"/>
  </si>
  <si>
    <t>SOFT GREY</t>
    <phoneticPr fontId="4" type="noConversion"/>
  </si>
  <si>
    <t>SEAFOAM TEAL PEARL/WISTERIA LAVENDER PEARL</t>
    <phoneticPr fontId="4" type="noConversion"/>
  </si>
  <si>
    <t>PIKE SILVER/DARK LIGHT TEAL/CLOUD BLUE</t>
    <phoneticPr fontId="4" type="noConversion"/>
  </si>
  <si>
    <t>RITCHIE</t>
  </si>
  <si>
    <t xml:space="preserve">SHADOW BLACK </t>
  </si>
  <si>
    <t xml:space="preserve">SHADOW BLACK-RGB </t>
  </si>
  <si>
    <t>CANOPY/MOTTO</t>
  </si>
  <si>
    <t xml:space="preserve">SOFT GREY </t>
  </si>
  <si>
    <t>DARKER SKY BLUE OPAQUE</t>
  </si>
  <si>
    <t>GOLDY/BUCKY/REFRESH</t>
  </si>
  <si>
    <t>SUNREX</t>
    <phoneticPr fontId="4" type="noConversion"/>
  </si>
  <si>
    <t>2024 11</t>
    <phoneticPr fontId="4" type="noConversion"/>
  </si>
  <si>
    <t>2024 12</t>
    <phoneticPr fontId="4" type="noConversion"/>
  </si>
  <si>
    <t>2025 01</t>
    <phoneticPr fontId="4" type="noConversion"/>
  </si>
  <si>
    <t>2025 02</t>
    <phoneticPr fontId="4" type="noConversion"/>
  </si>
  <si>
    <t>2025 03</t>
    <phoneticPr fontId="4" type="noConversion"/>
  </si>
  <si>
    <t>2025 04</t>
    <phoneticPr fontId="4" type="noConversion"/>
  </si>
  <si>
    <t>2025 05</t>
    <phoneticPr fontId="4" type="noConversion"/>
  </si>
  <si>
    <t>2025 06</t>
    <phoneticPr fontId="4" type="noConversion"/>
  </si>
  <si>
    <t>2025 07</t>
    <phoneticPr fontId="4" type="noConversion"/>
  </si>
  <si>
    <t>2025 08</t>
    <phoneticPr fontId="4" type="noConversion"/>
  </si>
  <si>
    <t>2025 09</t>
    <phoneticPr fontId="4" type="noConversion"/>
  </si>
  <si>
    <t>2025 10</t>
    <phoneticPr fontId="4" type="noConversion"/>
  </si>
  <si>
    <t>Total Rebate in Q1 2025 (US$)</t>
    <phoneticPr fontId="4" type="noConversion"/>
  </si>
  <si>
    <t>Total Rebate in Q2 2025 (US$)</t>
    <phoneticPr fontId="4" type="noConversion"/>
  </si>
  <si>
    <t>E&amp;O incentive-Sansa</t>
    <phoneticPr fontId="4" type="noConversion"/>
  </si>
  <si>
    <t>E&amp;O incentive-Grizzly2</t>
    <phoneticPr fontId="4" type="noConversion"/>
  </si>
  <si>
    <t>E&amp;O incentive-Duskers/DuskersIK</t>
    <phoneticPr fontId="4" type="noConversion"/>
  </si>
  <si>
    <t>E&amp;O incentive-Spyker14</t>
    <phoneticPr fontId="4" type="noConversion"/>
  </si>
  <si>
    <t>E&amp;O incentive-Daario</t>
    <phoneticPr fontId="4" type="noConversion"/>
  </si>
  <si>
    <t>Total Rebate in Q3 2025(US$)</t>
    <phoneticPr fontId="4" type="noConversion"/>
  </si>
  <si>
    <t>E&amp;O incentive-Canis</t>
  </si>
  <si>
    <t>E&amp;O incentive-Mckay</t>
  </si>
  <si>
    <t>E&amp;O incentive-B52</t>
  </si>
  <si>
    <t>E&amp;O incentive-Ducky</t>
  </si>
  <si>
    <t>E&amp;O incentive-Ronin15</t>
  </si>
  <si>
    <t>E&amp;O incentive-Aires</t>
  </si>
  <si>
    <t>E&amp;O incentive-OZU/HITCHCOCK</t>
  </si>
  <si>
    <t>E&amp;O incentive-Thanos/Ronin</t>
  </si>
  <si>
    <t>E&amp;O incentive-Felicette/Strelka</t>
    <phoneticPr fontId="4" type="noConversion"/>
  </si>
  <si>
    <t>Total Rebate in Q4 2025 (US$)</t>
    <phoneticPr fontId="4" type="noConversion"/>
  </si>
  <si>
    <t>Consumer/Commercial/
Peripheral</t>
  </si>
  <si>
    <t>NB/DT/Peripheral</t>
  </si>
  <si>
    <t>2009/2010/….2023/2024/2025</t>
  </si>
  <si>
    <t>Platform name please strictly follow the LTF</t>
  </si>
  <si>
    <t>NBL KB/BL KB/Mouse
/Combo/Clickpad/Dongle</t>
  </si>
  <si>
    <t>If no Size, fill in "NA/"</t>
  </si>
  <si>
    <t>If no Color, fill in "NA/"</t>
  </si>
  <si>
    <t>E China/W China/S China/Thailand/Vietnam</t>
  </si>
  <si>
    <r>
      <t xml:space="preserve">COMPAL/QUANTA/INVENTEC/WISTRON/FOXCONN
</t>
    </r>
    <r>
      <rPr>
        <sz val="10"/>
        <color rgb="FFFF0000"/>
        <rFont val="Calibri"/>
        <family val="2"/>
      </rPr>
      <t>*If the ODM is not listed above, do not write 'OTHERS'. Please refer to the ODM or Regional site name as stated in the contract.</t>
    </r>
  </si>
  <si>
    <t>Please fill in your supplier part#</t>
  </si>
  <si>
    <t>Do not fill in ODM or Supplier part# at this column</t>
  </si>
  <si>
    <t>APJ/EMEA/NA/ODM</t>
  </si>
  <si>
    <t>If you don't have hp part#, pls fill in ODM part# without localization</t>
  </si>
  <si>
    <t>FY25</t>
    <phoneticPr fontId="8" type="noConversion"/>
  </si>
  <si>
    <t>Region</t>
  </si>
  <si>
    <t>HP/ODM Part#</t>
  </si>
  <si>
    <t>FY25</t>
  </si>
  <si>
    <t>Commercial</t>
    <phoneticPr fontId="4" type="noConversion"/>
  </si>
  <si>
    <t>INVENTEC_CQ</t>
  </si>
  <si>
    <t>V191726A1</t>
  </si>
  <si>
    <t>ODM</t>
    <phoneticPr fontId="4" type="noConversion"/>
  </si>
  <si>
    <t>6037B01670**</t>
    <phoneticPr fontId="4" type="noConversion"/>
  </si>
  <si>
    <t>V191726C1</t>
  </si>
  <si>
    <t>V191726B1</t>
  </si>
  <si>
    <t>6037B01674**</t>
  </si>
  <si>
    <t>V191726D1</t>
  </si>
  <si>
    <t>V191726E1</t>
  </si>
  <si>
    <t>6037B01673**</t>
  </si>
  <si>
    <t>V191726F1</t>
  </si>
  <si>
    <t>REEDS/IONIAN13/THANOS13/KRAKEN13</t>
  </si>
  <si>
    <t>QUANTA_CQ</t>
  </si>
  <si>
    <t>V191746A2</t>
  </si>
  <si>
    <t>AEX8P**0010</t>
  </si>
  <si>
    <t>AEX8P**3010</t>
  </si>
  <si>
    <t>V191746C2</t>
  </si>
  <si>
    <t>FY25</t>
    <phoneticPr fontId="4" type="noConversion"/>
  </si>
  <si>
    <t>V191746B2</t>
  </si>
  <si>
    <t>AEX8P**1010</t>
  </si>
  <si>
    <t>AEX8P**4010</t>
  </si>
  <si>
    <t>V191746D2</t>
  </si>
  <si>
    <t>V191746E2</t>
  </si>
  <si>
    <t>AEX8P**2010</t>
  </si>
  <si>
    <t>AEX8P**5010</t>
  </si>
  <si>
    <t>V191746F2</t>
  </si>
  <si>
    <t>RABON/IONIAN14/DIANSHAN14/PETROF/DONGQIAN14/PRIMA14/DARKSTAR/THANOS14/THUNDRA14/RONIN14/DOOP14/REDSTART/TURACO/KNUCKER14/PAN14/KRAKEN14/ROC14</t>
  </si>
  <si>
    <t>V195246A2</t>
  </si>
  <si>
    <t>AEX8Q**1110</t>
  </si>
  <si>
    <t>AEX8Q**2110</t>
  </si>
  <si>
    <t>AEX8Q**3110</t>
  </si>
  <si>
    <t>AEX8Q**7110</t>
  </si>
  <si>
    <t>AEX8Q**E110</t>
  </si>
  <si>
    <t>AEX8Q**F110</t>
  </si>
  <si>
    <t>AEX8Q**G110</t>
  </si>
  <si>
    <t>V195246C2</t>
  </si>
  <si>
    <t>V195246B2</t>
  </si>
  <si>
    <t>AEX8Q**0110</t>
  </si>
  <si>
    <t>AEX8Q**6110</t>
  </si>
  <si>
    <t>AEX8Q**C110</t>
  </si>
  <si>
    <t>AEX8Q**D110</t>
  </si>
  <si>
    <t>V195246D2</t>
  </si>
  <si>
    <t>V195246E2</t>
  </si>
  <si>
    <t>AEX8Q**4110</t>
  </si>
  <si>
    <t>V195246E2 NE</t>
    <phoneticPr fontId="4" type="noConversion"/>
  </si>
  <si>
    <t>AEX8QX05110</t>
  </si>
  <si>
    <t>V195246E2 RN</t>
    <phoneticPr fontId="4" type="noConversion"/>
  </si>
  <si>
    <t>AEX8Q605110</t>
  </si>
  <si>
    <t>V195246E2 TR</t>
    <phoneticPr fontId="4" type="noConversion"/>
  </si>
  <si>
    <t>AEX8QA05110</t>
  </si>
  <si>
    <t>AEX8Q**8110</t>
  </si>
  <si>
    <t>V195246F2</t>
  </si>
  <si>
    <t>V195246F2 AR</t>
    <phoneticPr fontId="4" type="noConversion"/>
  </si>
  <si>
    <t>AEX8QQ05110</t>
  </si>
  <si>
    <t>RARITAN/IRONOAK/IONIAN15/PECONIC/RARITAN/IONIANW15/RONIN15/PRIMA15/THANOS15/THUNDRA15/INERTIA/KNUCKER15/PAN15/ROC15/IASO/IOKE</t>
    <phoneticPr fontId="4" type="noConversion"/>
  </si>
  <si>
    <t>V195346A2</t>
  </si>
  <si>
    <t>V195346A2 BR</t>
    <phoneticPr fontId="4" type="noConversion"/>
  </si>
  <si>
    <t>AEX8Q607110</t>
  </si>
  <si>
    <t>AEX8Q**A110</t>
  </si>
  <si>
    <t>AEX8Q**J110</t>
  </si>
  <si>
    <t>AEX8Q**M110</t>
  </si>
  <si>
    <t>V195346C2</t>
  </si>
  <si>
    <t>V195346C2 AR</t>
    <phoneticPr fontId="4" type="noConversion"/>
  </si>
  <si>
    <t>AEX8QQ07110</t>
  </si>
  <si>
    <t>V195346B2</t>
  </si>
  <si>
    <t>V195346B2 BR</t>
    <phoneticPr fontId="4" type="noConversion"/>
  </si>
  <si>
    <t>AEX8Q606110</t>
  </si>
  <si>
    <t>AEX8Q**9110</t>
  </si>
  <si>
    <t>V195346B3 GR</t>
    <phoneticPr fontId="4" type="noConversion"/>
  </si>
  <si>
    <t>AEX8QG0C110</t>
  </si>
  <si>
    <t>AEX8Q**I110</t>
  </si>
  <si>
    <t>AEX8Q**L110</t>
  </si>
  <si>
    <t>V195346D2</t>
  </si>
  <si>
    <t>V195346D2 AR</t>
    <phoneticPr fontId="4" type="noConversion"/>
  </si>
  <si>
    <t>AEX8QQ06110</t>
  </si>
  <si>
    <t>V195346E2</t>
  </si>
  <si>
    <t>AEX8Q**5110</t>
  </si>
  <si>
    <t>V195346E2 BR</t>
    <phoneticPr fontId="4" type="noConversion"/>
  </si>
  <si>
    <t>AEX8Q608110</t>
  </si>
  <si>
    <t>AEX8Q**B110</t>
  </si>
  <si>
    <t>V195346F2</t>
  </si>
  <si>
    <t>V195346F2 AR</t>
    <phoneticPr fontId="4" type="noConversion"/>
  </si>
  <si>
    <t>AEX8QQ08110</t>
  </si>
  <si>
    <t>MANX/MANX2</t>
  </si>
  <si>
    <t xml:space="preserve">JET BLACK </t>
    <phoneticPr fontId="4" type="noConversion"/>
  </si>
  <si>
    <t>V230946A2</t>
  </si>
  <si>
    <t>ODM</t>
  </si>
  <si>
    <t>AE1G1**0010</t>
  </si>
  <si>
    <t>AE1G1**1010</t>
  </si>
  <si>
    <t>AE1G1**11010</t>
  </si>
  <si>
    <t>QUANTA_TH</t>
    <phoneticPr fontId="4" type="noConversion"/>
  </si>
  <si>
    <t>V232946A2</t>
    <phoneticPr fontId="4" type="noConversion"/>
  </si>
  <si>
    <t>GALACTIC BLUE</t>
    <phoneticPr fontId="4" type="noConversion"/>
  </si>
  <si>
    <t>V230946B2</t>
  </si>
  <si>
    <t>AE1G1**0020</t>
  </si>
  <si>
    <t>AE1G1**1020</t>
  </si>
  <si>
    <t>JADE GREEN</t>
    <phoneticPr fontId="4" type="noConversion"/>
  </si>
  <si>
    <t>V230946I2</t>
  </si>
  <si>
    <t>AE1G1**0030</t>
  </si>
  <si>
    <t>AE1G1**1030</t>
  </si>
  <si>
    <t>HIMALAYAN/HIMALAYAN2</t>
  </si>
  <si>
    <t>V230946E1</t>
  </si>
  <si>
    <t>AE1G2**0110</t>
  </si>
  <si>
    <t>AE1G2**1110</t>
  </si>
  <si>
    <t>V230946F1</t>
  </si>
  <si>
    <t>AE1G2**0120</t>
  </si>
  <si>
    <t>AE1G2**1120</t>
  </si>
  <si>
    <t>2025</t>
    <phoneticPr fontId="4" type="noConversion"/>
  </si>
  <si>
    <t>TEACAKE/OLIEBOL</t>
  </si>
  <si>
    <t>Compal_KS</t>
  </si>
  <si>
    <t>V230902E1</t>
  </si>
  <si>
    <t>PK139F62A**</t>
  </si>
  <si>
    <t>V230902E2</t>
  </si>
  <si>
    <t>PK139F62B**</t>
  </si>
  <si>
    <t>376 x 153x 19 mm</t>
  </si>
  <si>
    <t>Foxconn_LH</t>
  </si>
  <si>
    <t>EBK-230B</t>
  </si>
  <si>
    <t>APJ</t>
  </si>
  <si>
    <t>7N7B8AA#UUF</t>
    <phoneticPr fontId="4" type="noConversion"/>
  </si>
  <si>
    <t>7N7B8AA#ABJ</t>
    <phoneticPr fontId="4" type="noConversion"/>
  </si>
  <si>
    <t>NA</t>
  </si>
  <si>
    <t>7N7B8AA#ABA</t>
    <phoneticPr fontId="4" type="noConversion"/>
  </si>
  <si>
    <t>LA</t>
  </si>
  <si>
    <t>7N7B8AA#ABM</t>
    <phoneticPr fontId="4" type="noConversion"/>
  </si>
  <si>
    <t>Flextronic_CZ</t>
  </si>
  <si>
    <t>EMEA</t>
  </si>
  <si>
    <t>7N7B8AA#AC3</t>
    <phoneticPr fontId="4" type="noConversion"/>
  </si>
  <si>
    <t>Ash Dual</t>
  </si>
  <si>
    <t>ERK-231B</t>
  </si>
  <si>
    <t>7N7B9AA#ABA</t>
    <phoneticPr fontId="4" type="noConversion"/>
  </si>
  <si>
    <t>7N7B9AA#ABM</t>
    <phoneticPr fontId="4" type="noConversion"/>
  </si>
  <si>
    <t>7N7B9AA#AC4</t>
    <phoneticPr fontId="4" type="noConversion"/>
  </si>
  <si>
    <t>7N7B9AA#AB0</t>
    <phoneticPr fontId="4" type="noConversion"/>
  </si>
  <si>
    <t>7N7B9AA#AB1</t>
    <phoneticPr fontId="4" type="noConversion"/>
  </si>
  <si>
    <t>7N7B9AA#AB2</t>
    <phoneticPr fontId="4" type="noConversion"/>
  </si>
  <si>
    <t>7N7B9AA#ABJ</t>
    <phoneticPr fontId="4" type="noConversion"/>
  </si>
  <si>
    <t>7N7B9AA#AKL</t>
    <phoneticPr fontId="4" type="noConversion"/>
  </si>
  <si>
    <t>7N7B9AA#UUF</t>
    <phoneticPr fontId="4" type="noConversion"/>
  </si>
  <si>
    <t>7N7B9AA#ACJ</t>
    <phoneticPr fontId="4" type="noConversion"/>
  </si>
  <si>
    <t>7N7B9AA#AC3</t>
  </si>
  <si>
    <t>7N7B9UT#ABA</t>
  </si>
  <si>
    <t>7N7B9UT#ABM</t>
  </si>
  <si>
    <t>7N7B9UT#AC4</t>
  </si>
  <si>
    <t>7N7B9UT#AB0</t>
  </si>
  <si>
    <t>7N7B9UT#AB1</t>
  </si>
  <si>
    <t>7N7B9UT#AB2</t>
  </si>
  <si>
    <t>7N7B9UT#ABJ</t>
  </si>
  <si>
    <t>7N7B9UT#AKL</t>
  </si>
  <si>
    <t>7N7B9UT#UUF</t>
  </si>
  <si>
    <t>7N7B9UT#ACJ</t>
  </si>
  <si>
    <t>7N7B9UT#AC3</t>
  </si>
  <si>
    <t>Macro CPS</t>
  </si>
  <si>
    <t>110x 153x19 mm</t>
  </si>
  <si>
    <t>EBK-234A</t>
  </si>
  <si>
    <t>7N7C2AA#ABA</t>
  </si>
  <si>
    <t>Foxconn_CZ</t>
  </si>
  <si>
    <t>7N7C2AA#ABB</t>
  </si>
  <si>
    <t>7N7C2AA#UUF</t>
  </si>
  <si>
    <t>Macro BPS</t>
  </si>
  <si>
    <t>7N7C3AA#ABA</t>
  </si>
  <si>
    <t>7N7C3AA#ABB</t>
  </si>
  <si>
    <t>7N7C3AA#UUF</t>
  </si>
  <si>
    <t>ASH Wired CPS</t>
  </si>
  <si>
    <t>EKB-233C</t>
  </si>
  <si>
    <t>7N7C0AA#ABA</t>
  </si>
  <si>
    <t>7N7C0AA#ABM</t>
  </si>
  <si>
    <t>7N7C0AA#ABJ</t>
  </si>
  <si>
    <t>7N7C0AA#UUF</t>
  </si>
  <si>
    <t>7N7C0AA#A2M</t>
  </si>
  <si>
    <t>7N7C0AA#A2Q</t>
  </si>
  <si>
    <t>7N7C0AA#AB6</t>
  </si>
  <si>
    <t>7N7C0AA#AB7</t>
  </si>
  <si>
    <t>7N7C0AA#AB8</t>
  </si>
  <si>
    <t>7N7C0AA#AB9</t>
  </si>
  <si>
    <t>7N7C0AA#ABB</t>
  </si>
  <si>
    <t>7N7C0AA#ABD</t>
  </si>
  <si>
    <t>7N7C0AA#ABE</t>
  </si>
  <si>
    <t>7N7C0AA#ABF</t>
  </si>
  <si>
    <t>7N7C0AA#ABT</t>
  </si>
  <si>
    <t>7N7C0AA#ABU</t>
  </si>
  <si>
    <t>7N7C0AA#ABV</t>
  </si>
  <si>
    <t>7N7C0AA#ABZ</t>
  </si>
  <si>
    <t>7N7C0AA#AC0</t>
  </si>
  <si>
    <t>7N7C0AA#ACQ</t>
  </si>
  <si>
    <t>7N7C0AA#ACB</t>
  </si>
  <si>
    <t>7N7C0AA#AKC</t>
  </si>
  <si>
    <t>7N7C0AA#AKE</t>
  </si>
  <si>
    <t>7N7C0AA#AKQ</t>
  </si>
  <si>
    <t>7N7C0AA#AKS</t>
  </si>
  <si>
    <t>7N7C0AA#ARK</t>
  </si>
  <si>
    <t>7N7C0AA#B15</t>
  </si>
  <si>
    <t>7N7C0AA#BCM</t>
  </si>
  <si>
    <t>7N7C0AA#BED</t>
  </si>
  <si>
    <t>7N7C0AA#UUW</t>
  </si>
  <si>
    <t>7N7C0AA#UUZ</t>
  </si>
  <si>
    <t>ASH Wired BPS</t>
  </si>
  <si>
    <t>EKB-233D</t>
  </si>
  <si>
    <t>7N7C1AA#ABA</t>
  </si>
  <si>
    <t>7N7C1AA#ABM</t>
  </si>
  <si>
    <t>7N7C1AA#ABJ</t>
  </si>
  <si>
    <t>7N7C1AA#UUF</t>
  </si>
  <si>
    <t>7N7C1AA#A2M</t>
  </si>
  <si>
    <t>7N7C1AA#A2Q</t>
  </si>
  <si>
    <t>7N7C1AA#AB6</t>
  </si>
  <si>
    <t>7N7C1AA#AB7</t>
  </si>
  <si>
    <t>7N7C1AA#AB8</t>
  </si>
  <si>
    <t>7N7C1AA#AB9</t>
  </si>
  <si>
    <t>7N7C1AA#ABB</t>
  </si>
  <si>
    <t>7N7C1AA#ABD</t>
  </si>
  <si>
    <t>7N7C1AA#ABE</t>
  </si>
  <si>
    <t>7N7C1AA#ABF</t>
  </si>
  <si>
    <t>7N7C1AA#ABT</t>
  </si>
  <si>
    <t>7N7C1AA#ABU</t>
  </si>
  <si>
    <t>7N7C1AA#ABV</t>
  </si>
  <si>
    <t>7N7C1AA#ABZ</t>
  </si>
  <si>
    <t>7N7C1AA#AC0</t>
  </si>
  <si>
    <t>7N7C1AA#ACB</t>
  </si>
  <si>
    <t>7N7C1AA#ACQ</t>
  </si>
  <si>
    <t>7N7C1AA#AKC</t>
  </si>
  <si>
    <t>7N7C1AA#AKE</t>
  </si>
  <si>
    <t>7N7C1AA#AKQ</t>
  </si>
  <si>
    <t>7N7C1AA#AKS</t>
  </si>
  <si>
    <t>7N7C1AA#AR4</t>
  </si>
  <si>
    <t>7N7C1AA#ARK</t>
  </si>
  <si>
    <t>7N7C1AA#B15</t>
  </si>
  <si>
    <t>7N7C1AA#BCM</t>
  </si>
  <si>
    <t>7N7C1AA#BED</t>
  </si>
  <si>
    <t>7N7C1AA#UUW</t>
  </si>
  <si>
    <t>7N7C1AA#UUZ</t>
  </si>
  <si>
    <t>7N7C1UT#ABA</t>
  </si>
  <si>
    <t>7N7C1UT#ABM</t>
  </si>
  <si>
    <t>7N7C1UT#ABJ</t>
  </si>
  <si>
    <t>7N7C1UT#UUF</t>
  </si>
  <si>
    <t>7N7C1UT#A2M</t>
  </si>
  <si>
    <t>7N7C1UT#A2Q</t>
  </si>
  <si>
    <t>7N7C1UT#AB6</t>
  </si>
  <si>
    <t>7N7C1UT#AB7</t>
  </si>
  <si>
    <t>7N7C1UT#AB8</t>
  </si>
  <si>
    <t>7N7C1UT#AB9</t>
  </si>
  <si>
    <t>7N7C1UT#ABB</t>
  </si>
  <si>
    <t>7N7C1UT#ABD</t>
  </si>
  <si>
    <t>7N7C1UT#ABE</t>
  </si>
  <si>
    <t>7N7C1UT#ABF</t>
  </si>
  <si>
    <t>7N7C1UT#ABT</t>
  </si>
  <si>
    <t>7N7C1UT#ABU</t>
  </si>
  <si>
    <t>7N7C1UT#ABV</t>
  </si>
  <si>
    <t>7N7C1UT#ABZ</t>
  </si>
  <si>
    <t>7N7C1UT#AC0</t>
  </si>
  <si>
    <t>7N7C1UT#ACB</t>
  </si>
  <si>
    <t>7N7C1UT#ACQ</t>
  </si>
  <si>
    <t>7N7C1UT#AKC</t>
  </si>
  <si>
    <t>7N7C1UT#AKE</t>
  </si>
  <si>
    <t>7N7C1UT#AKQ</t>
  </si>
  <si>
    <t>7N7C1UT#AKS</t>
  </si>
  <si>
    <t>7N7C1UT#AR4</t>
  </si>
  <si>
    <t>7N7C1UT#ARK</t>
  </si>
  <si>
    <t>7N7C1UT#B15</t>
  </si>
  <si>
    <t>7N7C1UT#BCM</t>
  </si>
  <si>
    <t>7N7C1UT#BED</t>
  </si>
  <si>
    <t>7N7C1UT#UUW</t>
  </si>
  <si>
    <t>7N7C1UT#UUZ</t>
  </si>
  <si>
    <t>MALDIVES/MALDIVES6U/HERSCHEL/HERSCHEL6U/HERSCHELR6U/MALDIVESR6U</t>
    <phoneticPr fontId="4" type="noConversion"/>
  </si>
  <si>
    <t>JET BLACK</t>
    <phoneticPr fontId="4" type="noConversion"/>
  </si>
  <si>
    <t>V162602U5</t>
    <phoneticPr fontId="4" type="noConversion"/>
  </si>
  <si>
    <t>PK132H75A**</t>
    <phoneticPr fontId="4" type="noConversion"/>
  </si>
  <si>
    <t>2019</t>
    <phoneticPr fontId="4" type="noConversion"/>
  </si>
  <si>
    <t>JET BLACK_INDIA</t>
    <phoneticPr fontId="4" type="noConversion"/>
  </si>
  <si>
    <t>V162602U5ID</t>
    <phoneticPr fontId="4" type="noConversion"/>
  </si>
  <si>
    <t>PK132H75C00</t>
    <phoneticPr fontId="4" type="noConversion"/>
  </si>
  <si>
    <t>MALDIVESR6U2/MALDIVESRT6U</t>
  </si>
  <si>
    <t>V162602U6</t>
    <phoneticPr fontId="4" type="noConversion"/>
  </si>
  <si>
    <t>PK132H75G**</t>
    <phoneticPr fontId="4" type="noConversion"/>
  </si>
  <si>
    <t>V222546A1</t>
    <phoneticPr fontId="4" type="noConversion"/>
  </si>
  <si>
    <t>AE0PDJ01330</t>
    <phoneticPr fontId="4" type="noConversion"/>
  </si>
  <si>
    <t>AE0PD**1310</t>
    <phoneticPr fontId="4" type="noConversion"/>
  </si>
  <si>
    <t>AE0PDQ02310</t>
    <phoneticPr fontId="4" type="noConversion"/>
  </si>
  <si>
    <t>AE0PDQ03310</t>
    <phoneticPr fontId="4" type="noConversion"/>
  </si>
  <si>
    <t>AE0PDU01350</t>
    <phoneticPr fontId="4" type="noConversion"/>
  </si>
  <si>
    <t>QUANTA_TH</t>
    <phoneticPr fontId="5" type="noConversion"/>
  </si>
  <si>
    <t>VLAD/EUNICE/VLAD6U/VLADR6U/VLADRPL6U</t>
    <phoneticPr fontId="4" type="noConversion"/>
  </si>
  <si>
    <t>V194526N1</t>
  </si>
  <si>
    <t>6037B02131**</t>
    <phoneticPr fontId="4" type="noConversion"/>
  </si>
  <si>
    <t>VLAD/EUNICE/VLAD6U/VLADR6U/VLADRPL6U</t>
  </si>
  <si>
    <t>V194526N4</t>
    <phoneticPr fontId="4" type="noConversion"/>
  </si>
  <si>
    <t>6037B02962**</t>
    <phoneticPr fontId="4" type="noConversion"/>
  </si>
  <si>
    <t>V194526S1</t>
  </si>
  <si>
    <t>6037B02602**</t>
    <phoneticPr fontId="4" type="noConversion"/>
  </si>
  <si>
    <t>V194526T1</t>
  </si>
  <si>
    <t>6037B02603**</t>
    <phoneticPr fontId="4" type="noConversion"/>
  </si>
  <si>
    <t>V194526T4</t>
    <phoneticPr fontId="4" type="noConversion"/>
  </si>
  <si>
    <t>6037B02958**</t>
    <phoneticPr fontId="4" type="noConversion"/>
  </si>
  <si>
    <t>SEAFOAM TEAL PEARL</t>
    <phoneticPr fontId="4" type="noConversion"/>
  </si>
  <si>
    <t>V194526U1</t>
  </si>
  <si>
    <t>6037B02654**</t>
    <phoneticPr fontId="4" type="noConversion"/>
  </si>
  <si>
    <t>WISTERIA LAVENDER PEARL</t>
    <phoneticPr fontId="4" type="noConversion"/>
  </si>
  <si>
    <t>V194526V1</t>
  </si>
  <si>
    <t>6037B02651**</t>
    <phoneticPr fontId="4" type="noConversion"/>
  </si>
  <si>
    <t>INVENTEC_TH</t>
    <phoneticPr fontId="4" type="noConversion"/>
  </si>
  <si>
    <t>V194526NS1(TH)</t>
  </si>
  <si>
    <t>V194526NS4(TH)</t>
    <phoneticPr fontId="4" type="noConversion"/>
  </si>
  <si>
    <t>V194526TS1(TH)</t>
  </si>
  <si>
    <t>VLAD/EUNICE</t>
  </si>
  <si>
    <t>V194526TS4(TH)</t>
    <phoneticPr fontId="4" type="noConversion"/>
  </si>
  <si>
    <t>V222546C1</t>
  </si>
  <si>
    <t>AE0PDJ01320</t>
    <phoneticPr fontId="4" type="noConversion"/>
  </si>
  <si>
    <t>AE0PD**1330</t>
    <phoneticPr fontId="4" type="noConversion"/>
  </si>
  <si>
    <t>AE0PD**2330</t>
    <phoneticPr fontId="4" type="noConversion"/>
  </si>
  <si>
    <t>AE0PD**3310</t>
    <phoneticPr fontId="4" type="noConversion"/>
  </si>
  <si>
    <t>AE0PD**3330</t>
    <phoneticPr fontId="4" type="noConversion"/>
  </si>
  <si>
    <t>AE0PDAR1320</t>
    <phoneticPr fontId="4" type="noConversion"/>
  </si>
  <si>
    <t>AE0PDU01320</t>
    <phoneticPr fontId="4" type="noConversion"/>
  </si>
  <si>
    <t>V222546E1</t>
  </si>
  <si>
    <t>AE0PD**1350</t>
    <phoneticPr fontId="4" type="noConversion"/>
  </si>
  <si>
    <t>AE0PD**1320</t>
    <phoneticPr fontId="4" type="noConversion"/>
  </si>
  <si>
    <t>AE0PD**1340</t>
    <phoneticPr fontId="4" type="noConversion"/>
  </si>
  <si>
    <t>AE0PD**2320</t>
    <phoneticPr fontId="4" type="noConversion"/>
  </si>
  <si>
    <t>AE0PD**3320</t>
    <phoneticPr fontId="4" type="noConversion"/>
  </si>
  <si>
    <t>AE0PDAR1310</t>
    <phoneticPr fontId="4" type="noConversion"/>
  </si>
  <si>
    <t>V222546C1</t>
    <phoneticPr fontId="4" type="noConversion"/>
  </si>
  <si>
    <t>V222546E1</t>
    <phoneticPr fontId="4" type="noConversion"/>
  </si>
  <si>
    <t>Pavilion</t>
    <phoneticPr fontId="4" type="noConversion"/>
  </si>
  <si>
    <t>ROKU/OPIHR</t>
  </si>
  <si>
    <t>MICA SILVER</t>
    <phoneticPr fontId="4" type="noConversion"/>
  </si>
  <si>
    <t>V204346A2</t>
  </si>
  <si>
    <t>AEG3P**0230</t>
    <phoneticPr fontId="4" type="noConversion"/>
  </si>
  <si>
    <t>CERAMIC WHITE</t>
    <phoneticPr fontId="4" type="noConversion"/>
  </si>
  <si>
    <t>V204346B2</t>
  </si>
  <si>
    <t>AEG3P**0210</t>
    <phoneticPr fontId="4" type="noConversion"/>
  </si>
  <si>
    <t>V204346C2</t>
  </si>
  <si>
    <t>AEG3P**0220</t>
  </si>
  <si>
    <t>BIGRED/ROAREE</t>
  </si>
  <si>
    <t>MOONSTONE GREY</t>
    <phoneticPr fontId="4" type="noConversion"/>
  </si>
  <si>
    <t>V204302D1</t>
    <phoneticPr fontId="4" type="noConversion"/>
  </si>
  <si>
    <t>PK137ID3I**</t>
  </si>
  <si>
    <t>PERFORMANCE BLUE OPAQUE</t>
    <phoneticPr fontId="4" type="noConversion"/>
  </si>
  <si>
    <t>V204302N1</t>
    <phoneticPr fontId="4" type="noConversion"/>
  </si>
  <si>
    <t>PK137ID3K**</t>
  </si>
  <si>
    <t>1 ZONE RGB W NUMPAD_CERAMIC WHITE</t>
  </si>
  <si>
    <t>V204302E1</t>
    <phoneticPr fontId="4" type="noConversion"/>
  </si>
  <si>
    <t>PK137ID3H**</t>
  </si>
  <si>
    <t>1 ZONE RGB W NUMPAD_PERFORMANCE BLUE OPAQUE</t>
  </si>
  <si>
    <t>V204302F1</t>
    <phoneticPr fontId="4" type="noConversion"/>
  </si>
  <si>
    <t>PK137ID3L**</t>
  </si>
  <si>
    <t>1 Zone RGB W Numpad_Moonstone Grey</t>
  </si>
  <si>
    <t>V204302G1</t>
    <phoneticPr fontId="4" type="noConversion"/>
  </si>
  <si>
    <t>PK137ID3J**</t>
  </si>
  <si>
    <t>BIGRED/ROAREE/RITCHIE</t>
  </si>
  <si>
    <t>V204302O1</t>
    <phoneticPr fontId="4" type="noConversion"/>
  </si>
  <si>
    <t>PK137ID3M**</t>
  </si>
  <si>
    <t>1 ZONE RGB W NUMPAD_SHADOW BLACK</t>
  </si>
  <si>
    <t>V204302P1</t>
    <phoneticPr fontId="4" type="noConversion"/>
  </si>
  <si>
    <t>PK137ID3N**</t>
  </si>
  <si>
    <t>Envy</t>
    <phoneticPr fontId="4" type="noConversion"/>
  </si>
  <si>
    <t>V214302J1</t>
    <phoneticPr fontId="4" type="noConversion"/>
  </si>
  <si>
    <t>PK137I74A**</t>
  </si>
  <si>
    <t>OMEN</t>
    <phoneticPr fontId="4" type="noConversion"/>
  </si>
  <si>
    <t>1 Zone W/O Num Pad_SHADOW BLACK</t>
    <phoneticPr fontId="4" type="noConversion"/>
  </si>
  <si>
    <t>V193402E3</t>
    <phoneticPr fontId="4" type="noConversion"/>
  </si>
  <si>
    <t>PK137II3I**</t>
  </si>
  <si>
    <t>4 Zone RGB W/O Num Pad_SHADOW BLACK</t>
    <phoneticPr fontId="4" type="noConversion"/>
  </si>
  <si>
    <t>V193402F3</t>
    <phoneticPr fontId="4" type="noConversion"/>
  </si>
  <si>
    <t>PK137II3J**</t>
  </si>
  <si>
    <t>4 Zone RGB W/O Num Pad_CERAMIC WHITE</t>
    <phoneticPr fontId="4" type="noConversion"/>
  </si>
  <si>
    <t>V193402M1</t>
    <phoneticPr fontId="4" type="noConversion"/>
  </si>
  <si>
    <t>PK137II3P**</t>
  </si>
  <si>
    <t>4 Zone RGB W/O Num Pad_SHADOW BLACK</t>
  </si>
  <si>
    <t>V193402N1</t>
    <phoneticPr fontId="4" type="noConversion"/>
  </si>
  <si>
    <t>PK137II3L**</t>
  </si>
  <si>
    <t>FY26</t>
    <phoneticPr fontId="8" type="noConversion"/>
  </si>
  <si>
    <t>FY26</t>
    <phoneticPr fontId="4" type="noConversion"/>
  </si>
  <si>
    <t>FY26</t>
  </si>
  <si>
    <t>7N7B8AA#UUF</t>
  </si>
  <si>
    <t>7N7B8AA#ABJ</t>
  </si>
  <si>
    <t>7N7B8AA#ABA</t>
  </si>
  <si>
    <t>7N7B8AA#ABM</t>
  </si>
  <si>
    <t>7N7B8AA#AC3</t>
  </si>
  <si>
    <t>7N7B9AA#ABA</t>
  </si>
  <si>
    <t>7N7B9AA#ABM</t>
  </si>
  <si>
    <t>7N7B9AA#AC4</t>
  </si>
  <si>
    <t>7N7B9AA#AB0</t>
  </si>
  <si>
    <t>7N7B9AA#AB1</t>
  </si>
  <si>
    <t>7N7B9AA#AB2</t>
  </si>
  <si>
    <t>7N7B9AA#ABJ</t>
  </si>
  <si>
    <t>7N7B9AA#AKL</t>
  </si>
  <si>
    <t>7N7B9AA#UUF</t>
  </si>
  <si>
    <t>7N7B9AA#ACJ</t>
  </si>
  <si>
    <t>Product</t>
    <phoneticPr fontId="4" type="noConversion"/>
  </si>
  <si>
    <t>E&amp;O incentive-Mockingbird3</t>
    <phoneticPr fontId="4" type="noConversion"/>
  </si>
  <si>
    <t>E&amp;O incentive-Weller</t>
    <phoneticPr fontId="4" type="noConversion"/>
  </si>
  <si>
    <t>2025 11</t>
    <phoneticPr fontId="4" type="noConversion"/>
  </si>
  <si>
    <t>2025 12</t>
    <phoneticPr fontId="4" type="noConversion"/>
  </si>
  <si>
    <t>2026 01</t>
    <phoneticPr fontId="4" type="noConversion"/>
  </si>
  <si>
    <t>2026 02</t>
    <phoneticPr fontId="4" type="noConversion"/>
  </si>
  <si>
    <t>2026 03</t>
    <phoneticPr fontId="4" type="noConversion"/>
  </si>
  <si>
    <t>2026 04</t>
    <phoneticPr fontId="4" type="noConversion"/>
  </si>
  <si>
    <t>2026 05</t>
    <phoneticPr fontId="4" type="noConversion"/>
  </si>
  <si>
    <t>2026 06</t>
    <phoneticPr fontId="4" type="noConversion"/>
  </si>
  <si>
    <t>2026 07</t>
    <phoneticPr fontId="4" type="noConversion"/>
  </si>
  <si>
    <t>2026 08</t>
    <phoneticPr fontId="4" type="noConversion"/>
  </si>
  <si>
    <t>2026 09</t>
    <phoneticPr fontId="4" type="noConversion"/>
  </si>
  <si>
    <t>2026 10</t>
    <phoneticPr fontId="4" type="noConversion"/>
  </si>
  <si>
    <t>Input Devices</t>
    <phoneticPr fontId="4" type="noConversion"/>
  </si>
  <si>
    <t>Input Devices</t>
    <phoneticPr fontId="4" type="noConversion"/>
  </si>
  <si>
    <t>Total Rebate in Q1 2026 (US$)</t>
    <phoneticPr fontId="4" type="noConversion"/>
  </si>
  <si>
    <t>Total Rebate in Q2 2026 (US$)</t>
    <phoneticPr fontId="4" type="noConversion"/>
  </si>
  <si>
    <t>Total Rebate in Q3 2026(US$)</t>
    <phoneticPr fontId="4" type="noConversion"/>
  </si>
  <si>
    <t>Total Rebate in Q4 2026 (US$)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</si>
</sst>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76" formatCode="&quot;$&quot;#,##0.00_);[Red]\(&quot;$&quot;#,##0.00\)"/>
    <numFmt numFmtId="177" formatCode="[$$-409]#,##0.00"/>
    <numFmt numFmtId="178" formatCode="0_);[Red]\(0\)"/>
    <numFmt numFmtId="179" formatCode="#,##0_ ;[Red]\-#,##0\ "/>
    <numFmt numFmtId="180" formatCode="&quot;$&quot;#,##0.00"/>
    <numFmt numFmtId="181" formatCode="#,##0_ "/>
    <numFmt numFmtId="182" formatCode="0_ "/>
    <numFmt numFmtId="183" formatCode="#,##0.00_ "/>
  </numFmts>
  <fonts count="34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2"/>
      <color theme="1"/>
      <name val="Calibri"/>
      <family val="2"/>
    </font>
    <font>
      <sz val="12"/>
      <color indexed="8"/>
      <name val="新細明體"/>
      <family val="1"/>
      <charset val="136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color rgb="FF3333FF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0"/>
      <color theme="1"/>
      <name val="Times New Roman"/>
      <family val="1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sz val="11"/>
      <color theme="1"/>
      <name val="PMingLiU"/>
      <family val="1"/>
    </font>
    <font>
      <sz val="11"/>
      <color theme="1"/>
      <name val="SimSun"/>
    </font>
    <font>
      <b/>
      <sz val="10.5"/>
      <color rgb="FF000000"/>
      <name val="Calibri"/>
      <family val="2"/>
    </font>
    <font>
      <sz val="11"/>
      <color theme="1"/>
      <name val="新細明體"/>
      <family val="1"/>
      <scheme val="minor"/>
    </font>
    <font>
      <b/>
      <sz val="11"/>
      <color rgb="FF0070C0"/>
      <name val="Calibri"/>
      <family val="2"/>
    </font>
    <font>
      <b/>
      <sz val="11"/>
      <color rgb="FF3333FF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70C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0"/>
      <name val="新細明體"/>
      <family val="2"/>
      <charset val="136"/>
      <scheme val="minor"/>
    </font>
    <font>
      <sz val="10"/>
      <color rgb="FF3333FF"/>
      <name val="Calibri"/>
      <family val="2"/>
    </font>
    <font>
      <sz val="10"/>
      <color rgb="FFFF000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6D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99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</borders>
  <cellStyleXfs count="2">
    <xf numFmtId="177" fontId="0" fillId="0" borderId="0">
      <alignment vertical="center"/>
    </xf>
    <xf numFmtId="177" fontId="9" fillId="0" borderId="0"/>
  </cellStyleXfs>
  <cellXfs count="302">
    <xf numFmtId="177" fontId="0" fillId="0" borderId="0" xfId="0">
      <alignment vertical="center"/>
    </xf>
    <xf numFmtId="177" fontId="6" fillId="0" borderId="0" xfId="0" applyFont="1">
      <alignment vertical="center"/>
    </xf>
    <xf numFmtId="177" fontId="6" fillId="0" borderId="0" xfId="0" applyFont="1" applyAlignment="1">
      <alignment horizontal="center" vertical="center"/>
    </xf>
    <xf numFmtId="176" fontId="6" fillId="0" borderId="0" xfId="0" applyNumberFormat="1" applyFont="1">
      <alignment vertical="center"/>
    </xf>
    <xf numFmtId="177" fontId="7" fillId="0" borderId="0" xfId="0" applyFont="1" applyAlignment="1">
      <alignment horizontal="center" vertical="center"/>
    </xf>
    <xf numFmtId="38" fontId="7" fillId="0" borderId="0" xfId="0" applyNumberFormat="1" applyFont="1" applyAlignment="1">
      <alignment horizontal="right" vertical="center"/>
    </xf>
    <xf numFmtId="177" fontId="10" fillId="0" borderId="0" xfId="0" applyFont="1" applyAlignment="1">
      <alignment horizontal="center" vertical="center"/>
    </xf>
    <xf numFmtId="177" fontId="6" fillId="0" borderId="7" xfId="0" applyFont="1" applyBorder="1" applyAlignment="1">
      <alignment horizontal="center" vertical="center"/>
    </xf>
    <xf numFmtId="177" fontId="12" fillId="0" borderId="0" xfId="0" applyFont="1">
      <alignment vertical="center"/>
    </xf>
    <xf numFmtId="177" fontId="8" fillId="0" borderId="9" xfId="0" applyFont="1" applyBorder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177" fontId="12" fillId="0" borderId="5" xfId="0" applyFont="1" applyBorder="1" applyAlignment="1">
      <alignment horizontal="center" vertical="center" wrapText="1"/>
    </xf>
    <xf numFmtId="177" fontId="12" fillId="0" borderId="9" xfId="0" applyFont="1" applyBorder="1" applyAlignment="1">
      <alignment horizontal="center" vertical="center" wrapText="1"/>
    </xf>
    <xf numFmtId="177" fontId="12" fillId="0" borderId="7" xfId="0" applyFont="1" applyBorder="1" applyAlignment="1">
      <alignment horizontal="center" vertical="center" wrapText="1"/>
    </xf>
    <xf numFmtId="177" fontId="16" fillId="8" borderId="0" xfId="0" applyFont="1" applyFill="1">
      <alignment vertical="center"/>
    </xf>
    <xf numFmtId="177" fontId="15" fillId="0" borderId="0" xfId="0" applyFont="1" applyAlignment="1"/>
    <xf numFmtId="17" fontId="19" fillId="9" borderId="13" xfId="0" applyNumberFormat="1" applyFont="1" applyFill="1" applyBorder="1" applyAlignment="1">
      <alignment horizontal="center" vertical="center"/>
    </xf>
    <xf numFmtId="177" fontId="12" fillId="0" borderId="6" xfId="0" applyFont="1" applyBorder="1" applyAlignment="1">
      <alignment horizontal="center" vertical="center" wrapText="1"/>
    </xf>
    <xf numFmtId="177" fontId="14" fillId="0" borderId="9" xfId="0" applyFont="1" applyBorder="1" applyAlignment="1">
      <alignment horizontal="center" vertical="center"/>
    </xf>
    <xf numFmtId="177" fontId="8" fillId="0" borderId="0" xfId="0" applyFont="1" applyAlignment="1">
      <alignment horizontal="center" vertical="center"/>
    </xf>
    <xf numFmtId="177" fontId="20" fillId="0" borderId="0" xfId="0" applyFont="1" applyAlignment="1">
      <alignment horizontal="left" vertical="center" indent="1"/>
    </xf>
    <xf numFmtId="177" fontId="21" fillId="0" borderId="0" xfId="0" applyFont="1" applyAlignment="1">
      <alignment horizontal="left" vertical="center" indent="1"/>
    </xf>
    <xf numFmtId="38" fontId="7" fillId="0" borderId="14" xfId="0" applyNumberFormat="1" applyFont="1" applyBorder="1" applyAlignment="1">
      <alignment horizontal="right" vertical="center"/>
    </xf>
    <xf numFmtId="38" fontId="7" fillId="0" borderId="16" xfId="0" applyNumberFormat="1" applyFont="1" applyBorder="1" applyAlignment="1">
      <alignment horizontal="right" vertical="center"/>
    </xf>
    <xf numFmtId="177" fontId="22" fillId="0" borderId="11" xfId="0" applyFont="1" applyBorder="1" applyAlignment="1">
      <alignment horizontal="center" vertical="center"/>
    </xf>
    <xf numFmtId="177" fontId="16" fillId="0" borderId="10" xfId="0" applyFont="1" applyBorder="1" applyAlignment="1">
      <alignment horizontal="center" vertical="center"/>
    </xf>
    <xf numFmtId="177" fontId="16" fillId="0" borderId="10" xfId="0" applyFont="1" applyBorder="1" applyAlignment="1">
      <alignment horizontal="center" vertical="center" wrapText="1"/>
    </xf>
    <xf numFmtId="177" fontId="22" fillId="0" borderId="12" xfId="0" applyFont="1" applyBorder="1" applyAlignment="1">
      <alignment horizontal="center" vertical="center"/>
    </xf>
    <xf numFmtId="177" fontId="16" fillId="0" borderId="8" xfId="0" applyFont="1" applyBorder="1" applyAlignment="1">
      <alignment horizontal="center" vertical="center"/>
    </xf>
    <xf numFmtId="177" fontId="16" fillId="0" borderId="8" xfId="0" applyFont="1" applyBorder="1" applyAlignment="1">
      <alignment horizontal="center" vertical="center" wrapText="1"/>
    </xf>
    <xf numFmtId="177" fontId="22" fillId="2" borderId="11" xfId="0" applyFont="1" applyFill="1" applyBorder="1" applyAlignment="1">
      <alignment horizontal="center" vertical="center"/>
    </xf>
    <xf numFmtId="177" fontId="16" fillId="0" borderId="0" xfId="0" applyFont="1" applyAlignment="1">
      <alignment horizontal="center" vertical="center"/>
    </xf>
    <xf numFmtId="177" fontId="23" fillId="0" borderId="0" xfId="0" applyFont="1" applyAlignment="1">
      <alignment horizontal="left" vertical="center" indent="4"/>
    </xf>
    <xf numFmtId="49" fontId="6" fillId="0" borderId="0" xfId="0" applyNumberFormat="1" applyFont="1" applyAlignment="1">
      <alignment horizontal="center" vertical="center"/>
    </xf>
    <xf numFmtId="177" fontId="24" fillId="0" borderId="0" xfId="0" applyFont="1">
      <alignment vertical="center"/>
    </xf>
    <xf numFmtId="176" fontId="24" fillId="0" borderId="3" xfId="0" applyNumberFormat="1" applyFont="1" applyBorder="1" applyAlignment="1">
      <alignment horizontal="center" vertical="center"/>
    </xf>
    <xf numFmtId="38" fontId="24" fillId="0" borderId="3" xfId="0" applyNumberFormat="1" applyFont="1" applyBorder="1" applyAlignment="1">
      <alignment horizontal="right" vertical="center"/>
    </xf>
    <xf numFmtId="176" fontId="24" fillId="0" borderId="17" xfId="0" applyNumberFormat="1" applyFont="1" applyBorder="1" applyAlignment="1">
      <alignment horizontal="center" vertical="center"/>
    </xf>
    <xf numFmtId="179" fontId="24" fillId="0" borderId="3" xfId="0" applyNumberFormat="1" applyFont="1" applyBorder="1" applyAlignment="1">
      <alignment horizontal="right" vertical="center"/>
    </xf>
    <xf numFmtId="176" fontId="24" fillId="0" borderId="18" xfId="0" applyNumberFormat="1" applyFont="1" applyBorder="1" applyAlignment="1">
      <alignment horizontal="center" vertical="center"/>
    </xf>
    <xf numFmtId="176" fontId="24" fillId="0" borderId="19" xfId="0" applyNumberFormat="1" applyFont="1" applyBorder="1" applyAlignment="1">
      <alignment horizontal="center" vertical="center"/>
    </xf>
    <xf numFmtId="177" fontId="24" fillId="0" borderId="20" xfId="0" applyFont="1" applyBorder="1" applyAlignment="1">
      <alignment horizontal="center" vertical="center"/>
    </xf>
    <xf numFmtId="177" fontId="24" fillId="0" borderId="20" xfId="0" applyFont="1" applyBorder="1">
      <alignment vertical="center"/>
    </xf>
    <xf numFmtId="49" fontId="24" fillId="0" borderId="20" xfId="0" applyNumberFormat="1" applyFont="1" applyBorder="1" applyAlignment="1">
      <alignment horizontal="center" vertical="center"/>
    </xf>
    <xf numFmtId="177" fontId="24" fillId="0" borderId="19" xfId="0" applyFont="1" applyBorder="1">
      <alignment vertical="center"/>
    </xf>
    <xf numFmtId="49" fontId="24" fillId="0" borderId="21" xfId="0" applyNumberFormat="1" applyFont="1" applyBorder="1" applyAlignment="1">
      <alignment horizontal="center" vertical="center"/>
    </xf>
    <xf numFmtId="177" fontId="24" fillId="0" borderId="19" xfId="0" applyFont="1" applyBorder="1" applyAlignment="1">
      <alignment horizontal="center" vertical="center"/>
    </xf>
    <xf numFmtId="177" fontId="24" fillId="0" borderId="3" xfId="0" applyFont="1" applyBorder="1" applyAlignment="1">
      <alignment horizontal="center" vertical="center"/>
    </xf>
    <xf numFmtId="176" fontId="6" fillId="0" borderId="16" xfId="0" applyNumberFormat="1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9" fontId="7" fillId="0" borderId="16" xfId="0" applyNumberFormat="1" applyFont="1" applyBorder="1" applyAlignment="1">
      <alignment horizontal="right" vertical="center"/>
    </xf>
    <xf numFmtId="176" fontId="7" fillId="0" borderId="23" xfId="0" applyNumberFormat="1" applyFont="1" applyBorder="1" applyAlignment="1">
      <alignment horizontal="center" vertical="center"/>
    </xf>
    <xf numFmtId="176" fontId="7" fillId="0" borderId="24" xfId="0" applyNumberFormat="1" applyFont="1" applyBorder="1" applyAlignment="1">
      <alignment horizontal="center" vertical="center"/>
    </xf>
    <xf numFmtId="177" fontId="11" fillId="0" borderId="24" xfId="1" applyFont="1" applyBorder="1" applyAlignment="1">
      <alignment horizontal="center"/>
    </xf>
    <xf numFmtId="177" fontId="11" fillId="0" borderId="24" xfId="1" applyFont="1" applyBorder="1"/>
    <xf numFmtId="49" fontId="11" fillId="0" borderId="24" xfId="1" applyNumberFormat="1" applyFont="1" applyBorder="1" applyAlignment="1">
      <alignment horizontal="center"/>
    </xf>
    <xf numFmtId="49" fontId="6" fillId="0" borderId="24" xfId="0" applyNumberFormat="1" applyFont="1" applyBorder="1" applyAlignment="1">
      <alignment horizontal="center" vertical="center"/>
    </xf>
    <xf numFmtId="177" fontId="10" fillId="11" borderId="24" xfId="0" applyFont="1" applyFill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176" fontId="7" fillId="0" borderId="25" xfId="0" applyNumberFormat="1" applyFont="1" applyBorder="1" applyAlignment="1">
      <alignment horizontal="center" vertical="center"/>
    </xf>
    <xf numFmtId="176" fontId="7" fillId="0" borderId="26" xfId="0" applyNumberFormat="1" applyFont="1" applyBorder="1" applyAlignment="1">
      <alignment horizontal="center" vertical="center"/>
    </xf>
    <xf numFmtId="176" fontId="7" fillId="0" borderId="27" xfId="0" applyNumberFormat="1" applyFont="1" applyBorder="1" applyAlignment="1">
      <alignment horizontal="center" vertical="center"/>
    </xf>
    <xf numFmtId="177" fontId="7" fillId="0" borderId="27" xfId="0" applyFont="1" applyBorder="1" applyAlignment="1">
      <alignment horizontal="center" vertical="center"/>
    </xf>
    <xf numFmtId="177" fontId="7" fillId="0" borderId="27" xfId="0" applyFont="1" applyBorder="1">
      <alignment vertical="center"/>
    </xf>
    <xf numFmtId="49" fontId="7" fillId="0" borderId="27" xfId="0" applyNumberFormat="1" applyFont="1" applyBorder="1" applyAlignment="1">
      <alignment horizontal="center" vertical="center"/>
    </xf>
    <xf numFmtId="49" fontId="6" fillId="0" borderId="27" xfId="0" applyNumberFormat="1" applyFont="1" applyBorder="1" applyAlignment="1">
      <alignment horizontal="center" vertical="center"/>
    </xf>
    <xf numFmtId="177" fontId="10" fillId="11" borderId="28" xfId="0" applyFont="1" applyFill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176" fontId="7" fillId="0" borderId="28" xfId="0" applyNumberFormat="1" applyFont="1" applyBorder="1" applyAlignment="1">
      <alignment horizontal="center" vertical="center"/>
    </xf>
    <xf numFmtId="177" fontId="7" fillId="0" borderId="28" xfId="0" applyFont="1" applyBorder="1" applyAlignment="1">
      <alignment horizontal="center" vertical="center"/>
    </xf>
    <xf numFmtId="177" fontId="7" fillId="0" borderId="28" xfId="0" applyFont="1" applyBorder="1">
      <alignment vertical="center"/>
    </xf>
    <xf numFmtId="49" fontId="7" fillId="0" borderId="28" xfId="0" applyNumberFormat="1" applyFont="1" applyBorder="1" applyAlignment="1">
      <alignment horizontal="center" vertical="center"/>
    </xf>
    <xf numFmtId="49" fontId="7" fillId="0" borderId="24" xfId="0" applyNumberFormat="1" applyFont="1" applyBorder="1" applyAlignment="1">
      <alignment horizontal="center" vertical="center"/>
    </xf>
    <xf numFmtId="177" fontId="10" fillId="11" borderId="27" xfId="0" applyFont="1" applyFill="1" applyBorder="1" applyAlignment="1">
      <alignment horizontal="center" vertical="center"/>
    </xf>
    <xf numFmtId="177" fontId="7" fillId="0" borderId="24" xfId="0" applyFont="1" applyBorder="1" applyAlignment="1">
      <alignment horizontal="center" vertical="center"/>
    </xf>
    <xf numFmtId="177" fontId="7" fillId="0" borderId="24" xfId="0" applyFont="1" applyBorder="1">
      <alignment vertical="center"/>
    </xf>
    <xf numFmtId="177" fontId="10" fillId="5" borderId="15" xfId="0" applyFont="1" applyFill="1" applyBorder="1" applyAlignment="1">
      <alignment horizontal="center" vertical="center"/>
    </xf>
    <xf numFmtId="177" fontId="10" fillId="5" borderId="1" xfId="0" applyFont="1" applyFill="1" applyBorder="1" applyAlignment="1">
      <alignment horizontal="center" vertical="center"/>
    </xf>
    <xf numFmtId="176" fontId="6" fillId="0" borderId="14" xfId="0" applyNumberFormat="1" applyFont="1" applyBorder="1" applyAlignment="1">
      <alignment horizontal="center" vertical="center"/>
    </xf>
    <xf numFmtId="179" fontId="7" fillId="0" borderId="14" xfId="0" applyNumberFormat="1" applyFont="1" applyBorder="1" applyAlignment="1">
      <alignment horizontal="right" vertical="center"/>
    </xf>
    <xf numFmtId="176" fontId="7" fillId="0" borderId="16" xfId="0" applyNumberFormat="1" applyFont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176" fontId="6" fillId="0" borderId="28" xfId="0" applyNumberFormat="1" applyFont="1" applyBorder="1" applyAlignment="1">
      <alignment horizontal="center" vertical="center"/>
    </xf>
    <xf numFmtId="177" fontId="6" fillId="0" borderId="28" xfId="0" applyFont="1" applyBorder="1" applyAlignment="1">
      <alignment horizontal="center" vertical="center"/>
    </xf>
    <xf numFmtId="177" fontId="6" fillId="0" borderId="28" xfId="0" applyFont="1" applyBorder="1">
      <alignment vertical="center"/>
    </xf>
    <xf numFmtId="49" fontId="6" fillId="0" borderId="28" xfId="0" applyNumberFormat="1" applyFont="1" applyBorder="1" applyAlignment="1">
      <alignment horizontal="center" vertical="center"/>
    </xf>
    <xf numFmtId="176" fontId="6" fillId="0" borderId="25" xfId="0" applyNumberFormat="1" applyFont="1" applyBorder="1" applyAlignment="1">
      <alignment horizontal="center" vertical="center"/>
    </xf>
    <xf numFmtId="176" fontId="6" fillId="0" borderId="26" xfId="0" applyNumberFormat="1" applyFont="1" applyBorder="1" applyAlignment="1">
      <alignment horizontal="center" vertical="center"/>
    </xf>
    <xf numFmtId="176" fontId="6" fillId="0" borderId="27" xfId="0" applyNumberFormat="1" applyFont="1" applyBorder="1" applyAlignment="1">
      <alignment horizontal="center" vertical="center"/>
    </xf>
    <xf numFmtId="177" fontId="6" fillId="0" borderId="27" xfId="0" applyFont="1" applyBorder="1" applyAlignment="1">
      <alignment horizontal="center" vertical="center"/>
    </xf>
    <xf numFmtId="177" fontId="6" fillId="0" borderId="27" xfId="0" applyFont="1" applyBorder="1">
      <alignment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176" fontId="6" fillId="0" borderId="24" xfId="0" applyNumberFormat="1" applyFont="1" applyBorder="1" applyAlignment="1">
      <alignment horizontal="center" vertical="center"/>
    </xf>
    <xf numFmtId="177" fontId="6" fillId="0" borderId="24" xfId="0" applyFont="1" applyBorder="1" applyAlignment="1">
      <alignment horizontal="center" vertical="center"/>
    </xf>
    <xf numFmtId="177" fontId="6" fillId="0" borderId="24" xfId="0" applyFont="1" applyBorder="1">
      <alignment vertical="center"/>
    </xf>
    <xf numFmtId="49" fontId="12" fillId="0" borderId="9" xfId="0" applyNumberFormat="1" applyFont="1" applyBorder="1" applyAlignment="1">
      <alignment horizontal="center" vertical="center" wrapText="1"/>
    </xf>
    <xf numFmtId="49" fontId="12" fillId="0" borderId="5" xfId="0" applyNumberFormat="1" applyFont="1" applyBorder="1" applyAlignment="1">
      <alignment horizontal="center" vertical="center"/>
    </xf>
    <xf numFmtId="177" fontId="12" fillId="0" borderId="0" xfId="0" applyFont="1" applyAlignment="1">
      <alignment horizontal="center" vertical="center" wrapText="1"/>
    </xf>
    <xf numFmtId="177" fontId="26" fillId="0" borderId="0" xfId="0" applyFont="1" applyAlignment="1">
      <alignment horizontal="center" vertical="center"/>
    </xf>
    <xf numFmtId="177" fontId="26" fillId="0" borderId="0" xfId="0" applyFont="1">
      <alignment vertical="center"/>
    </xf>
    <xf numFmtId="177" fontId="10" fillId="4" borderId="27" xfId="0" applyFont="1" applyFill="1" applyBorder="1" applyAlignment="1">
      <alignment horizontal="center" vertical="center"/>
    </xf>
    <xf numFmtId="177" fontId="10" fillId="4" borderId="28" xfId="0" applyFont="1" applyFill="1" applyBorder="1" applyAlignment="1">
      <alignment horizontal="center" vertical="center"/>
    </xf>
    <xf numFmtId="177" fontId="10" fillId="4" borderId="24" xfId="0" applyFont="1" applyFill="1" applyBorder="1" applyAlignment="1">
      <alignment horizontal="center" vertical="center"/>
    </xf>
    <xf numFmtId="179" fontId="7" fillId="0" borderId="0" xfId="0" applyNumberFormat="1" applyFont="1" applyAlignment="1">
      <alignment horizontal="right" vertical="center"/>
    </xf>
    <xf numFmtId="177" fontId="10" fillId="7" borderId="2" xfId="0" applyFont="1" applyFill="1" applyBorder="1">
      <alignment vertical="center"/>
    </xf>
    <xf numFmtId="177" fontId="10" fillId="7" borderId="2" xfId="0" applyFont="1" applyFill="1" applyBorder="1" applyAlignment="1">
      <alignment vertical="center" wrapText="1"/>
    </xf>
    <xf numFmtId="177" fontId="25" fillId="7" borderId="22" xfId="0" applyFont="1" applyFill="1" applyBorder="1">
      <alignment vertical="center"/>
    </xf>
    <xf numFmtId="177" fontId="10" fillId="7" borderId="25" xfId="0" applyFont="1" applyFill="1" applyBorder="1">
      <alignment vertical="center"/>
    </xf>
    <xf numFmtId="177" fontId="10" fillId="7" borderId="22" xfId="0" applyFont="1" applyFill="1" applyBorder="1">
      <alignment vertical="center"/>
    </xf>
    <xf numFmtId="177" fontId="24" fillId="0" borderId="3" xfId="0" applyFont="1" applyBorder="1">
      <alignment vertical="center"/>
    </xf>
    <xf numFmtId="177" fontId="27" fillId="0" borderId="29" xfId="0" applyFont="1" applyBorder="1" applyAlignment="1">
      <alignment horizontal="center" vertical="center"/>
    </xf>
    <xf numFmtId="177" fontId="27" fillId="0" borderId="35" xfId="0" applyFont="1" applyBorder="1" applyAlignment="1">
      <alignment horizontal="center" vertical="center"/>
    </xf>
    <xf numFmtId="177" fontId="24" fillId="0" borderId="0" xfId="0" applyFont="1" applyAlignment="1">
      <alignment horizontal="center" vertical="center"/>
    </xf>
    <xf numFmtId="176" fontId="24" fillId="0" borderId="21" xfId="0" applyNumberFormat="1" applyFont="1" applyBorder="1" applyAlignment="1">
      <alignment horizontal="center" vertical="center"/>
    </xf>
    <xf numFmtId="177" fontId="28" fillId="0" borderId="0" xfId="0" applyFont="1" applyAlignment="1">
      <alignment horizontal="center" vertical="center"/>
    </xf>
    <xf numFmtId="180" fontId="11" fillId="0" borderId="14" xfId="0" applyNumberFormat="1" applyFont="1" applyBorder="1">
      <alignment vertical="center"/>
    </xf>
    <xf numFmtId="180" fontId="11" fillId="0" borderId="0" xfId="0" applyNumberFormat="1" applyFont="1">
      <alignment vertical="center"/>
    </xf>
    <xf numFmtId="180" fontId="11" fillId="0" borderId="33" xfId="0" applyNumberFormat="1" applyFont="1" applyBorder="1">
      <alignment vertical="center"/>
    </xf>
    <xf numFmtId="176" fontId="11" fillId="0" borderId="0" xfId="0" applyNumberFormat="1" applyFont="1">
      <alignment vertical="center"/>
    </xf>
    <xf numFmtId="177" fontId="11" fillId="0" borderId="0" xfId="0" applyFont="1">
      <alignment vertical="center"/>
    </xf>
    <xf numFmtId="180" fontId="11" fillId="0" borderId="25" xfId="0" applyNumberFormat="1" applyFont="1" applyBorder="1">
      <alignment vertical="center"/>
    </xf>
    <xf numFmtId="180" fontId="11" fillId="0" borderId="2" xfId="0" applyNumberFormat="1" applyFont="1" applyBorder="1">
      <alignment vertical="center"/>
    </xf>
    <xf numFmtId="180" fontId="11" fillId="0" borderId="17" xfId="0" applyNumberFormat="1" applyFont="1" applyBorder="1">
      <alignment vertical="center"/>
    </xf>
    <xf numFmtId="177" fontId="10" fillId="0" borderId="0" xfId="0" applyFont="1">
      <alignment vertical="center"/>
    </xf>
    <xf numFmtId="180" fontId="11" fillId="0" borderId="32" xfId="0" applyNumberFormat="1" applyFont="1" applyBorder="1">
      <alignment vertical="center"/>
    </xf>
    <xf numFmtId="180" fontId="11" fillId="0" borderId="4" xfId="0" applyNumberFormat="1" applyFont="1" applyBorder="1">
      <alignment vertical="center"/>
    </xf>
    <xf numFmtId="180" fontId="11" fillId="0" borderId="34" xfId="0" applyNumberFormat="1" applyFont="1" applyBorder="1">
      <alignment vertical="center"/>
    </xf>
    <xf numFmtId="177" fontId="17" fillId="9" borderId="13" xfId="0" applyFont="1" applyFill="1" applyBorder="1" applyAlignment="1">
      <alignment horizontal="center" vertical="center"/>
    </xf>
    <xf numFmtId="177" fontId="17" fillId="9" borderId="13" xfId="0" applyFont="1" applyFill="1" applyBorder="1" applyAlignment="1">
      <alignment horizontal="center" vertical="center" wrapText="1"/>
    </xf>
    <xf numFmtId="177" fontId="18" fillId="0" borderId="27" xfId="0" applyFont="1" applyBorder="1" applyAlignment="1">
      <alignment horizontal="center" vertical="center"/>
    </xf>
    <xf numFmtId="177" fontId="18" fillId="2" borderId="11" xfId="0" applyFont="1" applyFill="1" applyBorder="1" applyAlignment="1">
      <alignment horizontal="center" vertical="center"/>
    </xf>
    <xf numFmtId="177" fontId="18" fillId="2" borderId="10" xfId="0" applyFont="1" applyFill="1" applyBorder="1" applyAlignment="1">
      <alignment horizontal="center" vertical="center"/>
    </xf>
    <xf numFmtId="177" fontId="18" fillId="2" borderId="38" xfId="0" applyFont="1" applyFill="1" applyBorder="1" applyAlignment="1">
      <alignment horizontal="right" vertical="center"/>
    </xf>
    <xf numFmtId="177" fontId="16" fillId="2" borderId="38" xfId="0" applyFont="1" applyFill="1" applyBorder="1" applyAlignment="1">
      <alignment horizontal="center" vertical="center"/>
    </xf>
    <xf numFmtId="177" fontId="10" fillId="5" borderId="28" xfId="0" applyFont="1" applyFill="1" applyBorder="1" applyAlignment="1">
      <alignment horizontal="center" vertical="center"/>
    </xf>
    <xf numFmtId="177" fontId="18" fillId="0" borderId="13" xfId="0" applyFont="1" applyBorder="1">
      <alignment vertical="center"/>
    </xf>
    <xf numFmtId="177" fontId="18" fillId="0" borderId="13" xfId="0" applyFont="1" applyBorder="1" applyAlignment="1">
      <alignment horizontal="center" vertical="center"/>
    </xf>
    <xf numFmtId="177" fontId="18" fillId="0" borderId="31" xfId="0" applyFont="1" applyBorder="1" applyAlignment="1">
      <alignment horizontal="center" vertical="center"/>
    </xf>
    <xf numFmtId="177" fontId="18" fillId="0" borderId="13" xfId="0" applyFont="1" applyBorder="1" applyAlignment="1">
      <alignment horizontal="right" vertical="center"/>
    </xf>
    <xf numFmtId="177" fontId="18" fillId="0" borderId="27" xfId="0" applyFont="1" applyBorder="1" applyAlignment="1">
      <alignment horizontal="right" vertical="center"/>
    </xf>
    <xf numFmtId="177" fontId="7" fillId="12" borderId="28" xfId="0" applyFont="1" applyFill="1" applyBorder="1">
      <alignment vertical="center"/>
    </xf>
    <xf numFmtId="177" fontId="10" fillId="5" borderId="24" xfId="0" applyFont="1" applyFill="1" applyBorder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179" fontId="7" fillId="2" borderId="0" xfId="0" applyNumberFormat="1" applyFont="1" applyFill="1" applyAlignment="1">
      <alignment horizontal="right" vertical="center"/>
    </xf>
    <xf numFmtId="177" fontId="18" fillId="0" borderId="27" xfId="0" applyFont="1" applyBorder="1">
      <alignment vertical="center"/>
    </xf>
    <xf numFmtId="177" fontId="15" fillId="0" borderId="13" xfId="0" applyFont="1" applyBorder="1" applyAlignment="1"/>
    <xf numFmtId="177" fontId="18" fillId="2" borderId="13" xfId="0" applyFont="1" applyFill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39" xfId="0" applyNumberFormat="1" applyFont="1" applyBorder="1" applyAlignment="1">
      <alignment horizontal="center" vertical="center"/>
    </xf>
    <xf numFmtId="176" fontId="6" fillId="0" borderId="32" xfId="0" applyNumberFormat="1" applyFont="1" applyBorder="1" applyAlignment="1">
      <alignment horizontal="center" vertical="center"/>
    </xf>
    <xf numFmtId="176" fontId="7" fillId="0" borderId="39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14" xfId="0" applyNumberFormat="1" applyFont="1" applyBorder="1" applyAlignment="1">
      <alignment horizontal="center" vertical="center"/>
    </xf>
    <xf numFmtId="176" fontId="24" fillId="0" borderId="33" xfId="0" applyNumberFormat="1" applyFont="1" applyBorder="1" applyAlignment="1">
      <alignment horizontal="center" vertical="center"/>
    </xf>
    <xf numFmtId="177" fontId="10" fillId="10" borderId="13" xfId="0" applyFont="1" applyFill="1" applyBorder="1" applyAlignment="1">
      <alignment horizontal="center" vertical="center" wrapText="1"/>
    </xf>
    <xf numFmtId="177" fontId="13" fillId="0" borderId="13" xfId="0" applyFont="1" applyBorder="1" applyAlignment="1">
      <alignment horizontal="center" vertical="center"/>
    </xf>
    <xf numFmtId="2" fontId="13" fillId="0" borderId="13" xfId="0" applyNumberFormat="1" applyFont="1" applyBorder="1" applyAlignment="1">
      <alignment horizontal="center" vertical="center"/>
    </xf>
    <xf numFmtId="176" fontId="13" fillId="2" borderId="13" xfId="0" applyNumberFormat="1" applyFont="1" applyFill="1" applyBorder="1" applyAlignment="1">
      <alignment horizontal="center" vertical="center" wrapText="1"/>
    </xf>
    <xf numFmtId="177" fontId="13" fillId="6" borderId="13" xfId="0" applyFont="1" applyFill="1" applyBorder="1" applyAlignment="1">
      <alignment horizontal="center" vertical="center" wrapText="1"/>
    </xf>
    <xf numFmtId="176" fontId="13" fillId="6" borderId="13" xfId="0" applyNumberFormat="1" applyFont="1" applyFill="1" applyBorder="1" applyAlignment="1">
      <alignment horizontal="center" vertical="center" wrapText="1"/>
    </xf>
    <xf numFmtId="38" fontId="11" fillId="3" borderId="13" xfId="0" applyNumberFormat="1" applyFont="1" applyFill="1" applyBorder="1" applyAlignment="1">
      <alignment horizontal="center" vertical="center" wrapText="1"/>
    </xf>
    <xf numFmtId="176" fontId="11" fillId="3" borderId="13" xfId="0" applyNumberFormat="1" applyFont="1" applyFill="1" applyBorder="1" applyAlignment="1">
      <alignment horizontal="center" vertical="center" wrapText="1"/>
    </xf>
    <xf numFmtId="38" fontId="11" fillId="13" borderId="13" xfId="0" applyNumberFormat="1" applyFont="1" applyFill="1" applyBorder="1" applyAlignment="1">
      <alignment horizontal="center" vertical="center" wrapText="1"/>
    </xf>
    <xf numFmtId="176" fontId="11" fillId="13" borderId="13" xfId="0" applyNumberFormat="1" applyFont="1" applyFill="1" applyBorder="1" applyAlignment="1">
      <alignment horizontal="center" vertical="center" wrapText="1"/>
    </xf>
    <xf numFmtId="38" fontId="11" fillId="12" borderId="13" xfId="0" applyNumberFormat="1" applyFont="1" applyFill="1" applyBorder="1" applyAlignment="1">
      <alignment horizontal="center" vertical="center" wrapText="1"/>
    </xf>
    <xf numFmtId="176" fontId="11" fillId="12" borderId="13" xfId="0" applyNumberFormat="1" applyFont="1" applyFill="1" applyBorder="1" applyAlignment="1">
      <alignment horizontal="center" vertical="center" wrapText="1"/>
    </xf>
    <xf numFmtId="38" fontId="11" fillId="7" borderId="13" xfId="0" applyNumberFormat="1" applyFont="1" applyFill="1" applyBorder="1" applyAlignment="1">
      <alignment horizontal="center" vertical="center" wrapText="1"/>
    </xf>
    <xf numFmtId="176" fontId="11" fillId="7" borderId="13" xfId="0" applyNumberFormat="1" applyFont="1" applyFill="1" applyBorder="1" applyAlignment="1">
      <alignment horizontal="center" vertical="center" wrapText="1"/>
    </xf>
    <xf numFmtId="177" fontId="10" fillId="14" borderId="13" xfId="0" applyFont="1" applyFill="1" applyBorder="1" applyAlignment="1">
      <alignment horizontal="center" vertical="center"/>
    </xf>
    <xf numFmtId="177" fontId="10" fillId="0" borderId="13" xfId="0" applyFont="1" applyBorder="1" applyAlignment="1">
      <alignment horizontal="center" vertical="center" wrapText="1"/>
    </xf>
    <xf numFmtId="177" fontId="10" fillId="0" borderId="13" xfId="0" applyFont="1" applyBorder="1" applyAlignment="1">
      <alignment horizontal="center" vertical="center"/>
    </xf>
    <xf numFmtId="177" fontId="7" fillId="2" borderId="27" xfId="0" applyFont="1" applyFill="1" applyBorder="1">
      <alignment vertical="center"/>
    </xf>
    <xf numFmtId="177" fontId="7" fillId="2" borderId="28" xfId="0" applyFont="1" applyFill="1" applyBorder="1">
      <alignment vertical="center"/>
    </xf>
    <xf numFmtId="177" fontId="10" fillId="5" borderId="27" xfId="0" applyFont="1" applyFill="1" applyBorder="1" applyAlignment="1">
      <alignment horizontal="center" vertical="center"/>
    </xf>
    <xf numFmtId="177" fontId="13" fillId="2" borderId="13" xfId="0" applyFont="1" applyFill="1" applyBorder="1" applyAlignment="1">
      <alignment horizontal="center" vertical="center" wrapText="1"/>
    </xf>
    <xf numFmtId="176" fontId="13" fillId="7" borderId="13" xfId="0" applyNumberFormat="1" applyFont="1" applyFill="1" applyBorder="1" applyAlignment="1">
      <alignment horizontal="center" vertical="center" wrapText="1"/>
    </xf>
    <xf numFmtId="177" fontId="12" fillId="0" borderId="5" xfId="0" applyFont="1" applyBorder="1" applyAlignment="1">
      <alignment horizontal="left" vertical="center" wrapText="1"/>
    </xf>
    <xf numFmtId="176" fontId="7" fillId="0" borderId="40" xfId="0" applyNumberFormat="1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177" fontId="11" fillId="7" borderId="2" xfId="0" applyFont="1" applyFill="1" applyBorder="1">
      <alignment vertical="center"/>
    </xf>
    <xf numFmtId="177" fontId="11" fillId="7" borderId="25" xfId="0" applyFont="1" applyFill="1" applyBorder="1">
      <alignment vertical="center"/>
    </xf>
    <xf numFmtId="180" fontId="11" fillId="0" borderId="16" xfId="0" applyNumberFormat="1" applyFont="1" applyBorder="1">
      <alignment vertical="center"/>
    </xf>
    <xf numFmtId="180" fontId="11" fillId="0" borderId="39" xfId="0" applyNumberFormat="1" applyFont="1" applyBorder="1">
      <alignment vertical="center"/>
    </xf>
    <xf numFmtId="177" fontId="10" fillId="5" borderId="40" xfId="0" applyFont="1" applyFill="1" applyBorder="1" applyAlignment="1">
      <alignment horizontal="center" vertical="center"/>
    </xf>
    <xf numFmtId="177" fontId="13" fillId="6" borderId="42" xfId="0" applyFont="1" applyFill="1" applyBorder="1" applyAlignment="1">
      <alignment horizontal="center" vertical="center" wrapText="1"/>
    </xf>
    <xf numFmtId="176" fontId="11" fillId="3" borderId="41" xfId="0" applyNumberFormat="1" applyFont="1" applyFill="1" applyBorder="1" applyAlignment="1">
      <alignment horizontal="center" vertical="center" wrapText="1"/>
    </xf>
    <xf numFmtId="38" fontId="11" fillId="6" borderId="42" xfId="0" applyNumberFormat="1" applyFont="1" applyFill="1" applyBorder="1" applyAlignment="1">
      <alignment horizontal="center" vertical="center" wrapText="1"/>
    </xf>
    <xf numFmtId="176" fontId="11" fillId="6" borderId="13" xfId="0" applyNumberFormat="1" applyFont="1" applyFill="1" applyBorder="1" applyAlignment="1">
      <alignment horizontal="center" vertical="center" wrapText="1"/>
    </xf>
    <xf numFmtId="38" fontId="11" fillId="6" borderId="13" xfId="0" applyNumberFormat="1" applyFont="1" applyFill="1" applyBorder="1" applyAlignment="1">
      <alignment horizontal="center" vertical="center" wrapText="1"/>
    </xf>
    <xf numFmtId="38" fontId="11" fillId="15" borderId="42" xfId="0" applyNumberFormat="1" applyFont="1" applyFill="1" applyBorder="1" applyAlignment="1">
      <alignment horizontal="center" vertical="center" wrapText="1"/>
    </xf>
    <xf numFmtId="176" fontId="11" fillId="15" borderId="13" xfId="0" applyNumberFormat="1" applyFont="1" applyFill="1" applyBorder="1" applyAlignment="1">
      <alignment horizontal="center" vertical="center" wrapText="1"/>
    </xf>
    <xf numFmtId="38" fontId="11" fillId="15" borderId="13" xfId="0" applyNumberFormat="1" applyFont="1" applyFill="1" applyBorder="1" applyAlignment="1">
      <alignment horizontal="center" vertical="center" wrapText="1"/>
    </xf>
    <xf numFmtId="176" fontId="11" fillId="15" borderId="41" xfId="0" applyNumberFormat="1" applyFont="1" applyFill="1" applyBorder="1" applyAlignment="1">
      <alignment horizontal="center" vertical="center" wrapText="1"/>
    </xf>
    <xf numFmtId="38" fontId="11" fillId="16" borderId="42" xfId="0" applyNumberFormat="1" applyFont="1" applyFill="1" applyBorder="1" applyAlignment="1">
      <alignment horizontal="center" vertical="center" wrapText="1"/>
    </xf>
    <xf numFmtId="176" fontId="11" fillId="16" borderId="13" xfId="0" applyNumberFormat="1" applyFont="1" applyFill="1" applyBorder="1" applyAlignment="1">
      <alignment horizontal="center" vertical="center" wrapText="1"/>
    </xf>
    <xf numFmtId="38" fontId="11" fillId="16" borderId="13" xfId="0" applyNumberFormat="1" applyFont="1" applyFill="1" applyBorder="1" applyAlignment="1">
      <alignment horizontal="center" vertical="center" wrapText="1"/>
    </xf>
    <xf numFmtId="176" fontId="11" fillId="16" borderId="41" xfId="0" applyNumberFormat="1" applyFont="1" applyFill="1" applyBorder="1" applyAlignment="1">
      <alignment horizontal="center" vertical="center" wrapText="1"/>
    </xf>
    <xf numFmtId="177" fontId="13" fillId="0" borderId="13" xfId="0" applyFont="1" applyBorder="1" applyAlignment="1">
      <alignment horizontal="center" vertical="center" wrapText="1"/>
    </xf>
    <xf numFmtId="176" fontId="13" fillId="2" borderId="42" xfId="0" applyNumberFormat="1" applyFont="1" applyFill="1" applyBorder="1" applyAlignment="1">
      <alignment horizontal="center" vertical="center" wrapText="1"/>
    </xf>
    <xf numFmtId="176" fontId="11" fillId="17" borderId="13" xfId="0" applyNumberFormat="1" applyFont="1" applyFill="1" applyBorder="1" applyAlignment="1">
      <alignment horizontal="center" vertical="center" wrapText="1"/>
    </xf>
    <xf numFmtId="178" fontId="7" fillId="0" borderId="14" xfId="0" applyNumberFormat="1" applyFont="1" applyBorder="1" applyAlignment="1">
      <alignment horizontal="right" vertical="center"/>
    </xf>
    <xf numFmtId="178" fontId="7" fillId="0" borderId="0" xfId="0" applyNumberFormat="1" applyFont="1" applyAlignment="1">
      <alignment horizontal="right" vertical="center"/>
    </xf>
    <xf numFmtId="178" fontId="7" fillId="0" borderId="16" xfId="0" applyNumberFormat="1" applyFont="1" applyBorder="1" applyAlignment="1">
      <alignment horizontal="right" vertical="center"/>
    </xf>
    <xf numFmtId="38" fontId="7" fillId="2" borderId="0" xfId="0" applyNumberFormat="1" applyFont="1" applyFill="1" applyAlignment="1">
      <alignment horizontal="right" vertical="center"/>
    </xf>
    <xf numFmtId="177" fontId="18" fillId="0" borderId="28" xfId="0" applyFont="1" applyBorder="1">
      <alignment vertical="center"/>
    </xf>
    <xf numFmtId="177" fontId="18" fillId="0" borderId="28" xfId="0" applyFont="1" applyBorder="1" applyAlignment="1">
      <alignment horizontal="center" vertical="center"/>
    </xf>
    <xf numFmtId="177" fontId="18" fillId="0" borderId="2" xfId="0" applyFont="1" applyBorder="1" applyAlignment="1">
      <alignment horizontal="center" vertical="center"/>
    </xf>
    <xf numFmtId="177" fontId="18" fillId="0" borderId="19" xfId="0" applyFont="1" applyBorder="1" applyAlignment="1">
      <alignment horizontal="center" vertical="center"/>
    </xf>
    <xf numFmtId="38" fontId="7" fillId="0" borderId="43" xfId="0" applyNumberFormat="1" applyFont="1" applyBorder="1" applyAlignment="1">
      <alignment horizontal="right" vertical="center"/>
    </xf>
    <xf numFmtId="177" fontId="11" fillId="7" borderId="27" xfId="0" applyFont="1" applyFill="1" applyBorder="1">
      <alignment vertical="center"/>
    </xf>
    <xf numFmtId="177" fontId="11" fillId="7" borderId="28" xfId="0" applyFont="1" applyFill="1" applyBorder="1">
      <alignment vertical="center"/>
    </xf>
    <xf numFmtId="177" fontId="10" fillId="7" borderId="28" xfId="0" applyFont="1" applyFill="1" applyBorder="1">
      <alignment vertical="center"/>
    </xf>
    <xf numFmtId="177" fontId="10" fillId="7" borderId="24" xfId="0" applyFont="1" applyFill="1" applyBorder="1">
      <alignment vertical="center"/>
    </xf>
    <xf numFmtId="177" fontId="14" fillId="0" borderId="9" xfId="0" applyFont="1" applyBorder="1" applyAlignment="1">
      <alignment horizontal="center" vertical="center" wrapText="1"/>
    </xf>
    <xf numFmtId="177" fontId="18" fillId="18" borderId="13" xfId="0" applyFont="1" applyFill="1" applyBorder="1" applyAlignment="1">
      <alignment horizontal="center" vertical="center"/>
    </xf>
    <xf numFmtId="177" fontId="10" fillId="0" borderId="24" xfId="0" applyFont="1" applyBorder="1" applyAlignment="1">
      <alignment horizontal="center" vertical="center"/>
    </xf>
    <xf numFmtId="177" fontId="10" fillId="0" borderId="28" xfId="0" applyFont="1" applyBorder="1" applyAlignment="1">
      <alignment horizontal="center" vertical="center"/>
    </xf>
    <xf numFmtId="177" fontId="7" fillId="0" borderId="0" xfId="0" applyFont="1">
      <alignment vertical="center"/>
    </xf>
    <xf numFmtId="177" fontId="6" fillId="0" borderId="13" xfId="0" applyFont="1" applyBorder="1" applyAlignment="1">
      <alignment horizontal="center" vertical="center"/>
    </xf>
    <xf numFmtId="177" fontId="10" fillId="14" borderId="44" xfId="0" applyFont="1" applyFill="1" applyBorder="1" applyAlignment="1">
      <alignment horizontal="center" vertical="center"/>
    </xf>
    <xf numFmtId="177" fontId="10" fillId="14" borderId="10" xfId="0" applyFont="1" applyFill="1" applyBorder="1" applyAlignment="1">
      <alignment horizontal="center" vertical="center"/>
    </xf>
    <xf numFmtId="0" fontId="31" fillId="19" borderId="0" xfId="0" applyNumberFormat="1" applyFont="1" applyFill="1" applyAlignment="1">
      <alignment horizontal="center" vertical="center"/>
    </xf>
    <xf numFmtId="177" fontId="31" fillId="19" borderId="0" xfId="0" applyFont="1" applyFill="1" applyAlignment="1">
      <alignment horizontal="center" vertical="center"/>
    </xf>
    <xf numFmtId="177" fontId="31" fillId="19" borderId="2" xfId="0" applyFon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77" fontId="0" fillId="0" borderId="0" xfId="0" applyAlignment="1">
      <alignment horizontal="left" vertical="center"/>
    </xf>
    <xf numFmtId="0" fontId="0" fillId="0" borderId="45" xfId="0" applyNumberFormat="1" applyBorder="1" applyAlignment="1">
      <alignment horizontal="center" vertical="center"/>
    </xf>
    <xf numFmtId="177" fontId="0" fillId="0" borderId="42" xfId="0" applyBorder="1">
      <alignment vertical="center"/>
    </xf>
    <xf numFmtId="0" fontId="0" fillId="0" borderId="16" xfId="0" applyNumberFormat="1" applyBorder="1" applyAlignment="1">
      <alignment horizontal="center" vertical="center"/>
    </xf>
    <xf numFmtId="0" fontId="20" fillId="0" borderId="0" xfId="0" applyNumberFormat="1" applyFont="1" applyAlignment="1">
      <alignment horizontal="center" vertical="center"/>
    </xf>
    <xf numFmtId="181" fontId="6" fillId="0" borderId="0" xfId="0" applyNumberFormat="1" applyFont="1">
      <alignment vertical="center"/>
    </xf>
    <xf numFmtId="182" fontId="6" fillId="0" borderId="0" xfId="0" applyNumberFormat="1" applyFont="1">
      <alignment vertical="center"/>
    </xf>
    <xf numFmtId="177" fontId="7" fillId="20" borderId="0" xfId="0" applyFont="1" applyFill="1">
      <alignment vertical="center"/>
    </xf>
    <xf numFmtId="177" fontId="7" fillId="21" borderId="0" xfId="0" applyFont="1" applyFill="1">
      <alignment vertical="center"/>
    </xf>
    <xf numFmtId="177" fontId="11" fillId="14" borderId="13" xfId="0" applyFont="1" applyFill="1" applyBorder="1" applyAlignment="1">
      <alignment horizontal="center" vertical="center"/>
    </xf>
    <xf numFmtId="177" fontId="18" fillId="0" borderId="2" xfId="0" applyFont="1" applyBorder="1" applyAlignment="1">
      <alignment horizontal="right" vertical="center"/>
    </xf>
    <xf numFmtId="177" fontId="18" fillId="0" borderId="24" xfId="0" applyFont="1" applyBorder="1" applyAlignment="1">
      <alignment horizontal="center" vertical="center"/>
    </xf>
    <xf numFmtId="177" fontId="18" fillId="0" borderId="20" xfId="0" applyFont="1" applyBorder="1" applyAlignment="1">
      <alignment horizontal="right" vertical="center"/>
    </xf>
    <xf numFmtId="177" fontId="32" fillId="0" borderId="9" xfId="0" applyFont="1" applyBorder="1" applyAlignment="1">
      <alignment horizontal="center" vertical="center" wrapText="1"/>
    </xf>
    <xf numFmtId="177" fontId="14" fillId="0" borderId="0" xfId="0" applyFont="1">
      <alignment vertical="center"/>
    </xf>
    <xf numFmtId="177" fontId="14" fillId="22" borderId="0" xfId="0" applyFont="1" applyFill="1">
      <alignment vertical="center"/>
    </xf>
    <xf numFmtId="176" fontId="14" fillId="0" borderId="1" xfId="0" applyNumberFormat="1" applyFont="1" applyBorder="1" applyAlignment="1">
      <alignment horizontal="center" vertical="center"/>
    </xf>
    <xf numFmtId="49" fontId="14" fillId="0" borderId="28" xfId="0" applyNumberFormat="1" applyFont="1" applyBorder="1" applyAlignment="1">
      <alignment horizontal="center" vertical="center"/>
    </xf>
    <xf numFmtId="177" fontId="7" fillId="0" borderId="16" xfId="0" applyFont="1" applyBorder="1">
      <alignment vertical="center"/>
    </xf>
    <xf numFmtId="177" fontId="6" fillId="0" borderId="16" xfId="0" applyFont="1" applyBorder="1">
      <alignment vertical="center"/>
    </xf>
    <xf numFmtId="177" fontId="2" fillId="0" borderId="2" xfId="0" applyFont="1" applyBorder="1">
      <alignment vertical="center"/>
    </xf>
    <xf numFmtId="177" fontId="2" fillId="0" borderId="45" xfId="0" applyFont="1" applyBorder="1">
      <alignment vertical="center"/>
    </xf>
    <xf numFmtId="177" fontId="2" fillId="0" borderId="25" xfId="0" applyFont="1" applyBorder="1">
      <alignment vertical="center"/>
    </xf>
    <xf numFmtId="177" fontId="2" fillId="0" borderId="2" xfId="0" applyFont="1" applyBorder="1" applyAlignment="1">
      <alignment vertical="center" wrapText="1"/>
    </xf>
    <xf numFmtId="177" fontId="2" fillId="0" borderId="16" xfId="0" applyFont="1" applyBorder="1">
      <alignment vertical="center"/>
    </xf>
    <xf numFmtId="177" fontId="2" fillId="0" borderId="0" xfId="0" applyFont="1" applyAlignment="1">
      <alignment horizontal="left" vertical="center" indent="4"/>
    </xf>
    <xf numFmtId="176" fontId="13" fillId="6" borderId="42" xfId="0" applyNumberFormat="1" applyFont="1" applyFill="1" applyBorder="1" applyAlignment="1">
      <alignment horizontal="center" vertical="center" wrapText="1"/>
    </xf>
    <xf numFmtId="177" fontId="13" fillId="6" borderId="46" xfId="0" applyFont="1" applyFill="1" applyBorder="1" applyAlignment="1">
      <alignment horizontal="center" vertical="center" wrapText="1"/>
    </xf>
    <xf numFmtId="176" fontId="6" fillId="0" borderId="47" xfId="0" applyNumberFormat="1" applyFont="1" applyBorder="1" applyAlignment="1">
      <alignment horizontal="center" vertical="center"/>
    </xf>
    <xf numFmtId="176" fontId="6" fillId="0" borderId="48" xfId="0" applyNumberFormat="1" applyFont="1" applyBorder="1" applyAlignment="1">
      <alignment horizontal="center" vertical="center"/>
    </xf>
    <xf numFmtId="176" fontId="7" fillId="0" borderId="49" xfId="0" applyNumberFormat="1" applyFont="1" applyBorder="1" applyAlignment="1">
      <alignment horizontal="center" vertical="center"/>
    </xf>
    <xf numFmtId="176" fontId="7" fillId="0" borderId="48" xfId="0" applyNumberFormat="1" applyFont="1" applyBorder="1" applyAlignment="1">
      <alignment horizontal="center" vertical="center"/>
    </xf>
    <xf numFmtId="38" fontId="11" fillId="3" borderId="42" xfId="0" applyNumberFormat="1" applyFont="1" applyFill="1" applyBorder="1" applyAlignment="1">
      <alignment horizontal="center" vertical="center" wrapText="1"/>
    </xf>
    <xf numFmtId="176" fontId="13" fillId="6" borderId="46" xfId="0" applyNumberFormat="1" applyFont="1" applyFill="1" applyBorder="1" applyAlignment="1">
      <alignment horizontal="center" vertical="center" wrapText="1"/>
    </xf>
    <xf numFmtId="176" fontId="6" fillId="0" borderId="49" xfId="0" applyNumberFormat="1" applyFont="1" applyBorder="1" applyAlignment="1">
      <alignment horizontal="center" vertical="center"/>
    </xf>
    <xf numFmtId="177" fontId="18" fillId="0" borderId="19" xfId="0" applyFont="1" applyBorder="1" applyAlignment="1">
      <alignment horizontal="right" vertical="center"/>
    </xf>
    <xf numFmtId="183" fontId="6" fillId="0" borderId="0" xfId="0" applyNumberFormat="1" applyFont="1">
      <alignment vertical="center"/>
    </xf>
    <xf numFmtId="0" fontId="0" fillId="0" borderId="14" xfId="0" applyNumberForma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77" fontId="0" fillId="0" borderId="14" xfId="0" applyBorder="1" applyAlignment="1">
      <alignment horizontal="left" vertical="center" wrapText="1"/>
    </xf>
    <xf numFmtId="177" fontId="0" fillId="0" borderId="0" xfId="0" applyAlignment="1">
      <alignment horizontal="left" vertical="center" wrapText="1"/>
    </xf>
    <xf numFmtId="177" fontId="2" fillId="0" borderId="45" xfId="0" applyFont="1" applyBorder="1" applyAlignment="1">
      <alignment horizontal="left" vertical="center" wrapText="1"/>
    </xf>
    <xf numFmtId="177" fontId="2" fillId="0" borderId="42" xfId="0" applyFont="1" applyBorder="1" applyAlignment="1">
      <alignment horizontal="left" vertical="center" wrapText="1"/>
    </xf>
    <xf numFmtId="177" fontId="18" fillId="0" borderId="13" xfId="0" applyFont="1" applyBorder="1">
      <alignment vertical="center"/>
    </xf>
    <xf numFmtId="177" fontId="18" fillId="2" borderId="36" xfId="0" applyFont="1" applyFill="1" applyBorder="1" applyAlignment="1">
      <alignment horizontal="right" vertical="center"/>
    </xf>
    <xf numFmtId="177" fontId="18" fillId="2" borderId="37" xfId="0" applyFont="1" applyFill="1" applyBorder="1" applyAlignment="1">
      <alignment horizontal="right" vertical="center"/>
    </xf>
    <xf numFmtId="177" fontId="18" fillId="0" borderId="13" xfId="0" applyFont="1" applyBorder="1" applyAlignment="1">
      <alignment horizontal="center" vertical="center"/>
    </xf>
    <xf numFmtId="177" fontId="18" fillId="0" borderId="13" xfId="0" applyFont="1" applyBorder="1" applyAlignment="1">
      <alignment horizontal="center" vertical="center" wrapText="1"/>
    </xf>
    <xf numFmtId="177" fontId="10" fillId="6" borderId="27" xfId="0" applyFont="1" applyFill="1" applyBorder="1" applyAlignment="1">
      <alignment horizontal="center" vertical="center"/>
    </xf>
    <xf numFmtId="177" fontId="10" fillId="6" borderId="24" xfId="0" applyFont="1" applyFill="1" applyBorder="1" applyAlignment="1">
      <alignment horizontal="center" vertical="center"/>
    </xf>
    <xf numFmtId="177" fontId="11" fillId="0" borderId="13" xfId="0" applyFont="1" applyBorder="1" applyAlignment="1">
      <alignment horizontal="center" vertical="center"/>
    </xf>
    <xf numFmtId="177" fontId="10" fillId="0" borderId="27" xfId="0" applyFont="1" applyBorder="1" applyAlignment="1">
      <alignment horizontal="center" vertical="center"/>
    </xf>
    <xf numFmtId="177" fontId="10" fillId="0" borderId="24" xfId="0" applyFont="1" applyBorder="1" applyAlignment="1">
      <alignment horizontal="center" vertical="center"/>
    </xf>
    <xf numFmtId="177" fontId="10" fillId="0" borderId="28" xfId="0" applyFont="1" applyBorder="1" applyAlignment="1">
      <alignment horizontal="center" vertical="center"/>
    </xf>
    <xf numFmtId="177" fontId="10" fillId="0" borderId="13" xfId="0" applyFont="1" applyBorder="1" applyAlignment="1">
      <alignment horizontal="center" vertical="center"/>
    </xf>
    <xf numFmtId="177" fontId="10" fillId="5" borderId="27" xfId="0" applyFont="1" applyFill="1" applyBorder="1" applyAlignment="1">
      <alignment horizontal="center" vertical="center"/>
    </xf>
    <xf numFmtId="177" fontId="10" fillId="5" borderId="28" xfId="0" applyFont="1" applyFill="1" applyBorder="1" applyAlignment="1">
      <alignment horizontal="center" vertical="center"/>
    </xf>
    <xf numFmtId="177" fontId="10" fillId="5" borderId="24" xfId="0" applyFont="1" applyFill="1" applyBorder="1" applyAlignment="1">
      <alignment horizontal="center" vertical="center"/>
    </xf>
    <xf numFmtId="177" fontId="10" fillId="4" borderId="27" xfId="0" applyFont="1" applyFill="1" applyBorder="1" applyAlignment="1">
      <alignment horizontal="center" vertical="center"/>
    </xf>
    <xf numFmtId="177" fontId="10" fillId="4" borderId="28" xfId="0" applyFont="1" applyFill="1" applyBorder="1" applyAlignment="1">
      <alignment horizontal="center" vertical="center"/>
    </xf>
    <xf numFmtId="177" fontId="10" fillId="4" borderId="24" xfId="0" applyFont="1" applyFill="1" applyBorder="1" applyAlignment="1">
      <alignment horizontal="center" vertical="center"/>
    </xf>
    <xf numFmtId="178" fontId="10" fillId="0" borderId="13" xfId="0" applyNumberFormat="1" applyFont="1" applyBorder="1" applyAlignment="1">
      <alignment horizontal="center" vertical="center"/>
    </xf>
    <xf numFmtId="178" fontId="10" fillId="0" borderId="24" xfId="0" applyNumberFormat="1" applyFont="1" applyBorder="1" applyAlignment="1">
      <alignment horizontal="center" vertical="center"/>
    </xf>
    <xf numFmtId="177" fontId="10" fillId="0" borderId="13" xfId="0" applyFont="1" applyBorder="1" applyAlignment="1">
      <alignment horizontal="center" vertical="center" wrapText="1"/>
    </xf>
    <xf numFmtId="178" fontId="10" fillId="0" borderId="27" xfId="0" applyNumberFormat="1" applyFont="1" applyBorder="1" applyAlignment="1">
      <alignment horizontal="center" vertical="center"/>
    </xf>
    <xf numFmtId="178" fontId="10" fillId="0" borderId="28" xfId="0" applyNumberFormat="1" applyFont="1" applyBorder="1" applyAlignment="1">
      <alignment horizontal="center" vertical="center"/>
    </xf>
    <xf numFmtId="49" fontId="10" fillId="0" borderId="13" xfId="0" quotePrefix="1" applyNumberFormat="1" applyFont="1" applyBorder="1" applyAlignment="1">
      <alignment horizontal="center" vertical="center"/>
    </xf>
    <xf numFmtId="49" fontId="10" fillId="0" borderId="13" xfId="0" applyNumberFormat="1" applyFont="1" applyBorder="1" applyAlignment="1">
      <alignment horizontal="center" vertical="center"/>
    </xf>
    <xf numFmtId="177" fontId="18" fillId="0" borderId="40" xfId="0" applyFont="1" applyBorder="1" applyAlignment="1">
      <alignment horizontal="center" vertical="center"/>
    </xf>
    <xf numFmtId="177" fontId="18" fillId="0" borderId="1" xfId="0" applyFont="1" applyBorder="1" applyAlignment="1">
      <alignment horizontal="center" vertical="center"/>
    </xf>
    <xf numFmtId="177" fontId="18" fillId="0" borderId="15" xfId="0" applyFont="1" applyBorder="1" applyAlignment="1">
      <alignment horizontal="center" vertical="center"/>
    </xf>
    <xf numFmtId="177" fontId="18" fillId="0" borderId="27" xfId="0" applyFont="1" applyBorder="1" applyAlignment="1">
      <alignment horizontal="center" vertical="center"/>
    </xf>
    <xf numFmtId="177" fontId="18" fillId="0" borderId="28" xfId="0" applyFont="1" applyBorder="1" applyAlignment="1">
      <alignment horizontal="center" vertical="center"/>
    </xf>
    <xf numFmtId="177" fontId="18" fillId="0" borderId="24" xfId="0" applyFont="1" applyBorder="1" applyAlignment="1">
      <alignment horizontal="center" vertical="center"/>
    </xf>
  </cellXfs>
  <cellStyles count="2">
    <cellStyle name="一般" xfId="0" builtinId="0"/>
    <cellStyle name="一般_Rebate summary - 20150318 工作檔" xfId="1"/>
  </cellStyles>
  <dxfs count="0"/>
  <tableStyles count="0" defaultTableStyle="TableStyleMedium9" defaultPivotStyle="PivotStyleLight16"/>
  <colors>
    <mruColors>
      <color rgb="FFFFFF99"/>
      <color rgb="FFCC66FF"/>
      <color rgb="FF3333FF"/>
      <color rgb="FFCCFFFF"/>
      <color rgb="FFCCFFCC"/>
      <color rgb="FF00CC00"/>
      <color rgb="FF92D05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4972051</xdr:colOff>
      <xdr:row>14</xdr:row>
      <xdr:rowOff>1673225</xdr:rowOff>
    </xdr:from>
    <xdr:to>
      <xdr:col>2</xdr:col>
      <xdr:colOff>7041300</xdr:colOff>
      <xdr:row>14</xdr:row>
      <xdr:rowOff>2057428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4E0C7CB8-4989-41D8-B526-8F096A8FC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63051" y="5153025"/>
          <a:ext cx="2064804" cy="384203"/>
        </a:xfrm>
        <a:prstGeom prst="rect">
          <a:avLst/>
        </a:prstGeom>
      </xdr:spPr>
    </xdr:pic>
    <xdr:clientData/>
  </xdr:twoCellAnchor>
  <xdr:twoCellAnchor editAs="oneCell">
    <xdr:from>
      <xdr:col>2</xdr:col>
      <xdr:colOff>4921250</xdr:colOff>
      <xdr:row>14</xdr:row>
      <xdr:rowOff>2049774</xdr:rowOff>
    </xdr:from>
    <xdr:to>
      <xdr:col>2</xdr:col>
      <xdr:colOff>7851392</xdr:colOff>
      <xdr:row>14</xdr:row>
      <xdr:rowOff>2735000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1E70D67-1611-4E4E-8ED2-E83132B715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12250" y="5529574"/>
          <a:ext cx="3137152" cy="69030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466725</xdr:colOff>
          <xdr:row>11</xdr:row>
          <xdr:rowOff>647700</xdr:rowOff>
        </xdr:from>
        <xdr:to>
          <xdr:col>1</xdr:col>
          <xdr:colOff>847725</xdr:colOff>
          <xdr:row>14</xdr:row>
          <xdr:rowOff>0</xdr:rowOff>
        </xdr:to>
        <xdr:sp macro="" textlink="">
          <xdr:nvSpPr>
            <xdr:cNvPr id="18433" name="Object 1" hidden="1">
              <a:extLst>
                <a:ext uri="{63B3BB69-23CF-44E3-9099-C40C66FF867C}">
                  <a14:compatExt spid="_x0000_s18433"/>
                </a:ext>
                <a:ext uri="{FF2B5EF4-FFF2-40B4-BE49-F238E27FC236}">
                  <a16:creationId xmlns:a16="http://schemas.microsoft.com/office/drawing/2014/main" xmlns="" id="{00000000-0008-0000-0000-00000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1866900</xdr:colOff>
          <xdr:row>11</xdr:row>
          <xdr:rowOff>638175</xdr:rowOff>
        </xdr:from>
        <xdr:to>
          <xdr:col>1</xdr:col>
          <xdr:colOff>2781300</xdr:colOff>
          <xdr:row>14</xdr:row>
          <xdr:rowOff>0</xdr:rowOff>
        </xdr:to>
        <xdr:sp macro="" textlink="">
          <xdr:nvSpPr>
            <xdr:cNvPr id="18434" name="Object 2" hidden="1">
              <a:extLst>
                <a:ext uri="{63B3BB69-23CF-44E3-9099-C40C66FF867C}">
                  <a14:compatExt spid="_x0000_s18434"/>
                </a:ext>
                <a:ext uri="{FF2B5EF4-FFF2-40B4-BE49-F238E27FC236}">
                  <a16:creationId xmlns:a16="http://schemas.microsoft.com/office/drawing/2014/main" xmlns="" id="{00000000-0008-0000-0000-000002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228600</xdr:colOff>
          <xdr:row>9</xdr:row>
          <xdr:rowOff>66675</xdr:rowOff>
        </xdr:from>
        <xdr:to>
          <xdr:col>1</xdr:col>
          <xdr:colOff>3343275</xdr:colOff>
          <xdr:row>11</xdr:row>
          <xdr:rowOff>142875</xdr:rowOff>
        </xdr:to>
        <xdr:sp macro="" textlink="">
          <xdr:nvSpPr>
            <xdr:cNvPr id="18435" name="Object 3" hidden="1">
              <a:extLst>
                <a:ext uri="{63B3BB69-23CF-44E3-9099-C40C66FF867C}">
                  <a14:compatExt spid="_x0000_s18435"/>
                </a:ext>
                <a:ext uri="{FF2B5EF4-FFF2-40B4-BE49-F238E27FC236}">
                  <a16:creationId xmlns:a16="http://schemas.microsoft.com/office/drawing/2014/main" xmlns="" id="{00000000-0008-0000-0000-000003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2</xdr:col>
      <xdr:colOff>4972051</xdr:colOff>
      <xdr:row>14</xdr:row>
      <xdr:rowOff>1673225</xdr:rowOff>
    </xdr:from>
    <xdr:to>
      <xdr:col>2</xdr:col>
      <xdr:colOff>7039395</xdr:colOff>
      <xdr:row>14</xdr:row>
      <xdr:rowOff>2057428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xmlns="" id="{8F58CA3B-77D5-4D36-A66F-F950F40E1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40141" y="5540375"/>
          <a:ext cx="2067979" cy="384203"/>
        </a:xfrm>
        <a:prstGeom prst="rect">
          <a:avLst/>
        </a:prstGeom>
      </xdr:spPr>
    </xdr:pic>
    <xdr:clientData/>
  </xdr:twoCellAnchor>
  <xdr:twoCellAnchor editAs="oneCell">
    <xdr:from>
      <xdr:col>2</xdr:col>
      <xdr:colOff>4921250</xdr:colOff>
      <xdr:row>14</xdr:row>
      <xdr:rowOff>2049774</xdr:rowOff>
    </xdr:from>
    <xdr:to>
      <xdr:col>3</xdr:col>
      <xdr:colOff>2792</xdr:colOff>
      <xdr:row>14</xdr:row>
      <xdr:rowOff>2733095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xmlns="" id="{A5D405BF-1479-4AC2-989D-9F4AEEACB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95055" y="5915019"/>
          <a:ext cx="2928237" cy="682051"/>
        </a:xfrm>
        <a:prstGeom prst="rect">
          <a:avLst/>
        </a:prstGeom>
      </xdr:spPr>
    </xdr:pic>
    <xdr:clientData/>
  </xdr:twoCellAnchor>
  <xdr:twoCellAnchor editAs="oneCell">
    <xdr:from>
      <xdr:col>2</xdr:col>
      <xdr:colOff>4972051</xdr:colOff>
      <xdr:row>14</xdr:row>
      <xdr:rowOff>1673225</xdr:rowOff>
    </xdr:from>
    <xdr:to>
      <xdr:col>2</xdr:col>
      <xdr:colOff>7028600</xdr:colOff>
      <xdr:row>14</xdr:row>
      <xdr:rowOff>2057428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xmlns="" id="{3826893D-3726-4219-984D-5A01FE4EA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40141" y="5540375"/>
          <a:ext cx="2060359" cy="384203"/>
        </a:xfrm>
        <a:prstGeom prst="rect">
          <a:avLst/>
        </a:prstGeom>
      </xdr:spPr>
    </xdr:pic>
    <xdr:clientData/>
  </xdr:twoCellAnchor>
  <xdr:twoCellAnchor editAs="oneCell">
    <xdr:from>
      <xdr:col>2</xdr:col>
      <xdr:colOff>4921250</xdr:colOff>
      <xdr:row>14</xdr:row>
      <xdr:rowOff>2049774</xdr:rowOff>
    </xdr:from>
    <xdr:to>
      <xdr:col>3</xdr:col>
      <xdr:colOff>2792</xdr:colOff>
      <xdr:row>14</xdr:row>
      <xdr:rowOff>2722300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xmlns="" id="{FFF29769-4B2F-4CC6-B841-72222034E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95055" y="5915019"/>
          <a:ext cx="2928237" cy="674431"/>
        </a:xfrm>
        <a:prstGeom prst="rect">
          <a:avLst/>
        </a:prstGeom>
      </xdr:spPr>
    </xdr:pic>
    <xdr:clientData/>
  </xdr:twoCellAnchor>
  <xdr:twoCellAnchor editAs="oneCell">
    <xdr:from>
      <xdr:col>2</xdr:col>
      <xdr:colOff>4972051</xdr:colOff>
      <xdr:row>14</xdr:row>
      <xdr:rowOff>1673225</xdr:rowOff>
    </xdr:from>
    <xdr:to>
      <xdr:col>2</xdr:col>
      <xdr:colOff>7032410</xdr:colOff>
      <xdr:row>14</xdr:row>
      <xdr:rowOff>2057428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xmlns="" id="{99F79C32-9643-4B2E-A676-58ED861AA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40141" y="5540375"/>
          <a:ext cx="2064169" cy="384203"/>
        </a:xfrm>
        <a:prstGeom prst="rect">
          <a:avLst/>
        </a:prstGeom>
      </xdr:spPr>
    </xdr:pic>
    <xdr:clientData/>
  </xdr:twoCellAnchor>
  <xdr:twoCellAnchor editAs="oneCell">
    <xdr:from>
      <xdr:col>2</xdr:col>
      <xdr:colOff>4921250</xdr:colOff>
      <xdr:row>14</xdr:row>
      <xdr:rowOff>2049774</xdr:rowOff>
    </xdr:from>
    <xdr:to>
      <xdr:col>3</xdr:col>
      <xdr:colOff>2792</xdr:colOff>
      <xdr:row>14</xdr:row>
      <xdr:rowOff>2726110</xdr:rowOff>
    </xdr:to>
    <xdr:pic>
      <xdr:nvPicPr>
        <xdr:cNvPr id="10" name="Picture 2">
          <a:extLst>
            <a:ext uri="{FF2B5EF4-FFF2-40B4-BE49-F238E27FC236}">
              <a16:creationId xmlns:a16="http://schemas.microsoft.com/office/drawing/2014/main" xmlns="" id="{B2A457F5-7E98-47CF-9231-E8B0F8977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95055" y="5915019"/>
          <a:ext cx="2928237" cy="67824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P/HP%20KB_2025/rebate/2025/rebate&#24037;&#24288;&#20986;&#36008;&#26126;&#32048;/ODM&#39511;&#25910;&#26126;&#32048;(&#31435;REBATE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ANTA_202505~"/>
      <sheetName val="QMB(CP)_202505~"/>
      <sheetName val="QMB_202505~"/>
      <sheetName val="IEC_202505~"/>
      <sheetName val="COMPAL_202505~"/>
      <sheetName val="工作表11"/>
      <sheetName val="QUANTA(kb)(5-"/>
      <sheetName val="QUANTA (CP)(2-4)"/>
      <sheetName val="QUANTA(KB)(2-4)"/>
      <sheetName val="IEC(2-4)"/>
      <sheetName val="COMPAL(2-4)"/>
      <sheetName val="IEC rebate PN"/>
      <sheetName val="QMB"/>
      <sheetName val="ITH"/>
    </sheetNames>
    <sheetDataSet>
      <sheetData sheetId="0"/>
      <sheetData sheetId="1"/>
      <sheetData sheetId="2"/>
      <sheetData sheetId="3"/>
      <sheetData sheetId="4">
        <row r="1">
          <cell r="B1" t="str">
            <v>列標籤</v>
          </cell>
          <cell r="C1" t="str">
            <v>SUNREX PN</v>
          </cell>
          <cell r="D1" t="str">
            <v>May Rebate Q'ty</v>
          </cell>
          <cell r="E1" t="str">
            <v>Jun Rebate Q'ty</v>
          </cell>
          <cell r="F1" t="str">
            <v>Jun Rebate Q'ty</v>
          </cell>
          <cell r="G1">
            <v>45870</v>
          </cell>
          <cell r="H1">
            <v>45901</v>
          </cell>
          <cell r="I1">
            <v>45931</v>
          </cell>
        </row>
        <row r="2">
          <cell r="B2" t="str">
            <v>PK1329I5E**</v>
          </cell>
          <cell r="C2" t="str">
            <v>V162602U1</v>
          </cell>
          <cell r="D2">
            <v>0</v>
          </cell>
          <cell r="E2">
            <v>0</v>
          </cell>
          <cell r="F2">
            <v>0</v>
          </cell>
          <cell r="G2">
            <v>48</v>
          </cell>
          <cell r="H2">
            <v>0</v>
          </cell>
          <cell r="I2">
            <v>0</v>
          </cell>
        </row>
        <row r="3">
          <cell r="B3" t="str">
            <v>PK132H75A**</v>
          </cell>
          <cell r="C3" t="str">
            <v>V162602U5</v>
          </cell>
          <cell r="D3">
            <v>13776</v>
          </cell>
          <cell r="E3">
            <v>0</v>
          </cell>
          <cell r="F3">
            <v>0</v>
          </cell>
          <cell r="G3">
            <v>96</v>
          </cell>
          <cell r="H3">
            <v>48</v>
          </cell>
          <cell r="I3">
            <v>0</v>
          </cell>
        </row>
        <row r="4">
          <cell r="B4" t="str">
            <v>PK132H75C00</v>
          </cell>
          <cell r="C4" t="str">
            <v>V162602U5ID</v>
          </cell>
          <cell r="D4">
            <v>288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</row>
        <row r="5">
          <cell r="B5" t="str">
            <v>PK132H75G**</v>
          </cell>
          <cell r="C5" t="str">
            <v>V162602U6</v>
          </cell>
          <cell r="D5">
            <v>17112</v>
          </cell>
          <cell r="E5">
            <v>0</v>
          </cell>
          <cell r="F5">
            <v>0</v>
          </cell>
          <cell r="G5">
            <v>34752</v>
          </cell>
          <cell r="H5">
            <v>22360</v>
          </cell>
          <cell r="I5">
            <v>23600</v>
          </cell>
        </row>
        <row r="6">
          <cell r="B6" t="str">
            <v>PK137ID3J**</v>
          </cell>
          <cell r="C6" t="str">
            <v>V204302G1</v>
          </cell>
          <cell r="D6">
            <v>120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</row>
        <row r="7">
          <cell r="B7" t="str">
            <v>PK137II3J**</v>
          </cell>
          <cell r="C7" t="str">
            <v>V193402F3</v>
          </cell>
          <cell r="D7">
            <v>200</v>
          </cell>
          <cell r="E7">
            <v>0</v>
          </cell>
          <cell r="F7">
            <v>0</v>
          </cell>
          <cell r="G7">
            <v>120</v>
          </cell>
          <cell r="H7">
            <v>40</v>
          </cell>
          <cell r="I7">
            <v>40</v>
          </cell>
        </row>
        <row r="8">
          <cell r="B8" t="str">
            <v>PK137II3P**</v>
          </cell>
          <cell r="C8" t="str">
            <v>V193402M1</v>
          </cell>
          <cell r="D8">
            <v>320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 t="str">
            <v>PK139AS3A**</v>
          </cell>
          <cell r="C9" t="str">
            <v>V222502N2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 t="str">
            <v>PK139F62A**</v>
          </cell>
          <cell r="C10" t="str">
            <v>V230902E1</v>
          </cell>
          <cell r="D10">
            <v>96635</v>
          </cell>
          <cell r="E10">
            <v>0</v>
          </cell>
          <cell r="F10">
            <v>0</v>
          </cell>
          <cell r="G10">
            <v>0</v>
          </cell>
          <cell r="H10">
            <v>180</v>
          </cell>
          <cell r="I10">
            <v>3180</v>
          </cell>
        </row>
        <row r="11">
          <cell r="B11" t="str">
            <v>PK139F62B**</v>
          </cell>
          <cell r="C11" t="str">
            <v>V230902E2</v>
          </cell>
          <cell r="D11">
            <v>74660</v>
          </cell>
          <cell r="E11">
            <v>0</v>
          </cell>
          <cell r="F11">
            <v>0</v>
          </cell>
          <cell r="G11">
            <v>49500</v>
          </cell>
          <cell r="H11">
            <v>52977</v>
          </cell>
          <cell r="I11">
            <v>79440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1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package" Target="../embeddings/Microsoft_Excel____2.xlsx"/><Relationship Id="rId5" Type="http://schemas.openxmlformats.org/officeDocument/2006/relationships/image" Target="../media/image1.emf"/><Relationship Id="rId4" Type="http://schemas.openxmlformats.org/officeDocument/2006/relationships/package" Target="../embeddings/Microsoft_Excel____1.xlsx"/><Relationship Id="rId9" Type="http://schemas.openxmlformats.org/officeDocument/2006/relationships/image" Target="../media/image3.emf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1"/>
  <dimension ref="A1:D53"/>
  <sheetViews>
    <sheetView topLeftCell="A15" zoomScale="130" zoomScaleNormal="130" workbookViewId="0">
      <selection activeCell="C31" sqref="C31"/>
    </sheetView>
  </sheetViews>
  <sheetFormatPr defaultRowHeight="16.5"/>
  <cols>
    <col min="1" max="1" width="8.625" style="227"/>
    <col min="2" max="2" width="46.375" customWidth="1"/>
    <col min="3" max="3" width="114.375" customWidth="1"/>
    <col min="4" max="4" width="5.125" customWidth="1"/>
    <col min="6" max="6" width="22.375" bestFit="1" customWidth="1"/>
  </cols>
  <sheetData>
    <row r="1" spans="1:3">
      <c r="A1" s="224" t="s">
        <v>0</v>
      </c>
      <c r="B1" s="225" t="s">
        <v>1</v>
      </c>
      <c r="C1" s="226" t="s">
        <v>2</v>
      </c>
    </row>
    <row r="2" spans="1:3">
      <c r="A2" s="227">
        <v>1</v>
      </c>
      <c r="B2" s="228" t="s">
        <v>3</v>
      </c>
      <c r="C2" s="248"/>
    </row>
    <row r="3" spans="1:3">
      <c r="A3" s="227">
        <v>2</v>
      </c>
      <c r="B3" s="228" t="s">
        <v>4</v>
      </c>
      <c r="C3" s="248"/>
    </row>
    <row r="4" spans="1:3">
      <c r="A4" s="229">
        <v>3</v>
      </c>
      <c r="B4" s="249" t="s">
        <v>5</v>
      </c>
      <c r="C4" s="230"/>
    </row>
    <row r="5" spans="1:3">
      <c r="A5" s="265">
        <v>4</v>
      </c>
      <c r="B5" s="267" t="s">
        <v>6</v>
      </c>
      <c r="C5" s="250" t="s">
        <v>7</v>
      </c>
    </row>
    <row r="6" spans="1:3">
      <c r="A6" s="266"/>
      <c r="B6" s="268"/>
      <c r="C6" s="248" t="s">
        <v>8</v>
      </c>
    </row>
    <row r="7" spans="1:3">
      <c r="A7" s="266"/>
      <c r="B7" s="268"/>
      <c r="C7" s="248" t="s">
        <v>9</v>
      </c>
    </row>
    <row r="8" spans="1:3">
      <c r="A8" s="266"/>
      <c r="B8" s="268"/>
      <c r="C8" s="248" t="s">
        <v>10</v>
      </c>
    </row>
    <row r="9" spans="1:3">
      <c r="A9" s="266"/>
      <c r="B9" s="268"/>
      <c r="C9" s="248" t="s">
        <v>11</v>
      </c>
    </row>
    <row r="10" spans="1:3">
      <c r="A10" s="266"/>
      <c r="B10" s="268"/>
      <c r="C10" s="248" t="s">
        <v>12</v>
      </c>
    </row>
    <row r="11" spans="1:3">
      <c r="A11" s="266"/>
      <c r="B11" s="268"/>
      <c r="C11" s="248" t="s">
        <v>13</v>
      </c>
    </row>
    <row r="12" spans="1:3" ht="78.75">
      <c r="A12" s="266"/>
      <c r="B12" s="268"/>
      <c r="C12" s="251" t="s">
        <v>14</v>
      </c>
    </row>
    <row r="13" spans="1:3">
      <c r="A13" s="266"/>
      <c r="B13" s="268"/>
      <c r="C13" s="248" t="s">
        <v>15</v>
      </c>
    </row>
    <row r="14" spans="1:3">
      <c r="A14" s="266"/>
      <c r="B14" s="268"/>
      <c r="C14" s="248" t="s">
        <v>16</v>
      </c>
    </row>
    <row r="15" spans="1:3" ht="252">
      <c r="A15" s="266"/>
      <c r="B15" s="268"/>
      <c r="C15" s="251" t="s">
        <v>17</v>
      </c>
    </row>
    <row r="16" spans="1:3">
      <c r="A16" s="266"/>
      <c r="B16" s="268"/>
      <c r="C16" s="248" t="s">
        <v>18</v>
      </c>
    </row>
    <row r="17" spans="1:3" ht="31.5">
      <c r="A17" s="266"/>
      <c r="B17" s="268"/>
      <c r="C17" s="251" t="s">
        <v>19</v>
      </c>
    </row>
    <row r="18" spans="1:3">
      <c r="A18" s="266"/>
      <c r="B18" s="268"/>
      <c r="C18" s="248" t="s">
        <v>20</v>
      </c>
    </row>
    <row r="19" spans="1:3">
      <c r="A19" s="266"/>
      <c r="B19" s="268"/>
      <c r="C19" s="248" t="s">
        <v>21</v>
      </c>
    </row>
    <row r="20" spans="1:3">
      <c r="A20" s="266"/>
      <c r="B20" s="268"/>
      <c r="C20" s="248" t="s">
        <v>22</v>
      </c>
    </row>
    <row r="21" spans="1:3">
      <c r="A21" s="266"/>
      <c r="B21" s="268"/>
      <c r="C21" s="248" t="s">
        <v>23</v>
      </c>
    </row>
    <row r="22" spans="1:3" ht="31.5">
      <c r="A22" s="266"/>
      <c r="B22" s="268"/>
      <c r="C22" s="251" t="s">
        <v>24</v>
      </c>
    </row>
    <row r="23" spans="1:3">
      <c r="A23" s="229">
        <v>5</v>
      </c>
      <c r="B23" s="249" t="s">
        <v>25</v>
      </c>
      <c r="C23" s="230"/>
    </row>
    <row r="24" spans="1:3" ht="20.100000000000001" customHeight="1">
      <c r="A24" s="229">
        <v>6</v>
      </c>
      <c r="B24" s="269" t="s">
        <v>26</v>
      </c>
      <c r="C24" s="270"/>
    </row>
    <row r="25" spans="1:3">
      <c r="A25" s="229">
        <v>7</v>
      </c>
      <c r="B25" s="249" t="s">
        <v>27</v>
      </c>
      <c r="C25" s="230"/>
    </row>
    <row r="26" spans="1:3">
      <c r="A26" s="229">
        <v>8</v>
      </c>
      <c r="B26" s="249" t="s">
        <v>28</v>
      </c>
      <c r="C26" s="230"/>
    </row>
    <row r="27" spans="1:3">
      <c r="A27" s="231">
        <v>9</v>
      </c>
      <c r="B27" s="252" t="s">
        <v>29</v>
      </c>
      <c r="C27" s="230"/>
    </row>
    <row r="28" spans="1:3">
      <c r="B28" s="253"/>
    </row>
    <row r="29" spans="1:3">
      <c r="B29" s="253"/>
    </row>
    <row r="30" spans="1:3">
      <c r="B30" s="253"/>
    </row>
    <row r="31" spans="1:3">
      <c r="B31" s="253"/>
    </row>
    <row r="32" spans="1:3">
      <c r="B32" s="253"/>
    </row>
    <row r="33" spans="2:2">
      <c r="B33" s="253"/>
    </row>
    <row r="34" spans="2:2">
      <c r="B34" s="253"/>
    </row>
    <row r="35" spans="2:2">
      <c r="B35" s="253"/>
    </row>
    <row r="36" spans="2:2">
      <c r="B36" s="253"/>
    </row>
    <row r="37" spans="2:2">
      <c r="B37" s="253"/>
    </row>
    <row r="39" spans="2:2">
      <c r="B39" s="32"/>
    </row>
    <row r="40" spans="2:2">
      <c r="B40" s="32"/>
    </row>
    <row r="41" spans="2:2">
      <c r="B41" s="32"/>
    </row>
    <row r="42" spans="2:2">
      <c r="B42" s="253"/>
    </row>
    <row r="47" spans="2:2">
      <c r="B47" s="253"/>
    </row>
    <row r="48" spans="2:2">
      <c r="B48" s="253"/>
    </row>
    <row r="49" spans="1:4">
      <c r="B49" s="253"/>
    </row>
    <row r="50" spans="1:4">
      <c r="B50" s="21"/>
    </row>
    <row r="51" spans="1:4">
      <c r="B51" s="20"/>
    </row>
    <row r="52" spans="1:4">
      <c r="B52" s="20"/>
    </row>
    <row r="53" spans="1:4">
      <c r="A53" s="232"/>
      <c r="B53" s="20"/>
      <c r="C53" s="20"/>
      <c r="D53" s="20"/>
    </row>
  </sheetData>
  <mergeCells count="3">
    <mergeCell ref="A5:A22"/>
    <mergeCell ref="B5:B22"/>
    <mergeCell ref="B24:C24"/>
  </mergeCells>
  <phoneticPr fontId="4" type="noConversion"/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Worksheet" dvAspect="DVASPECT_ICON" shapeId="18433" r:id="rId4">
          <objectPr defaultSize="0" r:id="rId5">
            <anchor moveWithCells="1">
              <from>
                <xdr:col>1</xdr:col>
                <xdr:colOff>466725</xdr:colOff>
                <xdr:row>11</xdr:row>
                <xdr:rowOff>647700</xdr:rowOff>
              </from>
              <to>
                <xdr:col>1</xdr:col>
                <xdr:colOff>847725</xdr:colOff>
                <xdr:row>14</xdr:row>
                <xdr:rowOff>0</xdr:rowOff>
              </to>
            </anchor>
          </objectPr>
        </oleObject>
      </mc:Choice>
      <mc:Fallback>
        <oleObject progId="Worksheet" dvAspect="DVASPECT_ICON" shapeId="18433" r:id="rId4"/>
      </mc:Fallback>
    </mc:AlternateContent>
    <mc:AlternateContent xmlns:mc="http://schemas.openxmlformats.org/markup-compatibility/2006">
      <mc:Choice Requires="x14">
        <oleObject progId="Worksheet" dvAspect="DVASPECT_ICON" shapeId="18434" r:id="rId6">
          <objectPr defaultSize="0" r:id="rId7">
            <anchor moveWithCells="1">
              <from>
                <xdr:col>1</xdr:col>
                <xdr:colOff>1866900</xdr:colOff>
                <xdr:row>11</xdr:row>
                <xdr:rowOff>638175</xdr:rowOff>
              </from>
              <to>
                <xdr:col>1</xdr:col>
                <xdr:colOff>2781300</xdr:colOff>
                <xdr:row>14</xdr:row>
                <xdr:rowOff>0</xdr:rowOff>
              </to>
            </anchor>
          </objectPr>
        </oleObject>
      </mc:Choice>
      <mc:Fallback>
        <oleObject progId="Worksheet" dvAspect="DVASPECT_ICON" shapeId="18434" r:id="rId6"/>
      </mc:Fallback>
    </mc:AlternateContent>
    <mc:AlternateContent xmlns:mc="http://schemas.openxmlformats.org/markup-compatibility/2006">
      <mc:Choice Requires="x14">
        <oleObject progId="Packager Shell Object" dvAspect="DVASPECT_ICON" shapeId="18435" r:id="rId8">
          <objectPr defaultSize="0" autoPict="0" r:id="rId9">
            <anchor moveWithCells="1">
              <from>
                <xdr:col>1</xdr:col>
                <xdr:colOff>228600</xdr:colOff>
                <xdr:row>9</xdr:row>
                <xdr:rowOff>66675</xdr:rowOff>
              </from>
              <to>
                <xdr:col>1</xdr:col>
                <xdr:colOff>3343275</xdr:colOff>
                <xdr:row>11</xdr:row>
                <xdr:rowOff>142875</xdr:rowOff>
              </to>
            </anchor>
          </objectPr>
        </oleObject>
      </mc:Choice>
      <mc:Fallback>
        <oleObject progId="Packager Shell Object" dvAspect="DVASPECT_ICON" shapeId="18435" r:id="rId8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2:H28"/>
  <sheetViews>
    <sheetView zoomScale="80" zoomScaleNormal="80" workbookViewId="0">
      <selection activeCell="K23" sqref="K23"/>
    </sheetView>
  </sheetViews>
  <sheetFormatPr defaultRowHeight="16.5"/>
  <cols>
    <col min="2" max="2" width="21.75" customWidth="1"/>
    <col min="3" max="3" width="17.125" customWidth="1"/>
    <col min="4" max="4" width="14.375" customWidth="1"/>
    <col min="5" max="5" width="12.375" customWidth="1"/>
    <col min="6" max="6" width="18.375" customWidth="1"/>
  </cols>
  <sheetData>
    <row r="2" spans="2:8" ht="17.25" thickBot="1"/>
    <row r="3" spans="2:8" ht="17.25" thickBot="1">
      <c r="B3" s="30" t="s">
        <v>30</v>
      </c>
      <c r="C3" s="25" t="s">
        <v>31</v>
      </c>
      <c r="D3" s="25" t="s">
        <v>32</v>
      </c>
      <c r="E3" s="26" t="s">
        <v>33</v>
      </c>
      <c r="F3" s="25" t="s">
        <v>34</v>
      </c>
      <c r="H3" s="31"/>
    </row>
    <row r="4" spans="2:8" ht="17.25" thickBot="1">
      <c r="B4" s="24" t="s">
        <v>35</v>
      </c>
      <c r="C4" s="25">
        <f>'FY23'!AO1</f>
        <v>713857.41</v>
      </c>
      <c r="D4" s="25">
        <f>'FY23'!AQ1</f>
        <v>505702.96000000008</v>
      </c>
      <c r="E4" s="26">
        <f>'FY23'!AS1</f>
        <v>450934.89000000007</v>
      </c>
      <c r="F4" s="25">
        <f>SUM(C4:E4)</f>
        <v>1670495.2600000002</v>
      </c>
    </row>
    <row r="5" spans="2:8" ht="17.25" thickBot="1">
      <c r="B5" s="24" t="s">
        <v>36</v>
      </c>
      <c r="C5" s="25"/>
      <c r="D5" s="25"/>
      <c r="E5" s="26"/>
      <c r="F5" s="25">
        <f t="shared" ref="F5:F6" si="0">SUM(C5:E5)</f>
        <v>0</v>
      </c>
    </row>
    <row r="6" spans="2:8" ht="17.25" thickBot="1">
      <c r="B6" s="27" t="s">
        <v>37</v>
      </c>
      <c r="C6" s="28"/>
      <c r="D6" s="28"/>
      <c r="E6" s="29"/>
      <c r="F6" s="25">
        <f t="shared" si="0"/>
        <v>0</v>
      </c>
      <c r="H6" t="s">
        <v>38</v>
      </c>
    </row>
    <row r="7" spans="2:8" ht="17.25" thickBot="1">
      <c r="B7" s="24" t="s">
        <v>39</v>
      </c>
      <c r="C7" s="25">
        <f>SUM(C4:C6)</f>
        <v>713857.41</v>
      </c>
      <c r="D7" s="25">
        <f t="shared" ref="D7:F7" si="1">SUM(D4:D6)</f>
        <v>505702.96000000008</v>
      </c>
      <c r="E7" s="25">
        <f t="shared" si="1"/>
        <v>450934.89000000007</v>
      </c>
      <c r="F7" s="25">
        <f t="shared" si="1"/>
        <v>1670495.2600000002</v>
      </c>
    </row>
    <row r="8" spans="2:8">
      <c r="H8" t="s">
        <v>40</v>
      </c>
    </row>
    <row r="9" spans="2:8" ht="17.25" thickBot="1"/>
    <row r="10" spans="2:8" ht="17.25" thickBot="1">
      <c r="B10" s="30" t="s">
        <v>30</v>
      </c>
      <c r="C10" s="25" t="s">
        <v>41</v>
      </c>
      <c r="D10" s="25" t="s">
        <v>42</v>
      </c>
      <c r="E10" s="26" t="s">
        <v>43</v>
      </c>
      <c r="F10" s="25" t="s">
        <v>44</v>
      </c>
      <c r="H10" t="s">
        <v>45</v>
      </c>
    </row>
    <row r="11" spans="2:8" ht="17.25" thickBot="1">
      <c r="B11" s="24" t="s">
        <v>35</v>
      </c>
      <c r="C11" s="25">
        <f>'FY23'!AU1</f>
        <v>658718.19999999995</v>
      </c>
      <c r="D11" s="25">
        <f>'FY23'!AW1</f>
        <v>951497.84999999986</v>
      </c>
      <c r="E11" s="26">
        <f>'FY23'!AY1</f>
        <v>773763.87000000011</v>
      </c>
      <c r="F11" s="25">
        <f>SUM(C11:E11)</f>
        <v>2383979.92</v>
      </c>
    </row>
    <row r="12" spans="2:8" ht="17.25" thickBot="1">
      <c r="B12" s="24" t="s">
        <v>36</v>
      </c>
      <c r="C12" s="25"/>
      <c r="D12" s="25"/>
      <c r="E12" s="26"/>
      <c r="F12" s="25">
        <f t="shared" ref="F12:F13" si="2">SUM(C12:E12)</f>
        <v>0</v>
      </c>
      <c r="H12" t="s">
        <v>46</v>
      </c>
    </row>
    <row r="13" spans="2:8" ht="17.25" thickBot="1">
      <c r="B13" s="27" t="s">
        <v>37</v>
      </c>
      <c r="C13" s="28"/>
      <c r="D13" s="28"/>
      <c r="E13" s="29"/>
      <c r="F13" s="25">
        <f t="shared" si="2"/>
        <v>0</v>
      </c>
    </row>
    <row r="14" spans="2:8" ht="17.25" thickBot="1">
      <c r="B14" s="24" t="s">
        <v>39</v>
      </c>
      <c r="C14" s="25">
        <f>SUM(C11:C13)</f>
        <v>658718.19999999995</v>
      </c>
      <c r="D14" s="25">
        <f t="shared" ref="D14:F14" si="3">SUM(D11:D13)</f>
        <v>951497.84999999986</v>
      </c>
      <c r="E14" s="25">
        <f t="shared" si="3"/>
        <v>773763.87000000011</v>
      </c>
      <c r="F14" s="25">
        <f t="shared" si="3"/>
        <v>2383979.92</v>
      </c>
      <c r="H14" t="s">
        <v>47</v>
      </c>
    </row>
    <row r="15" spans="2:8">
      <c r="H15" t="s">
        <v>48</v>
      </c>
    </row>
    <row r="16" spans="2:8" ht="17.25" thickBot="1"/>
    <row r="17" spans="2:8" ht="17.25" thickBot="1">
      <c r="B17" s="30" t="s">
        <v>30</v>
      </c>
      <c r="C17" s="25" t="s">
        <v>49</v>
      </c>
      <c r="D17" s="25" t="s">
        <v>50</v>
      </c>
      <c r="E17" s="26" t="s">
        <v>51</v>
      </c>
      <c r="F17" s="25" t="s">
        <v>52</v>
      </c>
      <c r="H17" t="s">
        <v>53</v>
      </c>
    </row>
    <row r="18" spans="2:8" ht="17.25" thickBot="1">
      <c r="B18" s="24" t="s">
        <v>35</v>
      </c>
      <c r="C18" s="25">
        <f>'FY23'!BA1</f>
        <v>964658.73</v>
      </c>
      <c r="D18" s="25">
        <f>'FY23'!BC1</f>
        <v>1151172.6800000002</v>
      </c>
      <c r="E18" s="26">
        <f>'FY23'!BE1</f>
        <v>937017.67000000027</v>
      </c>
      <c r="F18" s="25">
        <f>SUM(C18:E18)</f>
        <v>3052849.0800000005</v>
      </c>
    </row>
    <row r="19" spans="2:8" ht="17.25" thickBot="1">
      <c r="B19" s="24" t="s">
        <v>36</v>
      </c>
      <c r="C19" s="25"/>
      <c r="D19" s="25"/>
      <c r="E19" s="26"/>
      <c r="F19" s="25">
        <f t="shared" ref="F19:F20" si="4">SUM(C19:E19)</f>
        <v>0</v>
      </c>
    </row>
    <row r="20" spans="2:8" ht="17.25" thickBot="1">
      <c r="B20" s="27" t="s">
        <v>37</v>
      </c>
      <c r="C20" s="28"/>
      <c r="D20" s="28"/>
      <c r="E20" s="29"/>
      <c r="F20" s="25">
        <f t="shared" si="4"/>
        <v>0</v>
      </c>
    </row>
    <row r="21" spans="2:8" ht="17.25" thickBot="1">
      <c r="B21" s="24" t="s">
        <v>39</v>
      </c>
      <c r="C21" s="25">
        <f>SUM(C18:C20)</f>
        <v>964658.73</v>
      </c>
      <c r="D21" s="25">
        <f t="shared" ref="D21:F21" si="5">SUM(D18:D20)</f>
        <v>1151172.6800000002</v>
      </c>
      <c r="E21" s="25">
        <f t="shared" si="5"/>
        <v>937017.67000000027</v>
      </c>
      <c r="F21" s="25">
        <f t="shared" si="5"/>
        <v>3052849.0800000005</v>
      </c>
    </row>
    <row r="23" spans="2:8" ht="17.25" thickBot="1"/>
    <row r="24" spans="2:8" ht="17.25" thickBot="1">
      <c r="B24" s="30" t="s">
        <v>30</v>
      </c>
      <c r="C24" s="25" t="s">
        <v>54</v>
      </c>
      <c r="D24" s="25" t="s">
        <v>55</v>
      </c>
      <c r="E24" s="26" t="s">
        <v>56</v>
      </c>
      <c r="F24" s="25" t="s">
        <v>57</v>
      </c>
    </row>
    <row r="25" spans="2:8" ht="17.25" thickBot="1">
      <c r="B25" s="24" t="s">
        <v>35</v>
      </c>
      <c r="C25" s="25">
        <f>'FY23'!BG1</f>
        <v>1034158.55</v>
      </c>
      <c r="D25" s="25">
        <f>'FY23'!BI1</f>
        <v>998920.29999999993</v>
      </c>
      <c r="E25" s="26">
        <f>'FY23'!BK1</f>
        <v>980312.26999999979</v>
      </c>
      <c r="F25" s="25">
        <f>SUM(C25:E25)</f>
        <v>3013391.12</v>
      </c>
    </row>
    <row r="26" spans="2:8" ht="17.25" thickBot="1">
      <c r="B26" s="24" t="s">
        <v>36</v>
      </c>
      <c r="C26" s="25"/>
      <c r="D26" s="25"/>
      <c r="E26" s="26">
        <v>7185</v>
      </c>
      <c r="F26" s="25">
        <f>SUM(C26:E26)</f>
        <v>7185</v>
      </c>
    </row>
    <row r="27" spans="2:8" ht="17.25" thickBot="1">
      <c r="B27" s="27" t="s">
        <v>37</v>
      </c>
      <c r="C27" s="28"/>
      <c r="D27" s="28"/>
      <c r="E27" s="29"/>
      <c r="F27" s="25">
        <f t="shared" ref="F27" si="6">SUM(C27:E27)</f>
        <v>0</v>
      </c>
    </row>
    <row r="28" spans="2:8" ht="17.25" thickBot="1">
      <c r="B28" s="24" t="s">
        <v>39</v>
      </c>
      <c r="C28" s="25">
        <f>SUM(C25:C27)</f>
        <v>1034158.55</v>
      </c>
      <c r="D28" s="25">
        <f t="shared" ref="D28:E28" si="7">SUM(D25:D27)</f>
        <v>998920.29999999993</v>
      </c>
      <c r="E28" s="25">
        <f t="shared" si="7"/>
        <v>987497.26999999979</v>
      </c>
      <c r="F28" s="25">
        <f>SUM(F25:F27)</f>
        <v>3020576.12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B3:G137"/>
  <sheetViews>
    <sheetView zoomScale="90" zoomScaleNormal="90" workbookViewId="0">
      <selection activeCell="M100" sqref="M100:M101"/>
    </sheetView>
  </sheetViews>
  <sheetFormatPr defaultRowHeight="16.5"/>
  <cols>
    <col min="1" max="1" width="2.375" customWidth="1"/>
    <col min="2" max="2" width="26.75" customWidth="1"/>
    <col min="3" max="3" width="22.375" customWidth="1"/>
    <col min="4" max="7" width="18.375" customWidth="1"/>
  </cols>
  <sheetData>
    <row r="3" spans="2:7">
      <c r="B3" s="14" t="s">
        <v>58</v>
      </c>
      <c r="C3" s="15"/>
      <c r="D3" s="15"/>
      <c r="E3" s="15"/>
      <c r="F3" s="15"/>
      <c r="G3" s="15"/>
    </row>
    <row r="4" spans="2:7" ht="30">
      <c r="B4" s="129"/>
      <c r="C4" s="129" t="s">
        <v>59</v>
      </c>
      <c r="D4" s="16">
        <v>44866</v>
      </c>
      <c r="E4" s="16">
        <v>44896</v>
      </c>
      <c r="F4" s="16">
        <v>44927</v>
      </c>
      <c r="G4" s="130" t="s">
        <v>60</v>
      </c>
    </row>
    <row r="5" spans="2:7">
      <c r="B5" s="274" t="s">
        <v>61</v>
      </c>
      <c r="C5" s="138" t="s">
        <v>62</v>
      </c>
      <c r="D5" s="138">
        <v>5144.2249999999995</v>
      </c>
      <c r="E5" s="138">
        <v>10523.724999999999</v>
      </c>
      <c r="F5" s="138">
        <v>7217.4249999999993</v>
      </c>
      <c r="G5" s="138">
        <f>SUM(D5:F5)</f>
        <v>22885.374999999996</v>
      </c>
    </row>
    <row r="6" spans="2:7">
      <c r="B6" s="274"/>
      <c r="C6" s="138" t="s">
        <v>63</v>
      </c>
      <c r="D6" s="138">
        <v>263753.36000000004</v>
      </c>
      <c r="E6" s="138">
        <v>270470.44800000003</v>
      </c>
      <c r="F6" s="138">
        <v>255563.80800000002</v>
      </c>
      <c r="G6" s="138">
        <f t="shared" ref="G6:G25" si="0">SUM(D6:F6)</f>
        <v>789787.61600000015</v>
      </c>
    </row>
    <row r="7" spans="2:7">
      <c r="B7" s="274"/>
      <c r="C7" s="138" t="s">
        <v>64</v>
      </c>
      <c r="D7" s="138">
        <v>65938.340000000011</v>
      </c>
      <c r="E7" s="138">
        <v>67617.612000000008</v>
      </c>
      <c r="F7" s="138">
        <v>63890.952000000005</v>
      </c>
      <c r="G7" s="138">
        <f t="shared" si="0"/>
        <v>197446.90400000004</v>
      </c>
    </row>
    <row r="8" spans="2:7">
      <c r="B8" s="274"/>
      <c r="C8" s="138" t="s">
        <v>65</v>
      </c>
      <c r="D8" s="138"/>
      <c r="E8" s="138"/>
      <c r="F8" s="138"/>
      <c r="G8" s="138">
        <f t="shared" si="0"/>
        <v>0</v>
      </c>
    </row>
    <row r="9" spans="2:7">
      <c r="B9" s="274"/>
      <c r="C9" s="138" t="s">
        <v>66</v>
      </c>
      <c r="D9" s="138"/>
      <c r="E9" s="138"/>
      <c r="F9" s="138"/>
      <c r="G9" s="138">
        <f t="shared" si="0"/>
        <v>0</v>
      </c>
    </row>
    <row r="10" spans="2:7">
      <c r="B10" s="274"/>
      <c r="C10" s="138" t="s">
        <v>67</v>
      </c>
      <c r="D10" s="138"/>
      <c r="E10" s="138"/>
      <c r="F10" s="138"/>
      <c r="G10" s="138">
        <f t="shared" si="0"/>
        <v>0</v>
      </c>
    </row>
    <row r="11" spans="2:7">
      <c r="B11" s="274"/>
      <c r="C11" s="138" t="s">
        <v>68</v>
      </c>
      <c r="D11" s="138"/>
      <c r="E11" s="138"/>
      <c r="F11" s="138"/>
      <c r="G11" s="138">
        <f t="shared" si="0"/>
        <v>0</v>
      </c>
    </row>
    <row r="12" spans="2:7">
      <c r="B12" s="274"/>
      <c r="C12" s="138" t="s">
        <v>69</v>
      </c>
      <c r="D12" s="138">
        <v>51637.009999999995</v>
      </c>
      <c r="E12" s="138">
        <v>24995</v>
      </c>
      <c r="F12" s="138">
        <v>12473.880000000001</v>
      </c>
      <c r="G12" s="138">
        <f t="shared" si="0"/>
        <v>89105.89</v>
      </c>
    </row>
    <row r="13" spans="2:7">
      <c r="B13" s="274"/>
      <c r="C13" s="138" t="s">
        <v>70</v>
      </c>
      <c r="D13" s="138">
        <v>32551</v>
      </c>
      <c r="E13" s="138">
        <v>31883</v>
      </c>
      <c r="F13" s="138">
        <v>21837.55</v>
      </c>
      <c r="G13" s="138">
        <f t="shared" si="0"/>
        <v>86271.55</v>
      </c>
    </row>
    <row r="14" spans="2:7">
      <c r="B14" s="274"/>
      <c r="C14" s="138" t="s">
        <v>71</v>
      </c>
      <c r="D14" s="137"/>
      <c r="E14" s="138"/>
      <c r="F14" s="138"/>
      <c r="G14" s="138">
        <f t="shared" si="0"/>
        <v>0</v>
      </c>
    </row>
    <row r="15" spans="2:7">
      <c r="B15" s="274"/>
      <c r="C15" s="138" t="s">
        <v>72</v>
      </c>
      <c r="D15" s="138"/>
      <c r="E15" s="138"/>
      <c r="F15" s="138"/>
      <c r="G15" s="138">
        <f t="shared" si="0"/>
        <v>0</v>
      </c>
    </row>
    <row r="16" spans="2:7">
      <c r="B16" s="274"/>
      <c r="C16" s="138" t="s">
        <v>73</v>
      </c>
      <c r="D16" s="138"/>
      <c r="E16" s="138"/>
      <c r="F16" s="138"/>
      <c r="G16" s="138">
        <f t="shared" si="0"/>
        <v>0</v>
      </c>
    </row>
    <row r="17" spans="2:7">
      <c r="B17" s="275" t="s">
        <v>74</v>
      </c>
      <c r="C17" s="138" t="s">
        <v>75</v>
      </c>
      <c r="D17" s="138">
        <v>15432.674999999999</v>
      </c>
      <c r="E17" s="138">
        <v>31571.174999999996</v>
      </c>
      <c r="F17" s="138">
        <v>21652.274999999998</v>
      </c>
      <c r="G17" s="138">
        <f t="shared" si="0"/>
        <v>68656.124999999985</v>
      </c>
    </row>
    <row r="18" spans="2:7">
      <c r="B18" s="275"/>
      <c r="C18" s="138" t="s">
        <v>69</v>
      </c>
      <c r="D18" s="138"/>
      <c r="E18" s="138">
        <v>0</v>
      </c>
      <c r="F18" s="138">
        <v>0</v>
      </c>
      <c r="G18" s="138">
        <f t="shared" si="0"/>
        <v>0</v>
      </c>
    </row>
    <row r="19" spans="2:7">
      <c r="B19" s="275"/>
      <c r="C19" s="138" t="s">
        <v>76</v>
      </c>
      <c r="D19" s="138">
        <v>220661.7</v>
      </c>
      <c r="E19" s="138">
        <v>44739.000000000007</v>
      </c>
      <c r="F19" s="138">
        <v>44339.5</v>
      </c>
      <c r="G19" s="138">
        <f t="shared" si="0"/>
        <v>309740.2</v>
      </c>
    </row>
    <row r="20" spans="2:7">
      <c r="B20" s="275"/>
      <c r="C20" s="138" t="s">
        <v>77</v>
      </c>
      <c r="D20" s="138"/>
      <c r="E20" s="138"/>
      <c r="F20" s="138"/>
      <c r="G20" s="138">
        <f t="shared" si="0"/>
        <v>0</v>
      </c>
    </row>
    <row r="21" spans="2:7">
      <c r="B21" s="275"/>
      <c r="C21" s="138" t="s">
        <v>78</v>
      </c>
      <c r="D21" s="138">
        <v>27264.600000000002</v>
      </c>
      <c r="E21" s="138">
        <v>10483</v>
      </c>
      <c r="F21" s="138">
        <v>16387</v>
      </c>
      <c r="G21" s="138">
        <f t="shared" si="0"/>
        <v>54134.600000000006</v>
      </c>
    </row>
    <row r="22" spans="2:7">
      <c r="B22" s="275"/>
      <c r="C22" s="138" t="s">
        <v>79</v>
      </c>
      <c r="D22" s="138"/>
      <c r="E22" s="138"/>
      <c r="F22" s="138"/>
      <c r="G22" s="138">
        <f t="shared" si="0"/>
        <v>0</v>
      </c>
    </row>
    <row r="23" spans="2:7">
      <c r="B23" s="275"/>
      <c r="C23" s="138" t="s">
        <v>80</v>
      </c>
      <c r="D23" s="138">
        <v>31474.5</v>
      </c>
      <c r="E23" s="138">
        <v>13420</v>
      </c>
      <c r="F23" s="138">
        <v>7572.5</v>
      </c>
      <c r="G23" s="138">
        <f t="shared" si="0"/>
        <v>52467</v>
      </c>
    </row>
    <row r="24" spans="2:7">
      <c r="B24" s="275"/>
      <c r="C24" s="138" t="s">
        <v>72</v>
      </c>
      <c r="D24" s="138"/>
      <c r="E24" s="137"/>
      <c r="F24" s="138"/>
      <c r="G24" s="138">
        <f t="shared" si="0"/>
        <v>0</v>
      </c>
    </row>
    <row r="25" spans="2:7" ht="17.25" thickBot="1">
      <c r="B25" s="275"/>
      <c r="C25" s="138" t="s">
        <v>73</v>
      </c>
      <c r="D25" s="138"/>
      <c r="E25" s="137"/>
      <c r="F25" s="137"/>
      <c r="G25" s="131">
        <f t="shared" si="0"/>
        <v>0</v>
      </c>
    </row>
    <row r="26" spans="2:7" ht="17.25" thickBot="1">
      <c r="B26" s="15"/>
      <c r="C26" s="15"/>
      <c r="D26" s="15"/>
      <c r="E26" s="15"/>
      <c r="F26" s="15"/>
      <c r="G26" s="132">
        <f>SUM(G5:G25)</f>
        <v>1670495.2600000002</v>
      </c>
    </row>
    <row r="27" spans="2:7">
      <c r="B27" s="15"/>
      <c r="C27" s="15"/>
      <c r="D27" s="15"/>
      <c r="E27" s="15"/>
      <c r="F27" s="15"/>
      <c r="G27" s="15"/>
    </row>
    <row r="28" spans="2:7">
      <c r="B28" s="14" t="s">
        <v>58</v>
      </c>
      <c r="C28" s="15"/>
      <c r="D28" s="15"/>
      <c r="E28" s="15"/>
      <c r="F28" s="15"/>
      <c r="G28" s="15"/>
    </row>
    <row r="29" spans="2:7" ht="30">
      <c r="B29" s="129"/>
      <c r="C29" s="129" t="s">
        <v>81</v>
      </c>
      <c r="D29" s="16">
        <v>44866</v>
      </c>
      <c r="E29" s="16">
        <v>44896</v>
      </c>
      <c r="F29" s="16">
        <v>44927</v>
      </c>
      <c r="G29" s="130" t="s">
        <v>60</v>
      </c>
    </row>
    <row r="30" spans="2:7" ht="17.100000000000001" hidden="1" customHeight="1" thickBot="1">
      <c r="B30" s="138" t="s">
        <v>82</v>
      </c>
      <c r="C30" s="138" t="s">
        <v>83</v>
      </c>
      <c r="D30" s="138"/>
      <c r="E30" s="138"/>
      <c r="F30" s="138"/>
      <c r="G30" s="138"/>
    </row>
    <row r="31" spans="2:7" ht="17.100000000000001" hidden="1" customHeight="1" thickBot="1">
      <c r="B31" s="138"/>
      <c r="C31" s="138" t="s">
        <v>84</v>
      </c>
      <c r="D31" s="138"/>
      <c r="E31" s="138"/>
      <c r="F31" s="138"/>
      <c r="G31" s="138"/>
    </row>
    <row r="32" spans="2:7" ht="17.100000000000001" hidden="1" customHeight="1" thickBot="1">
      <c r="B32" s="138"/>
      <c r="C32" s="138" t="s">
        <v>85</v>
      </c>
      <c r="D32" s="138"/>
      <c r="E32" s="138"/>
      <c r="F32" s="138"/>
      <c r="G32" s="138"/>
    </row>
    <row r="33" spans="2:7" ht="17.100000000000001" hidden="1" customHeight="1" thickBot="1">
      <c r="B33" s="138"/>
      <c r="C33" s="138" t="s">
        <v>86</v>
      </c>
      <c r="D33" s="138"/>
      <c r="E33" s="138"/>
      <c r="F33" s="138"/>
      <c r="G33" s="138"/>
    </row>
    <row r="34" spans="2:7">
      <c r="B34" s="138"/>
      <c r="C34" s="138" t="s">
        <v>87</v>
      </c>
      <c r="D34" s="138">
        <f>SUM(D5:D25)</f>
        <v>713857.41</v>
      </c>
      <c r="E34" s="138">
        <f>SUM(E5:E25)</f>
        <v>505702.96</v>
      </c>
      <c r="F34" s="138">
        <f>SUM(F5:F25)</f>
        <v>450934.89</v>
      </c>
      <c r="G34" s="138">
        <f>SUM(D34:F34)</f>
        <v>1670495.2600000002</v>
      </c>
    </row>
    <row r="35" spans="2:7" ht="17.25" thickBot="1">
      <c r="B35" s="138" t="s">
        <v>88</v>
      </c>
      <c r="C35" s="146"/>
      <c r="D35" s="146"/>
      <c r="E35" s="146"/>
      <c r="F35" s="131">
        <v>50000</v>
      </c>
      <c r="G35" s="131">
        <v>50000</v>
      </c>
    </row>
    <row r="36" spans="2:7" ht="17.25" thickBot="1">
      <c r="B36" s="139"/>
      <c r="C36" s="272" t="s">
        <v>89</v>
      </c>
      <c r="D36" s="273"/>
      <c r="E36" s="273"/>
      <c r="F36" s="273"/>
      <c r="G36" s="135">
        <f>G34-G35</f>
        <v>1620495.2600000002</v>
      </c>
    </row>
    <row r="38" spans="2:7">
      <c r="B38" s="14" t="s">
        <v>90</v>
      </c>
      <c r="C38" s="15"/>
      <c r="D38" s="15"/>
      <c r="E38" s="15"/>
      <c r="F38" s="15"/>
      <c r="G38" s="15"/>
    </row>
    <row r="39" spans="2:7" ht="30">
      <c r="B39" s="129"/>
      <c r="C39" s="129" t="s">
        <v>59</v>
      </c>
      <c r="D39" s="16">
        <v>44958</v>
      </c>
      <c r="E39" s="16">
        <v>44986</v>
      </c>
      <c r="F39" s="16">
        <v>45017</v>
      </c>
      <c r="G39" s="130" t="s">
        <v>91</v>
      </c>
    </row>
    <row r="40" spans="2:7">
      <c r="B40" s="274" t="s">
        <v>61</v>
      </c>
      <c r="C40" s="138" t="s">
        <v>62</v>
      </c>
      <c r="D40" s="138">
        <v>9153.5499999999993</v>
      </c>
      <c r="E40" s="138">
        <v>19520.875</v>
      </c>
      <c r="F40" s="138">
        <v>12753.225</v>
      </c>
      <c r="G40" s="138">
        <f>SUM(D40:F40)</f>
        <v>41427.65</v>
      </c>
    </row>
    <row r="41" spans="2:7">
      <c r="B41" s="274"/>
      <c r="C41" s="138" t="s">
        <v>63</v>
      </c>
      <c r="D41" s="138">
        <v>335091.24000000005</v>
      </c>
      <c r="E41" s="138">
        <v>390527.08799999999</v>
      </c>
      <c r="F41" s="138">
        <v>366128.04000000004</v>
      </c>
      <c r="G41" s="138">
        <f t="shared" ref="G41:G60" si="1">SUM(D41:F41)</f>
        <v>1091746.368</v>
      </c>
    </row>
    <row r="42" spans="2:7">
      <c r="B42" s="274"/>
      <c r="C42" s="138" t="s">
        <v>64</v>
      </c>
      <c r="D42" s="138">
        <v>83772.810000000012</v>
      </c>
      <c r="E42" s="138">
        <v>97631.771999999997</v>
      </c>
      <c r="F42" s="138">
        <v>91532.010000000009</v>
      </c>
      <c r="G42" s="138">
        <f t="shared" si="1"/>
        <v>272936.592</v>
      </c>
    </row>
    <row r="43" spans="2:7">
      <c r="B43" s="274"/>
      <c r="C43" s="138" t="s">
        <v>65</v>
      </c>
      <c r="D43" s="138"/>
      <c r="E43" s="138"/>
      <c r="F43" s="138"/>
      <c r="G43" s="138">
        <f t="shared" si="1"/>
        <v>0</v>
      </c>
    </row>
    <row r="44" spans="2:7">
      <c r="B44" s="274"/>
      <c r="C44" s="138" t="s">
        <v>66</v>
      </c>
      <c r="D44" s="138"/>
      <c r="E44" s="138"/>
      <c r="F44" s="138"/>
      <c r="G44" s="138">
        <f t="shared" si="1"/>
        <v>0</v>
      </c>
    </row>
    <row r="45" spans="2:7">
      <c r="B45" s="274"/>
      <c r="C45" s="138" t="s">
        <v>67</v>
      </c>
      <c r="D45" s="138"/>
      <c r="E45" s="138"/>
      <c r="F45" s="138"/>
      <c r="G45" s="138">
        <f t="shared" si="1"/>
        <v>0</v>
      </c>
    </row>
    <row r="46" spans="2:7">
      <c r="B46" s="274"/>
      <c r="C46" s="138" t="s">
        <v>68</v>
      </c>
      <c r="D46" s="138"/>
      <c r="E46" s="138"/>
      <c r="F46" s="138"/>
      <c r="G46" s="138">
        <f t="shared" si="1"/>
        <v>0</v>
      </c>
    </row>
    <row r="47" spans="2:7">
      <c r="B47" s="274"/>
      <c r="C47" s="138" t="s">
        <v>69</v>
      </c>
      <c r="D47" s="138">
        <v>28617.549999999996</v>
      </c>
      <c r="E47" s="138">
        <v>123737.95</v>
      </c>
      <c r="F47" s="138">
        <v>45645.82</v>
      </c>
      <c r="G47" s="138">
        <f t="shared" si="1"/>
        <v>198001.32</v>
      </c>
    </row>
    <row r="48" spans="2:7">
      <c r="B48" s="274"/>
      <c r="C48" s="138" t="s">
        <v>70</v>
      </c>
      <c r="D48" s="138">
        <v>41090.1</v>
      </c>
      <c r="E48" s="138">
        <v>45136.14</v>
      </c>
      <c r="F48" s="138">
        <v>39243.300000000003</v>
      </c>
      <c r="G48" s="138">
        <f t="shared" si="1"/>
        <v>125469.54</v>
      </c>
    </row>
    <row r="49" spans="2:7">
      <c r="B49" s="274"/>
      <c r="C49" s="138" t="s">
        <v>71</v>
      </c>
      <c r="D49" s="138"/>
      <c r="E49" s="138"/>
      <c r="F49" s="138"/>
      <c r="G49" s="138">
        <f t="shared" si="1"/>
        <v>0</v>
      </c>
    </row>
    <row r="50" spans="2:7">
      <c r="B50" s="274"/>
      <c r="C50" s="138" t="s">
        <v>72</v>
      </c>
      <c r="D50" s="138"/>
      <c r="E50" s="138"/>
      <c r="F50" s="138"/>
      <c r="G50" s="138">
        <f t="shared" si="1"/>
        <v>0</v>
      </c>
    </row>
    <row r="51" spans="2:7">
      <c r="B51" s="274"/>
      <c r="C51" s="138" t="s">
        <v>73</v>
      </c>
      <c r="D51" s="138">
        <v>35434.800000000003</v>
      </c>
      <c r="E51" s="138">
        <v>5442.4</v>
      </c>
      <c r="F51" s="138">
        <v>4514.8</v>
      </c>
      <c r="G51" s="138">
        <f t="shared" si="1"/>
        <v>45392.000000000007</v>
      </c>
    </row>
    <row r="52" spans="2:7">
      <c r="B52" s="275" t="s">
        <v>74</v>
      </c>
      <c r="C52" s="138" t="s">
        <v>75</v>
      </c>
      <c r="D52" s="138">
        <v>27460.649999999998</v>
      </c>
      <c r="E52" s="138">
        <v>58562.625</v>
      </c>
      <c r="F52" s="138">
        <v>38259.675000000003</v>
      </c>
      <c r="G52" s="138">
        <f t="shared" si="1"/>
        <v>124282.95</v>
      </c>
    </row>
    <row r="53" spans="2:7">
      <c r="B53" s="275"/>
      <c r="C53" s="138" t="s">
        <v>69</v>
      </c>
      <c r="D53" s="138"/>
      <c r="E53" s="138"/>
      <c r="F53" s="138"/>
      <c r="G53" s="138">
        <f t="shared" si="1"/>
        <v>0</v>
      </c>
    </row>
    <row r="54" spans="2:7">
      <c r="B54" s="275"/>
      <c r="C54" s="138" t="s">
        <v>92</v>
      </c>
      <c r="D54" s="138">
        <v>82236.5</v>
      </c>
      <c r="E54" s="138">
        <v>178135</v>
      </c>
      <c r="F54" s="138">
        <v>156083</v>
      </c>
      <c r="G54" s="138">
        <f t="shared" si="1"/>
        <v>416454.5</v>
      </c>
    </row>
    <row r="55" spans="2:7">
      <c r="B55" s="275"/>
      <c r="C55" s="138" t="s">
        <v>77</v>
      </c>
      <c r="D55" s="138"/>
      <c r="E55" s="138"/>
      <c r="F55" s="138"/>
      <c r="G55" s="138">
        <f t="shared" si="1"/>
        <v>0</v>
      </c>
    </row>
    <row r="56" spans="2:7">
      <c r="B56" s="275"/>
      <c r="C56" s="138" t="s">
        <v>78</v>
      </c>
      <c r="D56" s="138">
        <v>5999</v>
      </c>
      <c r="E56" s="138">
        <v>6345.5</v>
      </c>
      <c r="F56" s="138">
        <v>10195</v>
      </c>
      <c r="G56" s="138">
        <f t="shared" si="1"/>
        <v>22539.5</v>
      </c>
    </row>
    <row r="57" spans="2:7">
      <c r="B57" s="275"/>
      <c r="C57" s="138" t="s">
        <v>79</v>
      </c>
      <c r="D57" s="138"/>
      <c r="E57" s="138"/>
      <c r="F57" s="138"/>
      <c r="G57" s="138">
        <f t="shared" si="1"/>
        <v>0</v>
      </c>
    </row>
    <row r="58" spans="2:7">
      <c r="B58" s="275"/>
      <c r="C58" s="138" t="s">
        <v>80</v>
      </c>
      <c r="D58" s="138">
        <v>9862</v>
      </c>
      <c r="E58" s="138">
        <v>26458.5</v>
      </c>
      <c r="F58" s="138">
        <v>9409</v>
      </c>
      <c r="G58" s="138">
        <f t="shared" si="1"/>
        <v>45729.5</v>
      </c>
    </row>
    <row r="59" spans="2:7">
      <c r="B59" s="275"/>
      <c r="C59" s="138" t="s">
        <v>72</v>
      </c>
      <c r="D59" s="138"/>
      <c r="E59" s="137"/>
      <c r="F59" s="138"/>
      <c r="G59" s="138">
        <f t="shared" si="1"/>
        <v>0</v>
      </c>
    </row>
    <row r="60" spans="2:7" ht="17.25" thickBot="1">
      <c r="B60" s="275"/>
      <c r="C60" s="138" t="s">
        <v>73</v>
      </c>
      <c r="D60" s="138"/>
      <c r="E60" s="137"/>
      <c r="F60" s="137"/>
      <c r="G60" s="131">
        <f t="shared" si="1"/>
        <v>0</v>
      </c>
    </row>
    <row r="61" spans="2:7" ht="17.25" thickBot="1">
      <c r="B61" s="15"/>
      <c r="C61" s="15"/>
      <c r="D61" s="15"/>
      <c r="E61" s="15"/>
      <c r="F61" s="15"/>
      <c r="G61" s="132">
        <f>SUM(G40:G60)</f>
        <v>2383979.92</v>
      </c>
    </row>
    <row r="62" spans="2:7">
      <c r="B62" s="15"/>
      <c r="C62" s="15"/>
      <c r="D62" s="15"/>
      <c r="E62" s="15"/>
      <c r="F62" s="15"/>
      <c r="G62" s="15"/>
    </row>
    <row r="63" spans="2:7">
      <c r="B63" s="14" t="s">
        <v>90</v>
      </c>
      <c r="C63" s="15"/>
      <c r="D63" s="15"/>
      <c r="E63" s="15"/>
      <c r="F63" s="15"/>
      <c r="G63" s="15"/>
    </row>
    <row r="64" spans="2:7" ht="30">
      <c r="B64" s="129"/>
      <c r="C64" s="129" t="s">
        <v>81</v>
      </c>
      <c r="D64" s="16">
        <v>44958</v>
      </c>
      <c r="E64" s="16">
        <v>44986</v>
      </c>
      <c r="F64" s="16">
        <v>45017</v>
      </c>
      <c r="G64" s="130" t="s">
        <v>91</v>
      </c>
    </row>
    <row r="65" spans="2:7" ht="17.100000000000001" hidden="1" customHeight="1" thickBot="1">
      <c r="B65" s="138" t="s">
        <v>82</v>
      </c>
      <c r="C65" s="138" t="s">
        <v>83</v>
      </c>
      <c r="D65" s="138"/>
      <c r="E65" s="138"/>
      <c r="F65" s="138"/>
      <c r="G65" s="138"/>
    </row>
    <row r="66" spans="2:7" ht="17.100000000000001" hidden="1" customHeight="1" thickBot="1">
      <c r="B66" s="138"/>
      <c r="C66" s="138" t="s">
        <v>84</v>
      </c>
      <c r="D66" s="138"/>
      <c r="E66" s="138"/>
      <c r="F66" s="138"/>
      <c r="G66" s="138"/>
    </row>
    <row r="67" spans="2:7" ht="17.100000000000001" hidden="1" customHeight="1" thickBot="1">
      <c r="B67" s="138"/>
      <c r="C67" s="138" t="s">
        <v>85</v>
      </c>
      <c r="D67" s="138"/>
      <c r="E67" s="138"/>
      <c r="F67" s="138"/>
      <c r="G67" s="138"/>
    </row>
    <row r="68" spans="2:7" ht="17.100000000000001" hidden="1" customHeight="1" thickBot="1">
      <c r="B68" s="138"/>
      <c r="C68" s="138" t="s">
        <v>86</v>
      </c>
      <c r="D68" s="138"/>
      <c r="E68" s="138"/>
      <c r="F68" s="138"/>
      <c r="G68" s="138"/>
    </row>
    <row r="69" spans="2:7">
      <c r="B69" s="138"/>
      <c r="C69" s="138" t="s">
        <v>87</v>
      </c>
      <c r="D69" s="138">
        <f>SUM(D40:D60)</f>
        <v>658718.20000000007</v>
      </c>
      <c r="E69" s="138">
        <f t="shared" ref="E69:F69" si="2">SUM(E40:E60)</f>
        <v>951497.85</v>
      </c>
      <c r="F69" s="138">
        <f t="shared" si="2"/>
        <v>773763.87000000011</v>
      </c>
      <c r="G69" s="140">
        <f>SUM(D69:F69)</f>
        <v>2383979.92</v>
      </c>
    </row>
    <row r="70" spans="2:7" ht="17.25" thickBot="1">
      <c r="B70" s="138" t="s">
        <v>88</v>
      </c>
      <c r="C70" s="141"/>
      <c r="D70" s="141"/>
      <c r="E70" s="131">
        <v>200000</v>
      </c>
      <c r="F70" s="131">
        <v>100000</v>
      </c>
      <c r="G70" s="141">
        <f>SUM(D70:F70)</f>
        <v>300000</v>
      </c>
    </row>
    <row r="71" spans="2:7" ht="17.25" thickBot="1">
      <c r="B71" s="139"/>
      <c r="C71" s="272" t="s">
        <v>93</v>
      </c>
      <c r="D71" s="273"/>
      <c r="E71" s="273"/>
      <c r="F71" s="273"/>
      <c r="G71" s="134">
        <f>G69-G70</f>
        <v>2083979.92</v>
      </c>
    </row>
    <row r="74" spans="2:7">
      <c r="B74" s="14" t="s">
        <v>94</v>
      </c>
      <c r="C74" s="15"/>
      <c r="D74" s="15"/>
      <c r="E74" s="15"/>
      <c r="F74" s="15"/>
      <c r="G74" s="15"/>
    </row>
    <row r="75" spans="2:7" ht="30">
      <c r="B75" s="129"/>
      <c r="C75" s="129" t="s">
        <v>59</v>
      </c>
      <c r="D75" s="16">
        <v>45047</v>
      </c>
      <c r="E75" s="16">
        <v>45078</v>
      </c>
      <c r="F75" s="16">
        <v>45108</v>
      </c>
      <c r="G75" s="130" t="s">
        <v>95</v>
      </c>
    </row>
    <row r="76" spans="2:7">
      <c r="B76" s="274" t="s">
        <v>61</v>
      </c>
      <c r="C76" s="138" t="s">
        <v>62</v>
      </c>
      <c r="D76" s="138">
        <v>27884.45</v>
      </c>
      <c r="E76" s="138">
        <v>30808.75</v>
      </c>
      <c r="F76" s="138">
        <v>16971.174999999999</v>
      </c>
      <c r="G76" s="138">
        <f>SUM(D76:F76)</f>
        <v>75664.375</v>
      </c>
    </row>
    <row r="77" spans="2:7">
      <c r="B77" s="274"/>
      <c r="C77" s="138" t="s">
        <v>63</v>
      </c>
      <c r="D77" s="138">
        <v>378847.48000000004</v>
      </c>
      <c r="E77" s="138">
        <v>500624.0720000001</v>
      </c>
      <c r="F77" s="138">
        <v>448400.77600000007</v>
      </c>
      <c r="G77" s="138">
        <f t="shared" ref="G77:G96" si="3">SUM(D77:F77)</f>
        <v>1327872.3280000002</v>
      </c>
    </row>
    <row r="78" spans="2:7">
      <c r="B78" s="274"/>
      <c r="C78" s="138" t="s">
        <v>64</v>
      </c>
      <c r="D78" s="138">
        <v>94711.87000000001</v>
      </c>
      <c r="E78" s="138">
        <v>125156.01800000003</v>
      </c>
      <c r="F78" s="138">
        <v>112100.19400000002</v>
      </c>
      <c r="G78" s="138">
        <f t="shared" si="3"/>
        <v>331968.08200000005</v>
      </c>
    </row>
    <row r="79" spans="2:7">
      <c r="B79" s="274"/>
      <c r="C79" s="138" t="s">
        <v>65</v>
      </c>
      <c r="D79" s="138"/>
      <c r="E79" s="138"/>
      <c r="F79" s="138"/>
      <c r="G79" s="138">
        <f t="shared" si="3"/>
        <v>0</v>
      </c>
    </row>
    <row r="80" spans="2:7">
      <c r="B80" s="274"/>
      <c r="C80" s="138" t="s">
        <v>66</v>
      </c>
      <c r="D80" s="138"/>
      <c r="E80" s="138"/>
      <c r="F80" s="138"/>
      <c r="G80" s="138">
        <f t="shared" si="3"/>
        <v>0</v>
      </c>
    </row>
    <row r="81" spans="2:7">
      <c r="B81" s="274"/>
      <c r="C81" s="138" t="s">
        <v>67</v>
      </c>
      <c r="D81" s="138"/>
      <c r="E81" s="138"/>
      <c r="F81" s="138"/>
      <c r="G81" s="138">
        <f t="shared" si="3"/>
        <v>0</v>
      </c>
    </row>
    <row r="82" spans="2:7">
      <c r="B82" s="274"/>
      <c r="C82" s="138" t="s">
        <v>68</v>
      </c>
      <c r="D82" s="138"/>
      <c r="E82" s="138"/>
      <c r="F82" s="138"/>
      <c r="G82" s="138">
        <f t="shared" si="3"/>
        <v>0</v>
      </c>
    </row>
    <row r="83" spans="2:7">
      <c r="B83" s="274"/>
      <c r="C83" s="138" t="s">
        <v>69</v>
      </c>
      <c r="D83" s="138">
        <v>142896.38</v>
      </c>
      <c r="E83" s="138">
        <v>76618.03</v>
      </c>
      <c r="F83" s="138">
        <v>48676.56</v>
      </c>
      <c r="G83" s="138">
        <f t="shared" si="3"/>
        <v>268190.96999999997</v>
      </c>
    </row>
    <row r="84" spans="2:7">
      <c r="B84" s="274"/>
      <c r="C84" s="138" t="s">
        <v>70</v>
      </c>
      <c r="D84" s="138">
        <v>51141.3</v>
      </c>
      <c r="E84" s="138">
        <v>64800.060000000005</v>
      </c>
      <c r="F84" s="138">
        <v>50208.640000000007</v>
      </c>
      <c r="G84" s="138">
        <f t="shared" si="3"/>
        <v>166150.00000000003</v>
      </c>
    </row>
    <row r="85" spans="2:7">
      <c r="B85" s="274"/>
      <c r="C85" s="138" t="s">
        <v>71</v>
      </c>
      <c r="D85" s="138"/>
      <c r="E85" s="138"/>
      <c r="F85" s="138"/>
      <c r="G85" s="138">
        <f t="shared" si="3"/>
        <v>0</v>
      </c>
    </row>
    <row r="86" spans="2:7">
      <c r="B86" s="274"/>
      <c r="C86" s="138" t="s">
        <v>72</v>
      </c>
      <c r="D86" s="138"/>
      <c r="E86" s="138"/>
      <c r="F86" s="138"/>
      <c r="G86" s="138">
        <f t="shared" si="3"/>
        <v>0</v>
      </c>
    </row>
    <row r="87" spans="2:7">
      <c r="B87" s="274"/>
      <c r="C87" s="138" t="s">
        <v>73</v>
      </c>
      <c r="D87" s="138">
        <v>10564.4</v>
      </c>
      <c r="E87" s="138">
        <v>16180</v>
      </c>
      <c r="F87" s="138">
        <v>13804.8</v>
      </c>
      <c r="G87" s="138">
        <f t="shared" si="3"/>
        <v>40549.199999999997</v>
      </c>
    </row>
    <row r="88" spans="2:7">
      <c r="B88" s="275" t="s">
        <v>74</v>
      </c>
      <c r="C88" s="138" t="s">
        <v>75</v>
      </c>
      <c r="D88" s="138">
        <v>83653.350000000006</v>
      </c>
      <c r="E88" s="138">
        <v>92426.25</v>
      </c>
      <c r="F88" s="138">
        <v>50913.524999999994</v>
      </c>
      <c r="G88" s="138">
        <f t="shared" si="3"/>
        <v>226993.125</v>
      </c>
    </row>
    <row r="89" spans="2:7">
      <c r="B89" s="275"/>
      <c r="C89" s="138" t="s">
        <v>69</v>
      </c>
      <c r="D89" s="138"/>
      <c r="E89" s="138"/>
      <c r="F89" s="138"/>
      <c r="G89" s="138">
        <f t="shared" si="3"/>
        <v>0</v>
      </c>
    </row>
    <row r="90" spans="2:7">
      <c r="B90" s="275"/>
      <c r="C90" s="138" t="s">
        <v>92</v>
      </c>
      <c r="D90" s="138">
        <v>134352.5</v>
      </c>
      <c r="E90" s="138">
        <v>212940</v>
      </c>
      <c r="F90" s="138">
        <v>169678.5</v>
      </c>
      <c r="G90" s="138">
        <f t="shared" si="3"/>
        <v>516971</v>
      </c>
    </row>
    <row r="91" spans="2:7">
      <c r="B91" s="275"/>
      <c r="C91" s="138" t="s">
        <v>77</v>
      </c>
      <c r="D91" s="138"/>
      <c r="E91" s="138"/>
      <c r="F91" s="138"/>
      <c r="G91" s="138">
        <f t="shared" si="3"/>
        <v>0</v>
      </c>
    </row>
    <row r="92" spans="2:7">
      <c r="B92" s="275"/>
      <c r="C92" s="138" t="s">
        <v>78</v>
      </c>
      <c r="D92" s="138">
        <v>19392</v>
      </c>
      <c r="E92" s="138">
        <v>11232.5</v>
      </c>
      <c r="F92" s="138">
        <v>19281</v>
      </c>
      <c r="G92" s="138">
        <f t="shared" si="3"/>
        <v>49905.5</v>
      </c>
    </row>
    <row r="93" spans="2:7">
      <c r="B93" s="275"/>
      <c r="C93" s="138" t="s">
        <v>79</v>
      </c>
      <c r="D93" s="138"/>
      <c r="E93" s="137"/>
      <c r="F93" s="138"/>
      <c r="G93" s="138">
        <f t="shared" si="3"/>
        <v>0</v>
      </c>
    </row>
    <row r="94" spans="2:7">
      <c r="B94" s="275"/>
      <c r="C94" s="138" t="s">
        <v>80</v>
      </c>
      <c r="D94" s="138">
        <v>21215</v>
      </c>
      <c r="E94" s="138">
        <v>20387</v>
      </c>
      <c r="F94" s="138">
        <v>6982.5</v>
      </c>
      <c r="G94" s="138">
        <f t="shared" si="3"/>
        <v>48584.5</v>
      </c>
    </row>
    <row r="95" spans="2:7">
      <c r="B95" s="275"/>
      <c r="C95" s="138" t="s">
        <v>72</v>
      </c>
      <c r="D95" s="138"/>
      <c r="E95" s="137"/>
      <c r="F95" s="138"/>
      <c r="G95" s="138">
        <f t="shared" si="3"/>
        <v>0</v>
      </c>
    </row>
    <row r="96" spans="2:7" ht="17.25" thickBot="1">
      <c r="B96" s="275"/>
      <c r="C96" s="138" t="s">
        <v>73</v>
      </c>
      <c r="D96" s="138"/>
      <c r="E96" s="137"/>
      <c r="F96" s="137"/>
      <c r="G96" s="138">
        <f t="shared" si="3"/>
        <v>0</v>
      </c>
    </row>
    <row r="97" spans="2:7" ht="17.25" thickBot="1">
      <c r="B97" s="15"/>
      <c r="C97" s="15"/>
      <c r="D97" s="15"/>
      <c r="E97" s="15"/>
      <c r="F97" s="15"/>
      <c r="G97" s="132">
        <f>SUM(G76:G96)</f>
        <v>3052849.0800000005</v>
      </c>
    </row>
    <row r="98" spans="2:7">
      <c r="B98" s="15"/>
      <c r="C98" s="15"/>
      <c r="D98" s="15"/>
      <c r="E98" s="15"/>
      <c r="F98" s="15"/>
      <c r="G98" s="15"/>
    </row>
    <row r="99" spans="2:7">
      <c r="B99" s="14" t="s">
        <v>94</v>
      </c>
      <c r="C99" s="15"/>
      <c r="D99" s="15"/>
      <c r="E99" s="15"/>
      <c r="F99" s="15"/>
      <c r="G99" s="15"/>
    </row>
    <row r="100" spans="2:7" ht="30">
      <c r="B100" s="129"/>
      <c r="C100" s="129" t="s">
        <v>81</v>
      </c>
      <c r="D100" s="16">
        <v>45047</v>
      </c>
      <c r="E100" s="16">
        <v>45078</v>
      </c>
      <c r="F100" s="16">
        <v>45108</v>
      </c>
      <c r="G100" s="130" t="s">
        <v>95</v>
      </c>
    </row>
    <row r="101" spans="2:7">
      <c r="B101" s="146"/>
      <c r="C101" s="131" t="s">
        <v>87</v>
      </c>
      <c r="D101" s="131">
        <f>SUM(D76:D96)</f>
        <v>964658.7300000001</v>
      </c>
      <c r="E101" s="131">
        <f>SUM(E76:E96)</f>
        <v>1151172.6800000002</v>
      </c>
      <c r="F101" s="131">
        <f>SUM(F76:F96)</f>
        <v>937017.67000000016</v>
      </c>
      <c r="G101" s="131">
        <f>SUM(D101:F101)</f>
        <v>3052849.08</v>
      </c>
    </row>
    <row r="102" spans="2:7">
      <c r="B102" s="138" t="s">
        <v>88</v>
      </c>
      <c r="C102" s="138"/>
      <c r="D102" s="138"/>
      <c r="E102" s="138"/>
      <c r="F102" s="138">
        <v>100000</v>
      </c>
      <c r="G102" s="138">
        <v>100000</v>
      </c>
    </row>
    <row r="103" spans="2:7">
      <c r="B103" s="147"/>
      <c r="C103" s="147"/>
      <c r="D103" s="147"/>
      <c r="E103" s="147"/>
      <c r="F103" s="148" t="s">
        <v>96</v>
      </c>
      <c r="G103" s="148">
        <f>G101-G102</f>
        <v>2952849.08</v>
      </c>
    </row>
    <row r="105" spans="2:7">
      <c r="B105" s="14" t="s">
        <v>97</v>
      </c>
      <c r="C105" s="15"/>
      <c r="D105" s="15"/>
      <c r="E105" s="15"/>
      <c r="F105" s="15"/>
      <c r="G105" s="15"/>
    </row>
    <row r="106" spans="2:7" ht="30">
      <c r="B106" s="129"/>
      <c r="C106" s="129" t="s">
        <v>59</v>
      </c>
      <c r="D106" s="16">
        <v>45139</v>
      </c>
      <c r="E106" s="16">
        <v>45170</v>
      </c>
      <c r="F106" s="16">
        <v>45200</v>
      </c>
      <c r="G106" s="130" t="s">
        <v>98</v>
      </c>
    </row>
    <row r="107" spans="2:7">
      <c r="B107" s="274" t="s">
        <v>61</v>
      </c>
      <c r="C107" s="138" t="s">
        <v>62</v>
      </c>
      <c r="D107" s="138">
        <v>27083.875</v>
      </c>
      <c r="E107" s="138">
        <v>26570.75</v>
      </c>
      <c r="F107" s="138">
        <v>24185.35</v>
      </c>
      <c r="G107" s="138">
        <f>SUM(D107:F107)</f>
        <v>77839.975000000006</v>
      </c>
    </row>
    <row r="108" spans="2:7">
      <c r="B108" s="274"/>
      <c r="C108" s="138" t="s">
        <v>63</v>
      </c>
      <c r="D108" s="138">
        <v>437658.19200000004</v>
      </c>
      <c r="E108" s="138">
        <v>406434.25599999999</v>
      </c>
      <c r="F108" s="138">
        <v>455849.67200000002</v>
      </c>
      <c r="G108" s="138">
        <f t="shared" ref="G108:G127" si="4">SUM(D108:F108)</f>
        <v>1299942.1200000001</v>
      </c>
    </row>
    <row r="109" spans="2:7">
      <c r="B109" s="274"/>
      <c r="C109" s="138" t="s">
        <v>64</v>
      </c>
      <c r="D109" s="138">
        <v>109414.54800000001</v>
      </c>
      <c r="E109" s="138">
        <v>101608.564</v>
      </c>
      <c r="F109" s="138">
        <v>113962.41800000001</v>
      </c>
      <c r="G109" s="138">
        <f t="shared" si="4"/>
        <v>324985.53000000003</v>
      </c>
    </row>
    <row r="110" spans="2:7">
      <c r="B110" s="274"/>
      <c r="C110" s="138" t="s">
        <v>65</v>
      </c>
      <c r="D110" s="138"/>
      <c r="E110" s="138"/>
      <c r="F110" s="138"/>
      <c r="G110" s="138">
        <f t="shared" si="4"/>
        <v>0</v>
      </c>
    </row>
    <row r="111" spans="2:7">
      <c r="B111" s="274"/>
      <c r="C111" s="138" t="s">
        <v>66</v>
      </c>
      <c r="D111" s="138"/>
      <c r="E111" s="138"/>
      <c r="F111" s="138"/>
      <c r="G111" s="138">
        <f t="shared" si="4"/>
        <v>0</v>
      </c>
    </row>
    <row r="112" spans="2:7">
      <c r="B112" s="274"/>
      <c r="C112" s="138" t="s">
        <v>67</v>
      </c>
      <c r="D112" s="138"/>
      <c r="E112" s="138"/>
      <c r="F112" s="138"/>
      <c r="G112" s="138">
        <f t="shared" si="4"/>
        <v>0</v>
      </c>
    </row>
    <row r="113" spans="2:7">
      <c r="B113" s="274"/>
      <c r="C113" s="138" t="s">
        <v>68</v>
      </c>
      <c r="D113" s="138"/>
      <c r="E113" s="138"/>
      <c r="F113" s="138"/>
      <c r="G113" s="138">
        <f t="shared" si="4"/>
        <v>0</v>
      </c>
    </row>
    <row r="114" spans="2:7">
      <c r="B114" s="274"/>
      <c r="C114" s="138" t="s">
        <v>69</v>
      </c>
      <c r="D114" s="138">
        <v>47553.440000000002</v>
      </c>
      <c r="E114" s="138">
        <v>14031.09</v>
      </c>
      <c r="F114" s="138">
        <v>24238.239999999998</v>
      </c>
      <c r="G114" s="138">
        <f t="shared" si="4"/>
        <v>85822.76999999999</v>
      </c>
    </row>
    <row r="115" spans="2:7">
      <c r="B115" s="274"/>
      <c r="C115" s="138" t="s">
        <v>70</v>
      </c>
      <c r="D115" s="138">
        <v>80338.470000000016</v>
      </c>
      <c r="E115" s="138">
        <v>61284.19</v>
      </c>
      <c r="F115" s="138">
        <v>75459.34</v>
      </c>
      <c r="G115" s="138">
        <f t="shared" si="4"/>
        <v>217082.00000000003</v>
      </c>
    </row>
    <row r="116" spans="2:7">
      <c r="B116" s="274"/>
      <c r="C116" s="138" t="s">
        <v>71</v>
      </c>
      <c r="D116" s="138"/>
      <c r="E116" s="138"/>
      <c r="F116" s="138"/>
      <c r="G116" s="138">
        <f t="shared" si="4"/>
        <v>0</v>
      </c>
    </row>
    <row r="117" spans="2:7">
      <c r="B117" s="274"/>
      <c r="C117" s="138" t="s">
        <v>72</v>
      </c>
      <c r="D117" s="138"/>
      <c r="E117" s="138"/>
      <c r="F117" s="138"/>
      <c r="G117" s="138">
        <f t="shared" si="4"/>
        <v>0</v>
      </c>
    </row>
    <row r="118" spans="2:7">
      <c r="B118" s="274"/>
      <c r="C118" s="138" t="s">
        <v>73</v>
      </c>
      <c r="D118" s="138">
        <v>6646.4</v>
      </c>
      <c r="E118" s="138">
        <v>4303.2</v>
      </c>
      <c r="F118" s="138">
        <v>6775.2</v>
      </c>
      <c r="G118" s="138">
        <f t="shared" si="4"/>
        <v>17724.8</v>
      </c>
    </row>
    <row r="119" spans="2:7">
      <c r="B119" s="275" t="s">
        <v>74</v>
      </c>
      <c r="C119" s="138" t="s">
        <v>75</v>
      </c>
      <c r="D119" s="138">
        <v>81251.625</v>
      </c>
      <c r="E119" s="138">
        <v>79712.25</v>
      </c>
      <c r="F119" s="138">
        <v>72556.049999999988</v>
      </c>
      <c r="G119" s="138">
        <f t="shared" si="4"/>
        <v>233519.92499999999</v>
      </c>
    </row>
    <row r="120" spans="2:7">
      <c r="B120" s="275"/>
      <c r="C120" s="138" t="s">
        <v>69</v>
      </c>
      <c r="D120" s="138"/>
      <c r="E120" s="138"/>
      <c r="F120" s="138"/>
      <c r="G120" s="138">
        <f t="shared" si="4"/>
        <v>0</v>
      </c>
    </row>
    <row r="121" spans="2:7">
      <c r="B121" s="275"/>
      <c r="C121" s="138" t="s">
        <v>92</v>
      </c>
      <c r="D121" s="138">
        <v>214779.5</v>
      </c>
      <c r="E121" s="138">
        <v>264557.5</v>
      </c>
      <c r="F121" s="138">
        <v>186305</v>
      </c>
      <c r="G121" s="138">
        <f t="shared" si="4"/>
        <v>665642</v>
      </c>
    </row>
    <row r="122" spans="2:7">
      <c r="B122" s="275"/>
      <c r="C122" s="138" t="s">
        <v>77</v>
      </c>
      <c r="D122" s="138"/>
      <c r="E122" s="138"/>
      <c r="F122" s="138"/>
      <c r="G122" s="138">
        <f t="shared" si="4"/>
        <v>0</v>
      </c>
    </row>
    <row r="123" spans="2:7">
      <c r="B123" s="275"/>
      <c r="C123" s="138" t="s">
        <v>78</v>
      </c>
      <c r="D123" s="138">
        <v>15807.5</v>
      </c>
      <c r="E123" s="138">
        <v>25458.5</v>
      </c>
      <c r="F123" s="138">
        <v>9700</v>
      </c>
      <c r="G123" s="138">
        <f t="shared" si="4"/>
        <v>50966</v>
      </c>
    </row>
    <row r="124" spans="2:7">
      <c r="B124" s="275"/>
      <c r="C124" s="138" t="s">
        <v>79</v>
      </c>
      <c r="D124" s="138"/>
      <c r="E124" s="138"/>
      <c r="F124" s="138"/>
      <c r="G124" s="138">
        <f t="shared" si="4"/>
        <v>0</v>
      </c>
    </row>
    <row r="125" spans="2:7">
      <c r="B125" s="275"/>
      <c r="C125" s="138" t="s">
        <v>80</v>
      </c>
      <c r="D125" s="138">
        <v>13625</v>
      </c>
      <c r="E125" s="138">
        <v>14960</v>
      </c>
      <c r="F125" s="138">
        <v>11281</v>
      </c>
      <c r="G125" s="138">
        <f t="shared" si="4"/>
        <v>39866</v>
      </c>
    </row>
    <row r="126" spans="2:7">
      <c r="B126" s="275"/>
      <c r="C126" s="138" t="s">
        <v>72</v>
      </c>
      <c r="D126" s="138"/>
      <c r="E126" s="137"/>
      <c r="F126" s="138"/>
      <c r="G126" s="138">
        <f t="shared" si="4"/>
        <v>0</v>
      </c>
    </row>
    <row r="127" spans="2:7" ht="17.25" thickBot="1">
      <c r="B127" s="275"/>
      <c r="C127" s="138" t="s">
        <v>73</v>
      </c>
      <c r="D127" s="138"/>
      <c r="E127" s="137"/>
      <c r="F127" s="137"/>
      <c r="G127" s="138">
        <f t="shared" si="4"/>
        <v>0</v>
      </c>
    </row>
    <row r="128" spans="2:7" ht="17.25" thickBot="1">
      <c r="B128" s="15"/>
      <c r="C128" s="15"/>
      <c r="D128" s="15"/>
      <c r="E128" s="15"/>
      <c r="F128" s="132" t="s">
        <v>96</v>
      </c>
      <c r="G128" s="132">
        <f>SUM(G107:G127)</f>
        <v>3013391.12</v>
      </c>
    </row>
    <row r="129" spans="2:7">
      <c r="B129" s="15"/>
      <c r="C129" s="15"/>
      <c r="D129" s="15"/>
      <c r="E129" s="15"/>
      <c r="F129" s="15"/>
      <c r="G129" s="15"/>
    </row>
    <row r="130" spans="2:7">
      <c r="B130" s="14" t="s">
        <v>97</v>
      </c>
      <c r="C130" s="15"/>
      <c r="D130" s="15"/>
      <c r="E130" s="15"/>
      <c r="F130" s="15"/>
      <c r="G130" s="15"/>
    </row>
    <row r="131" spans="2:7" ht="30">
      <c r="B131" s="129"/>
      <c r="C131" s="129" t="s">
        <v>81</v>
      </c>
      <c r="D131" s="16">
        <v>45139</v>
      </c>
      <c r="E131" s="16">
        <v>45170</v>
      </c>
      <c r="F131" s="16">
        <v>45200</v>
      </c>
      <c r="G131" s="130" t="s">
        <v>98</v>
      </c>
    </row>
    <row r="132" spans="2:7">
      <c r="B132" s="271" t="s">
        <v>82</v>
      </c>
      <c r="C132" s="138" t="s">
        <v>83</v>
      </c>
      <c r="D132" s="138"/>
      <c r="E132" s="138"/>
      <c r="F132" s="138"/>
      <c r="G132" s="138"/>
    </row>
    <row r="133" spans="2:7">
      <c r="B133" s="271"/>
      <c r="C133" s="138" t="s">
        <v>84</v>
      </c>
      <c r="D133" s="138"/>
      <c r="E133" s="138"/>
      <c r="F133" s="138"/>
      <c r="G133" s="138"/>
    </row>
    <row r="134" spans="2:7">
      <c r="B134" s="271"/>
      <c r="C134" s="138" t="s">
        <v>85</v>
      </c>
      <c r="D134" s="138"/>
      <c r="E134" s="138"/>
      <c r="F134" s="138"/>
      <c r="G134" s="138"/>
    </row>
    <row r="135" spans="2:7">
      <c r="B135" s="271"/>
      <c r="C135" s="138" t="s">
        <v>86</v>
      </c>
      <c r="D135" s="138"/>
      <c r="E135" s="138"/>
      <c r="F135" s="138"/>
      <c r="G135" s="138"/>
    </row>
    <row r="136" spans="2:7" ht="17.25" thickBot="1">
      <c r="B136" s="271"/>
      <c r="C136" s="138" t="s">
        <v>87</v>
      </c>
      <c r="D136" s="138">
        <f>SUM(D107:D127)</f>
        <v>1034158.5499999999</v>
      </c>
      <c r="E136" s="138">
        <f t="shared" ref="E136:F136" si="5">SUM(E107:E127)</f>
        <v>998920.29999999981</v>
      </c>
      <c r="F136" s="138">
        <f t="shared" si="5"/>
        <v>980312.26999999979</v>
      </c>
      <c r="G136" s="131">
        <f>SUM(D136:F136)</f>
        <v>3013391.1199999992</v>
      </c>
    </row>
    <row r="137" spans="2:7" ht="17.25" thickBot="1">
      <c r="B137" s="15"/>
      <c r="C137" s="15"/>
      <c r="D137" s="15"/>
      <c r="E137" s="15"/>
      <c r="F137" s="132" t="s">
        <v>96</v>
      </c>
      <c r="G137" s="133">
        <f>SUM(G136)</f>
        <v>3013391.1199999992</v>
      </c>
    </row>
  </sheetData>
  <mergeCells count="11">
    <mergeCell ref="B52:B60"/>
    <mergeCell ref="B5:B16"/>
    <mergeCell ref="B17:B25"/>
    <mergeCell ref="C36:F36"/>
    <mergeCell ref="B40:B51"/>
    <mergeCell ref="B132:B136"/>
    <mergeCell ref="C71:F71"/>
    <mergeCell ref="B76:B87"/>
    <mergeCell ref="B88:B96"/>
    <mergeCell ref="B107:B118"/>
    <mergeCell ref="B119:B127"/>
  </mergeCells>
  <phoneticPr fontId="4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2">
    <tabColor rgb="FFFF0000"/>
    <pageSetUpPr fitToPage="1"/>
  </sheetPr>
  <dimension ref="A1:BM116"/>
  <sheetViews>
    <sheetView zoomScale="80" zoomScaleNormal="80" workbookViewId="0">
      <pane xSplit="27" ySplit="2" topLeftCell="AB35" activePane="bottomRight" state="frozen"/>
      <selection pane="topRight" activeCell="P1" sqref="P1"/>
      <selection pane="bottomLeft" activeCell="A3" sqref="A3"/>
      <selection pane="bottomRight" activeCell="H59" sqref="H59"/>
    </sheetView>
  </sheetViews>
  <sheetFormatPr defaultColWidth="9" defaultRowHeight="15"/>
  <cols>
    <col min="1" max="1" width="9" style="101"/>
    <col min="2" max="2" width="12" style="1" customWidth="1"/>
    <col min="3" max="3" width="9" style="2" customWidth="1"/>
    <col min="4" max="4" width="11.375" style="1" bestFit="1" customWidth="1"/>
    <col min="5" max="5" width="10.375" style="2" customWidth="1"/>
    <col min="6" max="6" width="13.375" style="1" customWidth="1"/>
    <col min="7" max="7" width="5.375" style="33" customWidth="1"/>
    <col min="8" max="8" width="15.125" style="1" customWidth="1"/>
    <col min="9" max="9" width="10.125" style="1" customWidth="1"/>
    <col min="10" max="10" width="8.375" style="33" customWidth="1"/>
    <col min="11" max="11" width="22.375" style="1" customWidth="1"/>
    <col min="12" max="12" width="9.375" style="2" customWidth="1"/>
    <col min="13" max="13" width="11.75" style="10" customWidth="1"/>
    <col min="14" max="14" width="14.125" style="10" customWidth="1"/>
    <col min="15" max="26" width="9" style="10" hidden="1" customWidth="1"/>
    <col min="27" max="27" width="11.375" style="10" customWidth="1"/>
    <col min="28" max="28" width="6.75" style="10" customWidth="1"/>
    <col min="29" max="30" width="6.75" style="3" customWidth="1"/>
    <col min="31" max="38" width="6.75" style="1" customWidth="1"/>
    <col min="39" max="39" width="8" style="1" bestFit="1" customWidth="1"/>
    <col min="40" max="40" width="7.375" style="5" customWidth="1"/>
    <col min="41" max="41" width="10.75" style="120" customWidth="1"/>
    <col min="42" max="42" width="7.375" style="5" customWidth="1"/>
    <col min="43" max="43" width="10.75" style="120" customWidth="1"/>
    <col min="44" max="44" width="7.375" style="5" customWidth="1"/>
    <col min="45" max="45" width="10.75" style="120" customWidth="1"/>
    <col min="46" max="46" width="7.375" style="1" customWidth="1"/>
    <col min="47" max="47" width="10.75" style="121" customWidth="1"/>
    <col min="48" max="48" width="8.75" style="1" customWidth="1"/>
    <col min="49" max="49" width="10.75" style="121" customWidth="1"/>
    <col min="50" max="50" width="7.375" style="1" customWidth="1"/>
    <col min="51" max="51" width="14" style="121" customWidth="1"/>
    <col min="52" max="52" width="9.25" style="1" customWidth="1"/>
    <col min="53" max="53" width="14" style="125" customWidth="1"/>
    <col min="54" max="54" width="9.25" style="1" customWidth="1"/>
    <col min="55" max="55" width="14" style="125" customWidth="1"/>
    <col min="56" max="56" width="8.75" style="1" customWidth="1"/>
    <col min="57" max="57" width="14" style="125" customWidth="1"/>
    <col min="58" max="58" width="9.25" style="1" customWidth="1"/>
    <col min="59" max="59" width="14" style="125" customWidth="1"/>
    <col min="60" max="60" width="8.75" style="1" customWidth="1"/>
    <col min="61" max="61" width="10.75" style="125" customWidth="1"/>
    <col min="62" max="62" width="8.75" style="1" bestFit="1" customWidth="1"/>
    <col min="63" max="63" width="12" style="125" bestFit="1" customWidth="1"/>
    <col min="64" max="16384" width="9" style="1"/>
  </cols>
  <sheetData>
    <row r="1" spans="1:65" s="2" customFormat="1" ht="59.25" customHeight="1">
      <c r="A1" s="100"/>
      <c r="B1" s="99"/>
      <c r="C1" s="17"/>
      <c r="D1" s="17" t="s">
        <v>99</v>
      </c>
      <c r="E1" s="13" t="s">
        <v>100</v>
      </c>
      <c r="F1" s="7" t="s">
        <v>101</v>
      </c>
      <c r="G1" s="98" t="s">
        <v>102</v>
      </c>
      <c r="H1" s="11" t="s">
        <v>103</v>
      </c>
      <c r="I1" s="12" t="s">
        <v>104</v>
      </c>
      <c r="J1" s="97" t="s">
        <v>105</v>
      </c>
      <c r="K1" s="12" t="s">
        <v>105</v>
      </c>
      <c r="L1" s="18" t="s">
        <v>106</v>
      </c>
      <c r="M1" s="12" t="s">
        <v>107</v>
      </c>
      <c r="N1" s="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4">
        <f>SUM(AB3:AB115)</f>
        <v>161.86000000000001</v>
      </c>
      <c r="AC1" s="4">
        <f t="shared" ref="AC1:AM1" si="0">SUM(AC3:AC115)</f>
        <v>161.86000000000001</v>
      </c>
      <c r="AD1" s="4">
        <f t="shared" si="0"/>
        <v>170.76000000000002</v>
      </c>
      <c r="AE1" s="4">
        <f t="shared" si="0"/>
        <v>207.19</v>
      </c>
      <c r="AF1" s="4">
        <f t="shared" si="0"/>
        <v>211</v>
      </c>
      <c r="AG1" s="4">
        <f t="shared" si="0"/>
        <v>221.00000000000006</v>
      </c>
      <c r="AH1" s="4">
        <f t="shared" si="0"/>
        <v>244.82000000000005</v>
      </c>
      <c r="AI1" s="4">
        <f t="shared" si="0"/>
        <v>244.82000000000005</v>
      </c>
      <c r="AJ1" s="4">
        <f t="shared" si="0"/>
        <v>244.82000000000005</v>
      </c>
      <c r="AK1" s="4">
        <f t="shared" si="0"/>
        <v>250.01000000000005</v>
      </c>
      <c r="AL1" s="4">
        <f t="shared" si="0"/>
        <v>251.85000000000008</v>
      </c>
      <c r="AM1" s="4">
        <f t="shared" si="0"/>
        <v>254.08000000000004</v>
      </c>
      <c r="AN1" s="116"/>
      <c r="AO1" s="114">
        <f>SUM(AO3:AO1004)</f>
        <v>713857.41</v>
      </c>
      <c r="AP1" s="114"/>
      <c r="AQ1" s="114">
        <f>SUM(AQ3:AQ1004)</f>
        <v>505702.96000000008</v>
      </c>
      <c r="AR1" s="114"/>
      <c r="AS1" s="114">
        <f>SUM(AS3:AS1004)</f>
        <v>450934.89000000007</v>
      </c>
      <c r="AT1" s="114"/>
      <c r="AU1" s="114">
        <f>SUM(AU3:AU1004)</f>
        <v>658718.19999999995</v>
      </c>
      <c r="AV1" s="114"/>
      <c r="AW1" s="114">
        <f>SUM(AW3:AW1004)</f>
        <v>951497.84999999986</v>
      </c>
      <c r="AX1" s="114"/>
      <c r="AY1" s="114">
        <f>SUM(AY3:AY1004)</f>
        <v>773763.87000000011</v>
      </c>
      <c r="AZ1" s="114"/>
      <c r="BA1" s="114">
        <f>SUM(BA3:BA1004)</f>
        <v>964658.73</v>
      </c>
      <c r="BB1" s="114"/>
      <c r="BC1" s="114">
        <f>SUM(BC3:BC1004)</f>
        <v>1151172.6800000002</v>
      </c>
      <c r="BD1" s="114"/>
      <c r="BE1" s="114">
        <f>SUM(BE3:BE1004)</f>
        <v>937017.67000000027</v>
      </c>
      <c r="BF1" s="114"/>
      <c r="BG1" s="114">
        <f>SUM(BG3:BG1004)</f>
        <v>1034158.55</v>
      </c>
      <c r="BH1" s="114"/>
      <c r="BI1" s="114">
        <f>SUM(BI3:BI1004)</f>
        <v>998920.29999999993</v>
      </c>
      <c r="BJ1" s="114"/>
      <c r="BK1" s="114">
        <f>SUM(BK3:BK1004)</f>
        <v>980312.26999999979</v>
      </c>
    </row>
    <row r="2" spans="1:65" s="6" customFormat="1" ht="45">
      <c r="A2" s="156" t="s">
        <v>108</v>
      </c>
      <c r="B2" s="171" t="s">
        <v>109</v>
      </c>
      <c r="C2" s="176" t="s">
        <v>110</v>
      </c>
      <c r="D2" s="172" t="s">
        <v>111</v>
      </c>
      <c r="E2" s="172" t="s">
        <v>59</v>
      </c>
      <c r="F2" s="172" t="s">
        <v>112</v>
      </c>
      <c r="G2" s="157" t="s">
        <v>113</v>
      </c>
      <c r="H2" s="172" t="s">
        <v>114</v>
      </c>
      <c r="I2" s="157" t="s">
        <v>115</v>
      </c>
      <c r="J2" s="158" t="s">
        <v>116</v>
      </c>
      <c r="K2" s="157" t="s">
        <v>117</v>
      </c>
      <c r="L2" s="157" t="s">
        <v>118</v>
      </c>
      <c r="M2" s="177" t="s">
        <v>119</v>
      </c>
      <c r="N2" s="159" t="s">
        <v>120</v>
      </c>
      <c r="O2" s="160" t="s">
        <v>121</v>
      </c>
      <c r="P2" s="160" t="s">
        <v>122</v>
      </c>
      <c r="Q2" s="160" t="s">
        <v>123</v>
      </c>
      <c r="R2" s="160" t="s">
        <v>124</v>
      </c>
      <c r="S2" s="160" t="s">
        <v>125</v>
      </c>
      <c r="T2" s="160" t="s">
        <v>126</v>
      </c>
      <c r="U2" s="160" t="s">
        <v>127</v>
      </c>
      <c r="V2" s="160" t="s">
        <v>128</v>
      </c>
      <c r="W2" s="160" t="s">
        <v>129</v>
      </c>
      <c r="X2" s="160" t="s">
        <v>130</v>
      </c>
      <c r="Y2" s="160" t="s">
        <v>131</v>
      </c>
      <c r="Z2" s="160" t="s">
        <v>132</v>
      </c>
      <c r="AA2" s="159" t="s">
        <v>133</v>
      </c>
      <c r="AB2" s="161" t="s">
        <v>134</v>
      </c>
      <c r="AC2" s="161" t="s">
        <v>135</v>
      </c>
      <c r="AD2" s="161" t="s">
        <v>136</v>
      </c>
      <c r="AE2" s="161" t="s">
        <v>137</v>
      </c>
      <c r="AF2" s="161" t="s">
        <v>138</v>
      </c>
      <c r="AG2" s="161" t="s">
        <v>139</v>
      </c>
      <c r="AH2" s="161" t="s">
        <v>140</v>
      </c>
      <c r="AI2" s="161" t="s">
        <v>141</v>
      </c>
      <c r="AJ2" s="161" t="s">
        <v>142</v>
      </c>
      <c r="AK2" s="161" t="s">
        <v>143</v>
      </c>
      <c r="AL2" s="161" t="s">
        <v>144</v>
      </c>
      <c r="AM2" s="161" t="s">
        <v>145</v>
      </c>
      <c r="AN2" s="162" t="s">
        <v>146</v>
      </c>
      <c r="AO2" s="163" t="s">
        <v>147</v>
      </c>
      <c r="AP2" s="162" t="s">
        <v>148</v>
      </c>
      <c r="AQ2" s="163" t="s">
        <v>149</v>
      </c>
      <c r="AR2" s="163" t="s">
        <v>150</v>
      </c>
      <c r="AS2" s="163" t="s">
        <v>151</v>
      </c>
      <c r="AT2" s="164" t="s">
        <v>152</v>
      </c>
      <c r="AU2" s="165" t="s">
        <v>153</v>
      </c>
      <c r="AV2" s="164" t="s">
        <v>154</v>
      </c>
      <c r="AW2" s="165" t="s">
        <v>155</v>
      </c>
      <c r="AX2" s="165" t="s">
        <v>156</v>
      </c>
      <c r="AY2" s="165" t="s">
        <v>157</v>
      </c>
      <c r="AZ2" s="166" t="s">
        <v>158</v>
      </c>
      <c r="BA2" s="167" t="s">
        <v>159</v>
      </c>
      <c r="BB2" s="166" t="s">
        <v>160</v>
      </c>
      <c r="BC2" s="167" t="s">
        <v>161</v>
      </c>
      <c r="BD2" s="167" t="s">
        <v>162</v>
      </c>
      <c r="BE2" s="167" t="s">
        <v>163</v>
      </c>
      <c r="BF2" s="168" t="s">
        <v>164</v>
      </c>
      <c r="BG2" s="169" t="s">
        <v>165</v>
      </c>
      <c r="BH2" s="168" t="s">
        <v>166</v>
      </c>
      <c r="BI2" s="169" t="s">
        <v>167</v>
      </c>
      <c r="BJ2" s="169" t="s">
        <v>168</v>
      </c>
      <c r="BK2" s="169" t="s">
        <v>169</v>
      </c>
      <c r="BL2" s="170" t="s">
        <v>170</v>
      </c>
      <c r="BM2" s="170" t="s">
        <v>171</v>
      </c>
    </row>
    <row r="3" spans="1:65">
      <c r="A3" s="112" t="s">
        <v>108</v>
      </c>
      <c r="B3" s="106"/>
      <c r="C3" s="66" t="s">
        <v>172</v>
      </c>
      <c r="D3" s="284" t="s">
        <v>173</v>
      </c>
      <c r="E3" s="136" t="s">
        <v>174</v>
      </c>
      <c r="F3" s="290">
        <v>200</v>
      </c>
      <c r="G3" s="86"/>
      <c r="H3" s="85"/>
      <c r="I3" s="85"/>
      <c r="J3" s="86"/>
      <c r="K3" s="85"/>
      <c r="L3" s="84"/>
      <c r="M3" s="83"/>
      <c r="N3" s="82"/>
      <c r="AA3" s="81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81"/>
      <c r="AO3" s="117">
        <f>AB3*AN3</f>
        <v>0</v>
      </c>
      <c r="AP3" s="22"/>
      <c r="AQ3" s="117">
        <f>AC3*AP3</f>
        <v>0</v>
      </c>
      <c r="AR3" s="22"/>
      <c r="AS3" s="122">
        <f>AD3*AR3</f>
        <v>0</v>
      </c>
      <c r="AT3" s="22"/>
      <c r="AU3" s="117">
        <f>AE3*AT3</f>
        <v>0</v>
      </c>
      <c r="AV3" s="22"/>
      <c r="AW3" s="117">
        <f>AF3*AV3</f>
        <v>0</v>
      </c>
      <c r="AX3" s="22"/>
      <c r="AY3" s="122">
        <f>AG3*AX3</f>
        <v>0</v>
      </c>
      <c r="AZ3" s="22"/>
      <c r="BA3" s="117">
        <f>AH3*AZ3</f>
        <v>0</v>
      </c>
      <c r="BB3" s="22"/>
      <c r="BC3" s="117">
        <f>AI3*BB3</f>
        <v>0</v>
      </c>
      <c r="BD3" s="22"/>
      <c r="BE3" s="122">
        <f>AJ3*BD3</f>
        <v>0</v>
      </c>
      <c r="BF3" s="22"/>
      <c r="BG3" s="117">
        <f>AK3*BF3</f>
        <v>0</v>
      </c>
      <c r="BH3" s="22"/>
      <c r="BI3" s="117">
        <f>AL3*BH3</f>
        <v>0</v>
      </c>
      <c r="BJ3" s="22"/>
      <c r="BK3" s="126">
        <f>AM3*BJ3</f>
        <v>0</v>
      </c>
    </row>
    <row r="4" spans="1:65">
      <c r="A4" s="112" t="s">
        <v>108</v>
      </c>
      <c r="B4" s="106"/>
      <c r="C4" s="66" t="s">
        <v>175</v>
      </c>
      <c r="D4" s="284"/>
      <c r="E4" s="136" t="s">
        <v>176</v>
      </c>
      <c r="F4" s="289"/>
      <c r="G4" s="56"/>
      <c r="H4" s="96"/>
      <c r="I4" s="96"/>
      <c r="J4" s="56"/>
      <c r="K4" s="96"/>
      <c r="L4" s="95"/>
      <c r="M4" s="94"/>
      <c r="N4" s="93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92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92"/>
      <c r="AN4" s="23"/>
      <c r="AO4" s="118">
        <f t="shared" ref="AO4:AO72" si="1">AB4*AN4</f>
        <v>0</v>
      </c>
      <c r="AP4" s="23"/>
      <c r="AQ4" s="118">
        <f t="shared" ref="AQ4:AQ72" si="2">AC4*AP4</f>
        <v>0</v>
      </c>
      <c r="AR4" s="23"/>
      <c r="AS4" s="123">
        <f t="shared" ref="AS4:AS72" si="3">AD4*AR4</f>
        <v>0</v>
      </c>
      <c r="AT4" s="23"/>
      <c r="AU4" s="118">
        <f t="shared" ref="AU4:AU72" si="4">AE4*AT4</f>
        <v>0</v>
      </c>
      <c r="AV4" s="23"/>
      <c r="AW4" s="118">
        <f t="shared" ref="AW4:AW72" si="5">AF4*AV4</f>
        <v>0</v>
      </c>
      <c r="AX4" s="23"/>
      <c r="AY4" s="123">
        <f t="shared" ref="AY4:AY72" si="6">AG4*AX4</f>
        <v>0</v>
      </c>
      <c r="AZ4" s="23"/>
      <c r="BA4" s="118">
        <f t="shared" ref="BA4:BA72" si="7">AH4*AZ4</f>
        <v>0</v>
      </c>
      <c r="BB4" s="23"/>
      <c r="BC4" s="118">
        <f t="shared" ref="BC4:BC72" si="8">AI4*BB4</f>
        <v>0</v>
      </c>
      <c r="BD4" s="23"/>
      <c r="BE4" s="123">
        <f t="shared" ref="BE4:BE72" si="9">AJ4*BD4</f>
        <v>0</v>
      </c>
      <c r="BF4" s="23"/>
      <c r="BG4" s="118">
        <f t="shared" ref="BG4:BG72" si="10">AK4*BF4</f>
        <v>0</v>
      </c>
      <c r="BH4" s="23"/>
      <c r="BI4" s="118">
        <f t="shared" ref="BI4:BI72" si="11">AL4*BH4</f>
        <v>0</v>
      </c>
      <c r="BJ4" s="23"/>
      <c r="BK4" s="127">
        <f t="shared" ref="BK4:BK72" si="12">AM4*BJ4</f>
        <v>0</v>
      </c>
    </row>
    <row r="5" spans="1:65">
      <c r="A5" s="112" t="s">
        <v>108</v>
      </c>
      <c r="B5" s="106" t="s">
        <v>177</v>
      </c>
      <c r="C5" s="66" t="s">
        <v>175</v>
      </c>
      <c r="D5" s="284"/>
      <c r="E5" s="136" t="s">
        <v>176</v>
      </c>
      <c r="F5" s="289">
        <v>400</v>
      </c>
      <c r="G5" s="65" t="s">
        <v>178</v>
      </c>
      <c r="H5" s="91" t="s">
        <v>179</v>
      </c>
      <c r="I5" s="91" t="s">
        <v>180</v>
      </c>
      <c r="J5" s="65">
        <v>13</v>
      </c>
      <c r="K5" s="91" t="s">
        <v>181</v>
      </c>
      <c r="L5" s="90" t="s">
        <v>182</v>
      </c>
      <c r="M5" s="89" t="s">
        <v>183</v>
      </c>
      <c r="N5" s="88">
        <v>4.4000000000000004</v>
      </c>
      <c r="O5" s="88">
        <v>4.4000000000000004</v>
      </c>
      <c r="P5" s="88">
        <v>4.4000000000000004</v>
      </c>
      <c r="Q5" s="88">
        <v>4.4000000000000004</v>
      </c>
      <c r="R5" s="88">
        <v>4.4000000000000004</v>
      </c>
      <c r="S5" s="88">
        <v>4.4000000000000004</v>
      </c>
      <c r="T5" s="88">
        <v>4.4000000000000004</v>
      </c>
      <c r="U5" s="88">
        <v>4.4000000000000004</v>
      </c>
      <c r="V5" s="88">
        <v>4.4000000000000004</v>
      </c>
      <c r="W5" s="88">
        <v>4.4000000000000004</v>
      </c>
      <c r="X5" s="88">
        <v>4.4000000000000004</v>
      </c>
      <c r="Y5" s="88">
        <v>4.4000000000000004</v>
      </c>
      <c r="Z5" s="88">
        <v>4.4000000000000004</v>
      </c>
      <c r="AA5" s="87">
        <v>0.73</v>
      </c>
      <c r="AB5" s="78">
        <v>0.73</v>
      </c>
      <c r="AC5" s="78">
        <v>0.73</v>
      </c>
      <c r="AD5" s="78">
        <v>0.73</v>
      </c>
      <c r="AE5" s="78">
        <v>0.73</v>
      </c>
      <c r="AF5" s="78">
        <v>0.73</v>
      </c>
      <c r="AG5" s="78">
        <v>0.73</v>
      </c>
      <c r="AH5" s="78">
        <v>0.73</v>
      </c>
      <c r="AI5" s="78">
        <v>0.73</v>
      </c>
      <c r="AJ5" s="78">
        <v>0.73</v>
      </c>
      <c r="AK5" s="78">
        <v>0.73</v>
      </c>
      <c r="AL5" s="78">
        <v>0.73</v>
      </c>
      <c r="AM5" s="87">
        <v>0.73</v>
      </c>
      <c r="AN5" s="22">
        <v>400</v>
      </c>
      <c r="AO5" s="117">
        <f t="shared" si="1"/>
        <v>292</v>
      </c>
      <c r="AP5" s="22">
        <v>1352</v>
      </c>
      <c r="AQ5" s="117">
        <f t="shared" si="2"/>
        <v>986.95999999999992</v>
      </c>
      <c r="AR5" s="22">
        <v>1352</v>
      </c>
      <c r="AS5" s="122">
        <f t="shared" si="3"/>
        <v>986.95999999999992</v>
      </c>
      <c r="AT5" s="22">
        <v>1160</v>
      </c>
      <c r="AU5" s="117">
        <f t="shared" si="4"/>
        <v>846.8</v>
      </c>
      <c r="AV5" s="22">
        <v>3647</v>
      </c>
      <c r="AW5" s="117">
        <f t="shared" si="5"/>
        <v>2662.31</v>
      </c>
      <c r="AX5" s="22">
        <v>400</v>
      </c>
      <c r="AY5" s="122">
        <f t="shared" si="6"/>
        <v>292</v>
      </c>
      <c r="AZ5" s="79">
        <v>400</v>
      </c>
      <c r="BA5" s="117">
        <f t="shared" si="7"/>
        <v>292</v>
      </c>
      <c r="BB5" s="79">
        <v>6959</v>
      </c>
      <c r="BC5" s="117">
        <f t="shared" si="8"/>
        <v>5080.07</v>
      </c>
      <c r="BD5" s="22">
        <v>1600</v>
      </c>
      <c r="BE5" s="122">
        <f t="shared" si="9"/>
        <v>1168</v>
      </c>
      <c r="BF5" s="79">
        <v>5419</v>
      </c>
      <c r="BG5" s="117">
        <f t="shared" si="10"/>
        <v>3955.87</v>
      </c>
      <c r="BH5" s="22">
        <v>4560</v>
      </c>
      <c r="BI5" s="117">
        <f t="shared" si="11"/>
        <v>3328.7999999999997</v>
      </c>
      <c r="BJ5" s="22">
        <v>2840</v>
      </c>
      <c r="BK5" s="126">
        <f t="shared" si="12"/>
        <v>2073.1999999999998</v>
      </c>
    </row>
    <row r="6" spans="1:65">
      <c r="A6" s="112" t="s">
        <v>108</v>
      </c>
      <c r="B6" s="106" t="s">
        <v>177</v>
      </c>
      <c r="C6" s="66" t="s">
        <v>175</v>
      </c>
      <c r="D6" s="284"/>
      <c r="E6" s="136" t="s">
        <v>176</v>
      </c>
      <c r="F6" s="289"/>
      <c r="G6" s="86" t="s">
        <v>178</v>
      </c>
      <c r="H6" s="85" t="s">
        <v>179</v>
      </c>
      <c r="I6" s="85" t="s">
        <v>184</v>
      </c>
      <c r="J6" s="86">
        <v>13</v>
      </c>
      <c r="K6" s="85" t="s">
        <v>181</v>
      </c>
      <c r="L6" s="84" t="s">
        <v>185</v>
      </c>
      <c r="M6" s="83" t="s">
        <v>186</v>
      </c>
      <c r="N6" s="82">
        <v>14.9</v>
      </c>
      <c r="O6" s="82">
        <v>14.9</v>
      </c>
      <c r="P6" s="82">
        <v>14.9</v>
      </c>
      <c r="Q6" s="82">
        <v>14.9</v>
      </c>
      <c r="R6" s="82">
        <v>14.9</v>
      </c>
      <c r="S6" s="82">
        <v>14.9</v>
      </c>
      <c r="T6" s="82">
        <v>14.9</v>
      </c>
      <c r="U6" s="82">
        <v>14.9</v>
      </c>
      <c r="V6" s="82">
        <v>14.9</v>
      </c>
      <c r="W6" s="82">
        <v>14.9</v>
      </c>
      <c r="X6" s="82">
        <v>14.9</v>
      </c>
      <c r="Y6" s="82">
        <v>14.9</v>
      </c>
      <c r="Z6" s="82">
        <v>14.9</v>
      </c>
      <c r="AA6" s="81">
        <v>6.79</v>
      </c>
      <c r="AB6" s="10">
        <v>6.79</v>
      </c>
      <c r="AC6" s="10">
        <v>6.79</v>
      </c>
      <c r="AD6" s="10">
        <v>6.79</v>
      </c>
      <c r="AE6" s="10">
        <v>6.79</v>
      </c>
      <c r="AF6" s="10">
        <v>6.79</v>
      </c>
      <c r="AG6" s="10">
        <v>6.79</v>
      </c>
      <c r="AH6" s="10">
        <v>6.79</v>
      </c>
      <c r="AI6" s="10">
        <v>6.79</v>
      </c>
      <c r="AJ6" s="10">
        <v>6.79</v>
      </c>
      <c r="AK6" s="10">
        <v>6.79</v>
      </c>
      <c r="AL6" s="10">
        <v>6.79</v>
      </c>
      <c r="AM6" s="81">
        <v>6.79</v>
      </c>
      <c r="AN6" s="5">
        <v>1920</v>
      </c>
      <c r="AO6" s="118">
        <f t="shared" si="1"/>
        <v>13036.8</v>
      </c>
      <c r="AP6" s="5">
        <v>400</v>
      </c>
      <c r="AQ6" s="118">
        <f t="shared" si="2"/>
        <v>2716</v>
      </c>
      <c r="AR6" s="5">
        <v>400</v>
      </c>
      <c r="AS6" s="123">
        <f t="shared" si="3"/>
        <v>2716</v>
      </c>
      <c r="AT6" s="5">
        <v>1200</v>
      </c>
      <c r="AU6" s="118">
        <f t="shared" si="4"/>
        <v>8148</v>
      </c>
      <c r="AV6" s="5">
        <v>2840</v>
      </c>
      <c r="AW6" s="118">
        <f t="shared" si="5"/>
        <v>19283.599999999999</v>
      </c>
      <c r="AX6" s="5">
        <v>1352</v>
      </c>
      <c r="AY6" s="123">
        <f t="shared" si="6"/>
        <v>9180.08</v>
      </c>
      <c r="AZ6" s="105">
        <v>1352</v>
      </c>
      <c r="BA6" s="118">
        <f t="shared" si="7"/>
        <v>9180.08</v>
      </c>
      <c r="BB6" s="105">
        <v>3018</v>
      </c>
      <c r="BC6" s="118">
        <f t="shared" si="8"/>
        <v>20492.22</v>
      </c>
      <c r="BD6" s="5">
        <v>1120</v>
      </c>
      <c r="BE6" s="123">
        <f t="shared" si="9"/>
        <v>7604.8</v>
      </c>
      <c r="BF6" s="105">
        <v>1320</v>
      </c>
      <c r="BG6" s="118">
        <f t="shared" si="10"/>
        <v>8962.7999999999993</v>
      </c>
      <c r="BH6" s="5">
        <v>2860</v>
      </c>
      <c r="BI6" s="118">
        <f t="shared" si="11"/>
        <v>19419.400000000001</v>
      </c>
      <c r="BJ6" s="5">
        <v>2840</v>
      </c>
      <c r="BK6" s="127">
        <f t="shared" si="12"/>
        <v>19283.599999999999</v>
      </c>
    </row>
    <row r="7" spans="1:65">
      <c r="A7" s="112" t="s">
        <v>108</v>
      </c>
      <c r="B7" s="106" t="s">
        <v>177</v>
      </c>
      <c r="C7" s="66" t="s">
        <v>175</v>
      </c>
      <c r="D7" s="284"/>
      <c r="E7" s="136" t="s">
        <v>176</v>
      </c>
      <c r="F7" s="289"/>
      <c r="G7" s="86" t="s">
        <v>187</v>
      </c>
      <c r="H7" s="85" t="s">
        <v>188</v>
      </c>
      <c r="I7" s="85" t="s">
        <v>180</v>
      </c>
      <c r="J7" s="86">
        <v>13</v>
      </c>
      <c r="K7" s="85" t="s">
        <v>181</v>
      </c>
      <c r="L7" s="84" t="s">
        <v>185</v>
      </c>
      <c r="M7" s="83" t="s">
        <v>189</v>
      </c>
      <c r="N7" s="82">
        <v>4.4000000000000004</v>
      </c>
      <c r="O7" s="82">
        <v>4.4000000000000004</v>
      </c>
      <c r="P7" s="82">
        <v>4.4000000000000004</v>
      </c>
      <c r="Q7" s="82">
        <v>4.4000000000000004</v>
      </c>
      <c r="R7" s="82">
        <v>4.4000000000000004</v>
      </c>
      <c r="S7" s="82">
        <v>4.4000000000000004</v>
      </c>
      <c r="T7" s="82">
        <v>4.4000000000000004</v>
      </c>
      <c r="U7" s="82">
        <v>4.4000000000000004</v>
      </c>
      <c r="V7" s="82">
        <v>4.4000000000000004</v>
      </c>
      <c r="W7" s="82">
        <v>4.4000000000000004</v>
      </c>
      <c r="X7" s="82">
        <v>4.4000000000000004</v>
      </c>
      <c r="Y7" s="82">
        <v>4.4000000000000004</v>
      </c>
      <c r="Z7" s="82">
        <v>4.4000000000000004</v>
      </c>
      <c r="AA7" s="81">
        <v>0.2</v>
      </c>
      <c r="AB7" s="10">
        <v>0.2</v>
      </c>
      <c r="AC7" s="10">
        <v>0.2</v>
      </c>
      <c r="AD7" s="10">
        <v>0.2</v>
      </c>
      <c r="AE7" s="10">
        <v>0.25</v>
      </c>
      <c r="AF7" s="10">
        <v>0.25</v>
      </c>
      <c r="AG7" s="10">
        <v>0.25</v>
      </c>
      <c r="AH7" s="10">
        <v>0.25</v>
      </c>
      <c r="AI7" s="10">
        <v>0.25</v>
      </c>
      <c r="AJ7" s="10">
        <v>0.25</v>
      </c>
      <c r="AK7" s="10">
        <v>0.25</v>
      </c>
      <c r="AL7" s="10">
        <v>0.25</v>
      </c>
      <c r="AM7" s="81">
        <v>0.25</v>
      </c>
      <c r="AN7" s="5">
        <v>41999</v>
      </c>
      <c r="AO7" s="118">
        <f t="shared" si="1"/>
        <v>8399.8000000000011</v>
      </c>
      <c r="AP7" s="5">
        <v>12001</v>
      </c>
      <c r="AQ7" s="118">
        <f t="shared" si="2"/>
        <v>2400.2000000000003</v>
      </c>
      <c r="AR7" s="5">
        <v>6266</v>
      </c>
      <c r="AS7" s="123">
        <f t="shared" si="3"/>
        <v>1253.2</v>
      </c>
      <c r="AT7" s="5">
        <v>10388</v>
      </c>
      <c r="AU7" s="118">
        <f t="shared" si="4"/>
        <v>2597</v>
      </c>
      <c r="AV7" s="5">
        <v>7638</v>
      </c>
      <c r="AW7" s="118">
        <f t="shared" si="5"/>
        <v>1909.5</v>
      </c>
      <c r="AX7" s="5">
        <v>35382</v>
      </c>
      <c r="AY7" s="123">
        <f t="shared" si="6"/>
        <v>8845.5</v>
      </c>
      <c r="AZ7" s="105">
        <v>8111</v>
      </c>
      <c r="BA7" s="118">
        <f t="shared" si="7"/>
        <v>2027.75</v>
      </c>
      <c r="BB7" s="105">
        <v>7079</v>
      </c>
      <c r="BC7" s="118">
        <f t="shared" si="8"/>
        <v>1769.75</v>
      </c>
      <c r="BD7" s="5">
        <v>14280</v>
      </c>
      <c r="BE7" s="123">
        <f t="shared" si="9"/>
        <v>3570</v>
      </c>
      <c r="BF7" s="105">
        <v>10154</v>
      </c>
      <c r="BG7" s="118">
        <f t="shared" si="10"/>
        <v>2538.5</v>
      </c>
      <c r="BH7" s="5">
        <v>18676</v>
      </c>
      <c r="BI7" s="118">
        <f t="shared" si="11"/>
        <v>4669</v>
      </c>
      <c r="BJ7" s="5">
        <v>24229</v>
      </c>
      <c r="BK7" s="127">
        <f t="shared" si="12"/>
        <v>6057.25</v>
      </c>
    </row>
    <row r="8" spans="1:65">
      <c r="A8" s="112" t="s">
        <v>108</v>
      </c>
      <c r="B8" s="106" t="s">
        <v>177</v>
      </c>
      <c r="C8" s="66" t="s">
        <v>175</v>
      </c>
      <c r="D8" s="284"/>
      <c r="E8" s="136" t="s">
        <v>176</v>
      </c>
      <c r="F8" s="289"/>
      <c r="G8" s="86" t="s">
        <v>187</v>
      </c>
      <c r="H8" s="85" t="s">
        <v>188</v>
      </c>
      <c r="I8" s="85" t="s">
        <v>184</v>
      </c>
      <c r="J8" s="86">
        <v>13</v>
      </c>
      <c r="K8" s="85" t="s">
        <v>181</v>
      </c>
      <c r="L8" s="84" t="s">
        <v>185</v>
      </c>
      <c r="M8" s="83" t="s">
        <v>189</v>
      </c>
      <c r="N8" s="82">
        <v>14.9</v>
      </c>
      <c r="O8" s="82">
        <v>14.9</v>
      </c>
      <c r="P8" s="82">
        <v>14.9</v>
      </c>
      <c r="Q8" s="82">
        <v>14.9</v>
      </c>
      <c r="R8" s="82">
        <v>14.9</v>
      </c>
      <c r="S8" s="82">
        <v>14.9</v>
      </c>
      <c r="T8" s="82">
        <v>14.9</v>
      </c>
      <c r="U8" s="82">
        <v>14.9</v>
      </c>
      <c r="V8" s="82">
        <v>14.9</v>
      </c>
      <c r="W8" s="82">
        <v>14.9</v>
      </c>
      <c r="X8" s="82">
        <v>14.9</v>
      </c>
      <c r="Y8" s="82">
        <v>14.9</v>
      </c>
      <c r="Z8" s="82">
        <v>14.9</v>
      </c>
      <c r="AA8" s="81">
        <v>4.5</v>
      </c>
      <c r="AB8" s="10">
        <v>4.5</v>
      </c>
      <c r="AC8" s="10">
        <v>4.5</v>
      </c>
      <c r="AD8" s="10">
        <v>4.5</v>
      </c>
      <c r="AE8" s="10">
        <v>4.8600000000000003</v>
      </c>
      <c r="AF8" s="10">
        <v>4.8600000000000003</v>
      </c>
      <c r="AG8" s="10">
        <v>4.8600000000000003</v>
      </c>
      <c r="AH8" s="10">
        <v>4.8600000000000003</v>
      </c>
      <c r="AI8" s="10">
        <v>4.8600000000000003</v>
      </c>
      <c r="AJ8" s="10">
        <v>4.8600000000000003</v>
      </c>
      <c r="AK8" s="10">
        <v>4.8600000000000003</v>
      </c>
      <c r="AL8" s="10">
        <v>4.8600000000000003</v>
      </c>
      <c r="AM8" s="81">
        <v>5.22</v>
      </c>
      <c r="AN8" s="5">
        <v>5705</v>
      </c>
      <c r="AO8" s="118">
        <f t="shared" si="1"/>
        <v>25672.5</v>
      </c>
      <c r="AP8" s="5">
        <v>7445</v>
      </c>
      <c r="AQ8" s="118">
        <f t="shared" si="2"/>
        <v>33502.5</v>
      </c>
      <c r="AR8" s="5">
        <v>4202</v>
      </c>
      <c r="AS8" s="123">
        <f t="shared" si="3"/>
        <v>18909</v>
      </c>
      <c r="AT8" s="5">
        <v>4999</v>
      </c>
      <c r="AU8" s="118">
        <f t="shared" si="4"/>
        <v>24295.140000000003</v>
      </c>
      <c r="AV8" s="5">
        <v>5647</v>
      </c>
      <c r="AW8" s="118">
        <f t="shared" si="5"/>
        <v>27444.420000000002</v>
      </c>
      <c r="AX8" s="5">
        <v>17385</v>
      </c>
      <c r="AY8" s="123">
        <f t="shared" si="6"/>
        <v>84491.1</v>
      </c>
      <c r="AZ8" s="105">
        <v>6286</v>
      </c>
      <c r="BA8" s="118">
        <f t="shared" si="7"/>
        <v>30549.960000000003</v>
      </c>
      <c r="BB8" s="105">
        <v>4439</v>
      </c>
      <c r="BC8" s="118">
        <f t="shared" si="8"/>
        <v>21573.54</v>
      </c>
      <c r="BD8" s="5">
        <v>3640</v>
      </c>
      <c r="BE8" s="123">
        <f t="shared" si="9"/>
        <v>17690.400000000001</v>
      </c>
      <c r="BF8" s="105">
        <v>1445</v>
      </c>
      <c r="BG8" s="118">
        <f t="shared" si="10"/>
        <v>7022.7000000000007</v>
      </c>
      <c r="BH8" s="5">
        <v>1953</v>
      </c>
      <c r="BI8" s="118">
        <f t="shared" si="11"/>
        <v>9491.58</v>
      </c>
      <c r="BJ8" s="5">
        <v>1728</v>
      </c>
      <c r="BK8" s="127">
        <f t="shared" si="12"/>
        <v>9020.16</v>
      </c>
    </row>
    <row r="9" spans="1:65">
      <c r="A9" s="112" t="s">
        <v>108</v>
      </c>
      <c r="B9" s="106" t="s">
        <v>177</v>
      </c>
      <c r="C9" s="66" t="s">
        <v>175</v>
      </c>
      <c r="D9" s="284"/>
      <c r="E9" s="136" t="s">
        <v>176</v>
      </c>
      <c r="F9" s="289"/>
      <c r="G9" s="86" t="s">
        <v>187</v>
      </c>
      <c r="H9" s="85" t="s">
        <v>190</v>
      </c>
      <c r="I9" s="85" t="s">
        <v>180</v>
      </c>
      <c r="J9" s="86" t="s">
        <v>191</v>
      </c>
      <c r="K9" s="85" t="s">
        <v>181</v>
      </c>
      <c r="L9" s="84" t="s">
        <v>185</v>
      </c>
      <c r="M9" s="83" t="s">
        <v>189</v>
      </c>
      <c r="N9" s="82">
        <v>4.4000000000000004</v>
      </c>
      <c r="O9" s="82">
        <v>4.4000000000000004</v>
      </c>
      <c r="P9" s="82">
        <v>4.4000000000000004</v>
      </c>
      <c r="Q9" s="82">
        <v>4.4000000000000004</v>
      </c>
      <c r="R9" s="82">
        <v>4.4000000000000004</v>
      </c>
      <c r="S9" s="82">
        <v>4.4000000000000004</v>
      </c>
      <c r="T9" s="82">
        <v>4.4000000000000004</v>
      </c>
      <c r="U9" s="82">
        <v>4.4000000000000004</v>
      </c>
      <c r="V9" s="82">
        <v>4.4000000000000004</v>
      </c>
      <c r="W9" s="82">
        <v>4.4000000000000004</v>
      </c>
      <c r="X9" s="82">
        <v>4.4000000000000004</v>
      </c>
      <c r="Y9" s="82">
        <v>4.4000000000000004</v>
      </c>
      <c r="Z9" s="82">
        <v>4.4000000000000004</v>
      </c>
      <c r="AA9" s="81">
        <v>0.6</v>
      </c>
      <c r="AB9" s="10">
        <v>0.6</v>
      </c>
      <c r="AC9" s="10">
        <v>0.6</v>
      </c>
      <c r="AD9" s="10">
        <v>0.6</v>
      </c>
      <c r="AE9" s="10">
        <v>0.6</v>
      </c>
      <c r="AF9" s="10">
        <v>0.6</v>
      </c>
      <c r="AG9" s="10">
        <v>0.6</v>
      </c>
      <c r="AH9" s="10">
        <v>0.6</v>
      </c>
      <c r="AI9" s="10">
        <v>0.6</v>
      </c>
      <c r="AJ9" s="10">
        <v>0.6</v>
      </c>
      <c r="AK9" s="10">
        <v>0.6</v>
      </c>
      <c r="AL9" s="10">
        <v>0.6</v>
      </c>
      <c r="AM9" s="81">
        <v>0.6</v>
      </c>
      <c r="AN9" s="5">
        <v>118724</v>
      </c>
      <c r="AO9" s="118">
        <f t="shared" si="1"/>
        <v>71234.399999999994</v>
      </c>
      <c r="AP9" s="5">
        <v>62690</v>
      </c>
      <c r="AQ9" s="118">
        <f t="shared" si="2"/>
        <v>37614</v>
      </c>
      <c r="AR9" s="5">
        <v>50367</v>
      </c>
      <c r="AS9" s="123">
        <f t="shared" si="3"/>
        <v>30220.199999999997</v>
      </c>
      <c r="AT9" s="5">
        <v>38708</v>
      </c>
      <c r="AU9" s="118">
        <f t="shared" si="4"/>
        <v>23224.799999999999</v>
      </c>
      <c r="AV9" s="5">
        <v>132419</v>
      </c>
      <c r="AW9" s="118">
        <f t="shared" si="5"/>
        <v>79451.399999999994</v>
      </c>
      <c r="AX9" s="5">
        <v>127352</v>
      </c>
      <c r="AY9" s="123">
        <f t="shared" si="6"/>
        <v>76411.199999999997</v>
      </c>
      <c r="AZ9" s="105">
        <v>116480</v>
      </c>
      <c r="BA9" s="118">
        <f t="shared" si="7"/>
        <v>69888</v>
      </c>
      <c r="BB9" s="105">
        <v>133026</v>
      </c>
      <c r="BC9" s="118">
        <f t="shared" si="8"/>
        <v>79815.599999999991</v>
      </c>
      <c r="BD9" s="5">
        <v>163850</v>
      </c>
      <c r="BE9" s="123">
        <f t="shared" si="9"/>
        <v>98310</v>
      </c>
      <c r="BF9" s="105">
        <v>187965</v>
      </c>
      <c r="BG9" s="118">
        <f t="shared" si="10"/>
        <v>112779</v>
      </c>
      <c r="BH9" s="5">
        <v>133405</v>
      </c>
      <c r="BI9" s="118">
        <f t="shared" si="11"/>
        <v>80043</v>
      </c>
      <c r="BJ9" s="5">
        <v>148756</v>
      </c>
      <c r="BK9" s="127">
        <f t="shared" si="12"/>
        <v>89253.599999999991</v>
      </c>
    </row>
    <row r="10" spans="1:65">
      <c r="A10" s="112" t="s">
        <v>108</v>
      </c>
      <c r="B10" s="106" t="s">
        <v>177</v>
      </c>
      <c r="C10" s="66" t="s">
        <v>175</v>
      </c>
      <c r="D10" s="284"/>
      <c r="E10" s="136" t="s">
        <v>176</v>
      </c>
      <c r="F10" s="289"/>
      <c r="G10" s="86" t="s">
        <v>187</v>
      </c>
      <c r="H10" s="85" t="s">
        <v>190</v>
      </c>
      <c r="I10" s="85" t="s">
        <v>184</v>
      </c>
      <c r="J10" s="86" t="s">
        <v>191</v>
      </c>
      <c r="K10" s="85" t="s">
        <v>181</v>
      </c>
      <c r="L10" s="84" t="s">
        <v>185</v>
      </c>
      <c r="M10" s="83" t="s">
        <v>189</v>
      </c>
      <c r="N10" s="82">
        <v>14.9</v>
      </c>
      <c r="O10" s="82">
        <v>14.9</v>
      </c>
      <c r="P10" s="82">
        <v>14.9</v>
      </c>
      <c r="Q10" s="82">
        <v>14.9</v>
      </c>
      <c r="R10" s="82">
        <v>14.9</v>
      </c>
      <c r="S10" s="82">
        <v>14.9</v>
      </c>
      <c r="T10" s="82">
        <v>14.9</v>
      </c>
      <c r="U10" s="82">
        <v>14.9</v>
      </c>
      <c r="V10" s="82">
        <v>14.9</v>
      </c>
      <c r="W10" s="82">
        <v>14.9</v>
      </c>
      <c r="X10" s="82">
        <v>14.9</v>
      </c>
      <c r="Y10" s="82">
        <v>14.9</v>
      </c>
      <c r="Z10" s="82">
        <v>14.9</v>
      </c>
      <c r="AA10" s="81">
        <v>5</v>
      </c>
      <c r="AB10" s="10">
        <v>5</v>
      </c>
      <c r="AC10" s="10">
        <v>5</v>
      </c>
      <c r="AD10" s="10">
        <v>5</v>
      </c>
      <c r="AE10" s="10">
        <v>5.36</v>
      </c>
      <c r="AF10" s="10">
        <v>5.36</v>
      </c>
      <c r="AG10" s="10">
        <v>5.36</v>
      </c>
      <c r="AH10" s="10">
        <v>5.36</v>
      </c>
      <c r="AI10" s="10">
        <v>5.36</v>
      </c>
      <c r="AJ10" s="10">
        <v>5.36</v>
      </c>
      <c r="AK10" s="10">
        <v>5.36</v>
      </c>
      <c r="AL10" s="10">
        <v>5.36</v>
      </c>
      <c r="AM10" s="81">
        <v>6.17</v>
      </c>
      <c r="AN10" s="5">
        <v>34889</v>
      </c>
      <c r="AO10" s="118">
        <f t="shared" si="1"/>
        <v>174445</v>
      </c>
      <c r="AP10" s="5">
        <v>41656</v>
      </c>
      <c r="AQ10" s="118">
        <f t="shared" si="2"/>
        <v>208280</v>
      </c>
      <c r="AR10" s="5">
        <v>37451</v>
      </c>
      <c r="AS10" s="123">
        <f t="shared" si="3"/>
        <v>187255</v>
      </c>
      <c r="AT10" s="5">
        <v>57790</v>
      </c>
      <c r="AU10" s="118">
        <f t="shared" si="4"/>
        <v>309754.40000000002</v>
      </c>
      <c r="AV10" s="5">
        <v>53728</v>
      </c>
      <c r="AW10" s="118">
        <f t="shared" si="5"/>
        <v>287982.08000000002</v>
      </c>
      <c r="AX10" s="5">
        <v>42735</v>
      </c>
      <c r="AY10" s="123">
        <f t="shared" si="6"/>
        <v>229059.6</v>
      </c>
      <c r="AZ10" s="105">
        <v>55251</v>
      </c>
      <c r="BA10" s="118">
        <f t="shared" si="7"/>
        <v>296145.36000000004</v>
      </c>
      <c r="BB10" s="105">
        <v>63684</v>
      </c>
      <c r="BC10" s="118">
        <f t="shared" si="8"/>
        <v>341346.24000000005</v>
      </c>
      <c r="BD10" s="5">
        <v>60669</v>
      </c>
      <c r="BE10" s="123">
        <f t="shared" si="9"/>
        <v>325185.84000000003</v>
      </c>
      <c r="BF10" s="105">
        <v>57771</v>
      </c>
      <c r="BG10" s="118">
        <f t="shared" si="10"/>
        <v>309652.56</v>
      </c>
      <c r="BH10" s="5">
        <v>56529</v>
      </c>
      <c r="BI10" s="118">
        <f t="shared" si="11"/>
        <v>302995.44</v>
      </c>
      <c r="BJ10" s="5">
        <v>50733</v>
      </c>
      <c r="BK10" s="127">
        <f t="shared" si="12"/>
        <v>313022.61</v>
      </c>
    </row>
    <row r="11" spans="1:65">
      <c r="A11" s="112" t="s">
        <v>108</v>
      </c>
      <c r="B11" s="106" t="s">
        <v>177</v>
      </c>
      <c r="C11" s="66" t="s">
        <v>175</v>
      </c>
      <c r="D11" s="284"/>
      <c r="E11" s="136" t="s">
        <v>176</v>
      </c>
      <c r="F11" s="289"/>
      <c r="G11" s="86" t="s">
        <v>187</v>
      </c>
      <c r="H11" s="85" t="s">
        <v>192</v>
      </c>
      <c r="I11" s="85" t="s">
        <v>180</v>
      </c>
      <c r="J11" s="86" t="s">
        <v>193</v>
      </c>
      <c r="K11" s="85" t="s">
        <v>181</v>
      </c>
      <c r="L11" s="84" t="s">
        <v>185</v>
      </c>
      <c r="M11" s="83" t="s">
        <v>189</v>
      </c>
      <c r="N11" s="82">
        <v>4.5</v>
      </c>
      <c r="O11" s="82">
        <v>4.5</v>
      </c>
      <c r="P11" s="82">
        <v>4.5</v>
      </c>
      <c r="Q11" s="82">
        <v>4.5</v>
      </c>
      <c r="R11" s="82">
        <v>4.5</v>
      </c>
      <c r="S11" s="82">
        <v>4.5</v>
      </c>
      <c r="T11" s="82">
        <v>4.5</v>
      </c>
      <c r="U11" s="82">
        <v>4.5</v>
      </c>
      <c r="V11" s="82">
        <v>4.5</v>
      </c>
      <c r="W11" s="82">
        <v>4.5</v>
      </c>
      <c r="X11" s="82">
        <v>4.5</v>
      </c>
      <c r="Y11" s="82">
        <v>4.5</v>
      </c>
      <c r="Z11" s="82">
        <v>4.5</v>
      </c>
      <c r="AA11" s="81">
        <v>0.8</v>
      </c>
      <c r="AB11" s="10">
        <v>0.8</v>
      </c>
      <c r="AC11" s="10">
        <v>0.8</v>
      </c>
      <c r="AD11" s="10">
        <v>0.8</v>
      </c>
      <c r="AE11" s="10">
        <v>0.81</v>
      </c>
      <c r="AF11" s="10">
        <v>0.81</v>
      </c>
      <c r="AG11" s="10">
        <v>0.81</v>
      </c>
      <c r="AH11" s="10">
        <v>0.81</v>
      </c>
      <c r="AI11" s="10">
        <v>0.81</v>
      </c>
      <c r="AJ11" s="10">
        <v>0.81</v>
      </c>
      <c r="AK11" s="10">
        <v>0.81</v>
      </c>
      <c r="AL11" s="10">
        <v>0.81</v>
      </c>
      <c r="AM11" s="81">
        <v>0.81</v>
      </c>
      <c r="AN11" s="5">
        <v>20459</v>
      </c>
      <c r="AO11" s="118">
        <f t="shared" si="1"/>
        <v>16367.2</v>
      </c>
      <c r="AP11" s="5">
        <v>21253</v>
      </c>
      <c r="AQ11" s="118">
        <f t="shared" si="2"/>
        <v>17002.400000000001</v>
      </c>
      <c r="AR11" s="5">
        <v>8018</v>
      </c>
      <c r="AS11" s="123">
        <f t="shared" si="3"/>
        <v>6414.4000000000005</v>
      </c>
      <c r="AT11" s="5">
        <v>17567</v>
      </c>
      <c r="AU11" s="118">
        <f t="shared" si="4"/>
        <v>14229.27</v>
      </c>
      <c r="AV11" s="5">
        <v>23995</v>
      </c>
      <c r="AW11" s="118">
        <f t="shared" si="5"/>
        <v>19435.95</v>
      </c>
      <c r="AX11" s="5">
        <v>12557</v>
      </c>
      <c r="AY11" s="123">
        <f t="shared" si="6"/>
        <v>10171.17</v>
      </c>
      <c r="AZ11" s="105">
        <v>30316</v>
      </c>
      <c r="BA11" s="118">
        <f t="shared" si="7"/>
        <v>24555.960000000003</v>
      </c>
      <c r="BB11" s="105">
        <v>33783</v>
      </c>
      <c r="BC11" s="118">
        <f t="shared" si="8"/>
        <v>27364.230000000003</v>
      </c>
      <c r="BD11" s="5">
        <v>30469</v>
      </c>
      <c r="BE11" s="123">
        <f t="shared" si="9"/>
        <v>24679.890000000003</v>
      </c>
      <c r="BF11" s="105">
        <v>36347</v>
      </c>
      <c r="BG11" s="118">
        <f t="shared" si="10"/>
        <v>29441.070000000003</v>
      </c>
      <c r="BH11" s="5">
        <v>41980</v>
      </c>
      <c r="BI11" s="118">
        <f t="shared" si="11"/>
        <v>34003.800000000003</v>
      </c>
      <c r="BJ11" s="5">
        <v>92967</v>
      </c>
      <c r="BK11" s="127">
        <f>AM11*BJ11</f>
        <v>75303.27</v>
      </c>
    </row>
    <row r="12" spans="1:65">
      <c r="A12" s="112" t="s">
        <v>108</v>
      </c>
      <c r="B12" s="106" t="s">
        <v>177</v>
      </c>
      <c r="C12" s="66" t="s">
        <v>175</v>
      </c>
      <c r="D12" s="284"/>
      <c r="E12" s="136" t="s">
        <v>176</v>
      </c>
      <c r="F12" s="289"/>
      <c r="G12" s="86" t="s">
        <v>187</v>
      </c>
      <c r="H12" s="85" t="s">
        <v>192</v>
      </c>
      <c r="I12" s="85" t="s">
        <v>184</v>
      </c>
      <c r="J12" s="86" t="s">
        <v>193</v>
      </c>
      <c r="K12" s="85" t="s">
        <v>181</v>
      </c>
      <c r="L12" s="84" t="s">
        <v>185</v>
      </c>
      <c r="M12" s="83" t="s">
        <v>189</v>
      </c>
      <c r="N12" s="82">
        <v>16.2</v>
      </c>
      <c r="O12" s="82">
        <v>16.2</v>
      </c>
      <c r="P12" s="82">
        <v>16.2</v>
      </c>
      <c r="Q12" s="82">
        <v>16.2</v>
      </c>
      <c r="R12" s="82">
        <v>16.2</v>
      </c>
      <c r="S12" s="82">
        <v>16.2</v>
      </c>
      <c r="T12" s="82">
        <v>16.2</v>
      </c>
      <c r="U12" s="82">
        <v>16.2</v>
      </c>
      <c r="V12" s="82">
        <v>16.2</v>
      </c>
      <c r="W12" s="82">
        <v>16.2</v>
      </c>
      <c r="X12" s="82">
        <v>16.2</v>
      </c>
      <c r="Y12" s="82">
        <v>16.2</v>
      </c>
      <c r="Z12" s="82">
        <v>16.2</v>
      </c>
      <c r="AA12" s="81">
        <v>6</v>
      </c>
      <c r="AB12" s="10">
        <v>6</v>
      </c>
      <c r="AC12" s="10">
        <v>6</v>
      </c>
      <c r="AD12" s="10">
        <v>6</v>
      </c>
      <c r="AE12" s="10">
        <v>6.36</v>
      </c>
      <c r="AF12" s="10">
        <v>6.36</v>
      </c>
      <c r="AG12" s="10">
        <v>6.36</v>
      </c>
      <c r="AH12" s="10">
        <v>6.36</v>
      </c>
      <c r="AI12" s="10">
        <v>6.36</v>
      </c>
      <c r="AJ12" s="10">
        <v>6.36</v>
      </c>
      <c r="AK12" s="10">
        <v>6.36</v>
      </c>
      <c r="AL12" s="10">
        <v>6.36</v>
      </c>
      <c r="AM12" s="81">
        <v>7.42</v>
      </c>
      <c r="AN12" s="5">
        <v>3374</v>
      </c>
      <c r="AO12" s="118">
        <f t="shared" si="1"/>
        <v>20244</v>
      </c>
      <c r="AP12" s="5">
        <v>5931</v>
      </c>
      <c r="AQ12" s="118">
        <f t="shared" si="2"/>
        <v>35586</v>
      </c>
      <c r="AR12" s="5">
        <v>11950</v>
      </c>
      <c r="AS12" s="123">
        <f t="shared" si="3"/>
        <v>71700</v>
      </c>
      <c r="AT12" s="5">
        <v>5624</v>
      </c>
      <c r="AU12" s="118">
        <f t="shared" si="4"/>
        <v>35768.639999999999</v>
      </c>
      <c r="AV12" s="5">
        <v>7860</v>
      </c>
      <c r="AW12" s="118">
        <f t="shared" si="5"/>
        <v>49989.600000000006</v>
      </c>
      <c r="AX12" s="5">
        <v>6165</v>
      </c>
      <c r="AY12" s="123">
        <f t="shared" si="6"/>
        <v>39209.4</v>
      </c>
      <c r="AZ12" s="105">
        <v>6434</v>
      </c>
      <c r="BA12" s="118">
        <f t="shared" si="7"/>
        <v>40920.240000000005</v>
      </c>
      <c r="BB12" s="105">
        <v>20179</v>
      </c>
      <c r="BC12" s="118">
        <f t="shared" si="8"/>
        <v>128338.44</v>
      </c>
      <c r="BD12" s="5">
        <v>12939</v>
      </c>
      <c r="BE12" s="123">
        <f t="shared" si="9"/>
        <v>82292.040000000008</v>
      </c>
      <c r="BF12" s="105">
        <v>11434</v>
      </c>
      <c r="BG12" s="118">
        <f t="shared" si="10"/>
        <v>72720.240000000005</v>
      </c>
      <c r="BH12" s="5">
        <v>8505</v>
      </c>
      <c r="BI12" s="118">
        <f t="shared" si="11"/>
        <v>54091.8</v>
      </c>
      <c r="BJ12" s="5">
        <v>7520</v>
      </c>
      <c r="BK12" s="127">
        <f t="shared" si="12"/>
        <v>55798.400000000001</v>
      </c>
    </row>
    <row r="13" spans="1:65">
      <c r="A13" s="112" t="s">
        <v>108</v>
      </c>
      <c r="B13" s="106" t="s">
        <v>194</v>
      </c>
      <c r="C13" s="66" t="s">
        <v>175</v>
      </c>
      <c r="D13" s="284"/>
      <c r="E13" s="136" t="s">
        <v>176</v>
      </c>
      <c r="F13" s="289"/>
      <c r="G13" s="86" t="s">
        <v>187</v>
      </c>
      <c r="H13" s="85" t="s">
        <v>195</v>
      </c>
      <c r="I13" s="85" t="s">
        <v>196</v>
      </c>
      <c r="J13" s="86" t="s">
        <v>197</v>
      </c>
      <c r="K13" s="85" t="s">
        <v>198</v>
      </c>
      <c r="L13" s="84" t="s">
        <v>185</v>
      </c>
      <c r="M13" s="83" t="s">
        <v>189</v>
      </c>
      <c r="N13" s="82">
        <v>4.46</v>
      </c>
      <c r="O13" s="82">
        <v>4.46</v>
      </c>
      <c r="P13" s="82">
        <v>4.46</v>
      </c>
      <c r="Q13" s="82">
        <v>4.46</v>
      </c>
      <c r="R13" s="82">
        <v>4.46</v>
      </c>
      <c r="S13" s="82">
        <v>4.46</v>
      </c>
      <c r="T13" s="82">
        <v>4.46</v>
      </c>
      <c r="U13" s="82">
        <v>4.46</v>
      </c>
      <c r="V13" s="82">
        <v>4.46</v>
      </c>
      <c r="W13" s="82">
        <v>4.46</v>
      </c>
      <c r="X13" s="82">
        <v>4.46</v>
      </c>
      <c r="Y13" s="82">
        <v>4.46</v>
      </c>
      <c r="Z13" s="82">
        <v>4.46</v>
      </c>
      <c r="AA13" s="81">
        <v>0.05</v>
      </c>
      <c r="AB13" s="10">
        <v>0.05</v>
      </c>
      <c r="AC13" s="10">
        <v>0.05</v>
      </c>
      <c r="AD13" s="10">
        <v>0.05</v>
      </c>
      <c r="AE13" s="10">
        <v>0.05</v>
      </c>
      <c r="AF13" s="10">
        <v>0.05</v>
      </c>
      <c r="AG13" s="10">
        <v>0.05</v>
      </c>
      <c r="AH13" s="10">
        <v>0.05</v>
      </c>
      <c r="AI13" s="10">
        <v>0.05</v>
      </c>
      <c r="AJ13" s="10">
        <v>0.05</v>
      </c>
      <c r="AK13" s="10">
        <v>0.05</v>
      </c>
      <c r="AL13" s="10">
        <v>0.05</v>
      </c>
      <c r="AM13" s="81">
        <v>0.05</v>
      </c>
      <c r="AN13" s="5">
        <v>97560</v>
      </c>
      <c r="AO13" s="118">
        <f t="shared" si="1"/>
        <v>4878</v>
      </c>
      <c r="AP13" s="5">
        <v>45600</v>
      </c>
      <c r="AQ13" s="118">
        <f t="shared" si="2"/>
        <v>2280</v>
      </c>
      <c r="AR13" s="5">
        <v>38520</v>
      </c>
      <c r="AS13" s="123">
        <f t="shared" si="3"/>
        <v>1926</v>
      </c>
      <c r="AT13" s="5">
        <v>0</v>
      </c>
      <c r="AU13" s="118">
        <f t="shared" si="4"/>
        <v>0</v>
      </c>
      <c r="AV13" s="5">
        <v>8839</v>
      </c>
      <c r="AW13" s="118">
        <f t="shared" si="5"/>
        <v>441.95000000000005</v>
      </c>
      <c r="AX13" s="5">
        <v>1200</v>
      </c>
      <c r="AY13" s="123">
        <f t="shared" si="6"/>
        <v>60</v>
      </c>
      <c r="AZ13" s="105">
        <v>1880</v>
      </c>
      <c r="BA13" s="118">
        <f t="shared" si="7"/>
        <v>94</v>
      </c>
      <c r="BB13" s="105">
        <v>3000</v>
      </c>
      <c r="BC13" s="118">
        <f t="shared" si="8"/>
        <v>150</v>
      </c>
      <c r="BD13" s="5">
        <v>720</v>
      </c>
      <c r="BE13" s="123">
        <f t="shared" si="9"/>
        <v>36</v>
      </c>
      <c r="BF13" s="105">
        <v>2280</v>
      </c>
      <c r="BG13" s="118">
        <f t="shared" si="10"/>
        <v>114</v>
      </c>
      <c r="BH13" s="5">
        <v>0</v>
      </c>
      <c r="BI13" s="118">
        <f t="shared" si="11"/>
        <v>0</v>
      </c>
      <c r="BJ13" s="5">
        <v>960</v>
      </c>
      <c r="BK13" s="127">
        <f t="shared" si="12"/>
        <v>48</v>
      </c>
    </row>
    <row r="14" spans="1:65">
      <c r="A14" s="112" t="s">
        <v>108</v>
      </c>
      <c r="B14" s="106" t="s">
        <v>194</v>
      </c>
      <c r="C14" s="66" t="s">
        <v>175</v>
      </c>
      <c r="D14" s="284"/>
      <c r="E14" s="136" t="s">
        <v>176</v>
      </c>
      <c r="F14" s="289"/>
      <c r="G14" s="71" t="s">
        <v>187</v>
      </c>
      <c r="H14" s="70" t="s">
        <v>199</v>
      </c>
      <c r="I14" s="70" t="s">
        <v>196</v>
      </c>
      <c r="J14" s="71" t="s">
        <v>197</v>
      </c>
      <c r="K14" s="70" t="s">
        <v>198</v>
      </c>
      <c r="L14" s="69" t="s">
        <v>185</v>
      </c>
      <c r="M14" s="68" t="s">
        <v>189</v>
      </c>
      <c r="N14" s="67">
        <v>4.5</v>
      </c>
      <c r="O14" s="67">
        <v>4.5</v>
      </c>
      <c r="P14" s="67">
        <v>4.5</v>
      </c>
      <c r="Q14" s="67">
        <v>4.5</v>
      </c>
      <c r="R14" s="67">
        <v>4.5</v>
      </c>
      <c r="S14" s="67">
        <v>4.5</v>
      </c>
      <c r="T14" s="67">
        <v>4.5</v>
      </c>
      <c r="U14" s="67">
        <v>4.5</v>
      </c>
      <c r="V14" s="67">
        <v>4.5</v>
      </c>
      <c r="W14" s="67">
        <v>4.5</v>
      </c>
      <c r="X14" s="67">
        <v>4.5</v>
      </c>
      <c r="Y14" s="67">
        <v>4.5</v>
      </c>
      <c r="Z14" s="67">
        <v>4.5</v>
      </c>
      <c r="AA14" s="58">
        <v>0.05</v>
      </c>
      <c r="AB14" s="10">
        <v>0.05</v>
      </c>
      <c r="AC14" s="10">
        <v>0.05</v>
      </c>
      <c r="AD14" s="10">
        <v>0.05</v>
      </c>
      <c r="AE14" s="10">
        <v>0.05</v>
      </c>
      <c r="AF14" s="10">
        <v>0.05</v>
      </c>
      <c r="AG14" s="10">
        <v>0.05</v>
      </c>
      <c r="AH14" s="10">
        <v>0.05</v>
      </c>
      <c r="AI14" s="10">
        <v>0.05</v>
      </c>
      <c r="AJ14" s="10">
        <v>0.05</v>
      </c>
      <c r="AK14" s="10">
        <v>0.05</v>
      </c>
      <c r="AL14" s="10">
        <v>0.05</v>
      </c>
      <c r="AM14" s="81">
        <v>0.05</v>
      </c>
      <c r="AN14" s="5">
        <v>2180</v>
      </c>
      <c r="AO14" s="118">
        <f t="shared" si="1"/>
        <v>109</v>
      </c>
      <c r="AP14" s="5">
        <v>460</v>
      </c>
      <c r="AQ14" s="118">
        <f t="shared" si="2"/>
        <v>23</v>
      </c>
      <c r="AR14" s="5">
        <v>3191</v>
      </c>
      <c r="AS14" s="123">
        <f t="shared" si="3"/>
        <v>159.55000000000001</v>
      </c>
      <c r="AT14" s="5">
        <v>5229</v>
      </c>
      <c r="AU14" s="118">
        <f t="shared" si="4"/>
        <v>261.45</v>
      </c>
      <c r="AV14" s="5">
        <v>0</v>
      </c>
      <c r="AW14" s="118">
        <f t="shared" si="5"/>
        <v>0</v>
      </c>
      <c r="AX14" s="5">
        <v>9120</v>
      </c>
      <c r="AY14" s="123">
        <f t="shared" si="6"/>
        <v>456</v>
      </c>
      <c r="AZ14" s="105">
        <v>5560</v>
      </c>
      <c r="BA14" s="118">
        <f t="shared" si="7"/>
        <v>278</v>
      </c>
      <c r="BB14" s="105">
        <v>6436</v>
      </c>
      <c r="BC14" s="118">
        <f t="shared" si="8"/>
        <v>321.8</v>
      </c>
      <c r="BD14" s="5">
        <v>6360</v>
      </c>
      <c r="BE14" s="123">
        <f t="shared" si="9"/>
        <v>318</v>
      </c>
      <c r="BF14" s="105">
        <v>14599</v>
      </c>
      <c r="BG14" s="118">
        <f t="shared" si="10"/>
        <v>729.95</v>
      </c>
      <c r="BH14" s="5">
        <v>13409</v>
      </c>
      <c r="BI14" s="118">
        <f t="shared" si="11"/>
        <v>670.45</v>
      </c>
      <c r="BJ14" s="5">
        <v>13359</v>
      </c>
      <c r="BK14" s="127">
        <f t="shared" si="12"/>
        <v>667.95</v>
      </c>
    </row>
    <row r="15" spans="1:65">
      <c r="A15" s="112" t="s">
        <v>108</v>
      </c>
      <c r="B15" s="106" t="s">
        <v>194</v>
      </c>
      <c r="C15" s="66" t="s">
        <v>175</v>
      </c>
      <c r="D15" s="284"/>
      <c r="E15" s="136" t="s">
        <v>176</v>
      </c>
      <c r="F15" s="289"/>
      <c r="G15" s="71" t="s">
        <v>200</v>
      </c>
      <c r="H15" s="70" t="s">
        <v>201</v>
      </c>
      <c r="I15" s="70" t="s">
        <v>196</v>
      </c>
      <c r="J15" s="71" t="s">
        <v>197</v>
      </c>
      <c r="K15" s="70" t="s">
        <v>198</v>
      </c>
      <c r="L15" s="69" t="s">
        <v>185</v>
      </c>
      <c r="M15" s="68" t="s">
        <v>189</v>
      </c>
      <c r="N15" s="67">
        <v>4.46</v>
      </c>
      <c r="O15" s="67">
        <v>4.46</v>
      </c>
      <c r="P15" s="67">
        <v>4.46</v>
      </c>
      <c r="Q15" s="67">
        <v>4.46</v>
      </c>
      <c r="R15" s="67">
        <v>4.46</v>
      </c>
      <c r="S15" s="67">
        <v>4.46</v>
      </c>
      <c r="T15" s="67">
        <v>4.46</v>
      </c>
      <c r="U15" s="67">
        <v>4.46</v>
      </c>
      <c r="V15" s="67">
        <v>4.46</v>
      </c>
      <c r="W15" s="67">
        <v>4.46</v>
      </c>
      <c r="X15" s="67">
        <v>4.46</v>
      </c>
      <c r="Y15" s="67">
        <v>4.46</v>
      </c>
      <c r="Z15" s="67">
        <v>4.46</v>
      </c>
      <c r="AA15" s="58">
        <v>0.05</v>
      </c>
      <c r="AB15" s="10">
        <v>0.05</v>
      </c>
      <c r="AC15" s="10">
        <v>0.05</v>
      </c>
      <c r="AD15" s="10">
        <v>0.05</v>
      </c>
      <c r="AE15" s="10">
        <v>0.05</v>
      </c>
      <c r="AF15" s="10">
        <v>0.05</v>
      </c>
      <c r="AG15" s="10">
        <v>0.05</v>
      </c>
      <c r="AH15" s="10">
        <v>0.05</v>
      </c>
      <c r="AI15" s="10">
        <v>0.05</v>
      </c>
      <c r="AJ15" s="10">
        <v>0.05</v>
      </c>
      <c r="AK15" s="10">
        <v>0.05</v>
      </c>
      <c r="AL15" s="10">
        <v>0.05</v>
      </c>
      <c r="AM15" s="81">
        <v>0.05</v>
      </c>
      <c r="AN15" s="5">
        <v>386980</v>
      </c>
      <c r="AO15" s="118">
        <f t="shared" si="1"/>
        <v>19349</v>
      </c>
      <c r="AP15" s="5">
        <v>273120</v>
      </c>
      <c r="AQ15" s="118">
        <f t="shared" si="2"/>
        <v>13656</v>
      </c>
      <c r="AR15" s="5">
        <v>100080</v>
      </c>
      <c r="AS15" s="123">
        <f t="shared" si="3"/>
        <v>5004</v>
      </c>
      <c r="AT15" s="5">
        <v>250777</v>
      </c>
      <c r="AU15" s="118">
        <f t="shared" si="4"/>
        <v>12538.85</v>
      </c>
      <c r="AV15" s="5">
        <v>326040</v>
      </c>
      <c r="AW15" s="118">
        <f t="shared" si="5"/>
        <v>16302</v>
      </c>
      <c r="AX15" s="5">
        <v>336480</v>
      </c>
      <c r="AY15" s="123">
        <f t="shared" si="6"/>
        <v>16824</v>
      </c>
      <c r="AZ15" s="105">
        <v>266220</v>
      </c>
      <c r="BA15" s="118">
        <f t="shared" si="7"/>
        <v>13311</v>
      </c>
      <c r="BB15" s="105">
        <v>288360</v>
      </c>
      <c r="BC15" s="118">
        <f t="shared" si="8"/>
        <v>14418</v>
      </c>
      <c r="BD15" s="5">
        <v>187560</v>
      </c>
      <c r="BE15" s="123">
        <f t="shared" si="9"/>
        <v>9378</v>
      </c>
      <c r="BF15" s="105">
        <v>220968</v>
      </c>
      <c r="BG15" s="118">
        <f t="shared" si="10"/>
        <v>11048.400000000001</v>
      </c>
      <c r="BH15" s="5">
        <v>161760</v>
      </c>
      <c r="BI15" s="118">
        <f t="shared" si="11"/>
        <v>8088</v>
      </c>
      <c r="BJ15" s="5">
        <v>143360</v>
      </c>
      <c r="BK15" s="127">
        <f t="shared" si="12"/>
        <v>7168</v>
      </c>
    </row>
    <row r="16" spans="1:65">
      <c r="A16" s="112" t="s">
        <v>108</v>
      </c>
      <c r="B16" s="106" t="s">
        <v>194</v>
      </c>
      <c r="C16" s="66" t="s">
        <v>175</v>
      </c>
      <c r="D16" s="284"/>
      <c r="E16" s="136" t="s">
        <v>176</v>
      </c>
      <c r="F16" s="289"/>
      <c r="G16" s="71" t="s">
        <v>202</v>
      </c>
      <c r="H16" s="70" t="s">
        <v>203</v>
      </c>
      <c r="I16" s="70" t="s">
        <v>196</v>
      </c>
      <c r="J16" s="71" t="s">
        <v>197</v>
      </c>
      <c r="K16" s="70" t="s">
        <v>198</v>
      </c>
      <c r="L16" s="69" t="s">
        <v>185</v>
      </c>
      <c r="M16" s="68" t="s">
        <v>204</v>
      </c>
      <c r="N16" s="67">
        <v>4.46</v>
      </c>
      <c r="O16" s="67">
        <v>4.46</v>
      </c>
      <c r="P16" s="67">
        <v>4.46</v>
      </c>
      <c r="Q16" s="67">
        <v>4.46</v>
      </c>
      <c r="R16" s="67">
        <v>4.46</v>
      </c>
      <c r="S16" s="67">
        <v>4.46</v>
      </c>
      <c r="T16" s="67">
        <v>4.46</v>
      </c>
      <c r="U16" s="67">
        <v>4.46</v>
      </c>
      <c r="V16" s="67">
        <v>4.46</v>
      </c>
      <c r="W16" s="67">
        <v>4.46</v>
      </c>
      <c r="X16" s="67">
        <v>4.46</v>
      </c>
      <c r="Y16" s="67">
        <v>4.46</v>
      </c>
      <c r="Z16" s="67">
        <v>4.46</v>
      </c>
      <c r="AA16" s="58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0.05</v>
      </c>
      <c r="AG16" s="10">
        <v>0.05</v>
      </c>
      <c r="AH16" s="10">
        <v>0.05</v>
      </c>
      <c r="AI16" s="10">
        <v>0.05</v>
      </c>
      <c r="AJ16" s="10">
        <v>0.05</v>
      </c>
      <c r="AK16" s="10">
        <v>0.05</v>
      </c>
      <c r="AL16" s="10">
        <v>0.05</v>
      </c>
      <c r="AM16" s="81">
        <v>0.05</v>
      </c>
      <c r="AN16" s="5">
        <v>0</v>
      </c>
      <c r="AO16" s="118">
        <f t="shared" si="1"/>
        <v>0</v>
      </c>
      <c r="AP16" s="5">
        <v>0</v>
      </c>
      <c r="AQ16" s="118">
        <f t="shared" si="2"/>
        <v>0</v>
      </c>
      <c r="AR16" s="5">
        <v>0</v>
      </c>
      <c r="AS16" s="123">
        <f t="shared" si="3"/>
        <v>0</v>
      </c>
      <c r="AT16" s="5">
        <v>0</v>
      </c>
      <c r="AU16" s="118">
        <f t="shared" si="4"/>
        <v>0</v>
      </c>
      <c r="AV16" s="5">
        <v>120</v>
      </c>
      <c r="AW16" s="118">
        <f t="shared" si="5"/>
        <v>6</v>
      </c>
      <c r="AX16" s="5">
        <v>23040</v>
      </c>
      <c r="AY16" s="123">
        <f t="shared" si="6"/>
        <v>1152</v>
      </c>
      <c r="AZ16" s="105">
        <v>73640</v>
      </c>
      <c r="BA16" s="118">
        <f t="shared" si="7"/>
        <v>3682</v>
      </c>
      <c r="BB16" s="105">
        <v>144824</v>
      </c>
      <c r="BC16" s="118">
        <f t="shared" si="8"/>
        <v>7241.2000000000007</v>
      </c>
      <c r="BD16" s="5">
        <v>192360</v>
      </c>
      <c r="BE16" s="123">
        <f t="shared" si="9"/>
        <v>9618</v>
      </c>
      <c r="BF16" s="105">
        <v>162600</v>
      </c>
      <c r="BG16" s="118">
        <f t="shared" si="10"/>
        <v>8130</v>
      </c>
      <c r="BH16" s="5">
        <v>237600</v>
      </c>
      <c r="BI16" s="118">
        <f t="shared" si="11"/>
        <v>11880</v>
      </c>
      <c r="BJ16" s="5">
        <v>291027</v>
      </c>
      <c r="BK16" s="127">
        <f t="shared" si="12"/>
        <v>14551.35</v>
      </c>
    </row>
    <row r="17" spans="1:63">
      <c r="A17" s="112" t="s">
        <v>108</v>
      </c>
      <c r="B17" s="106"/>
      <c r="C17" s="66" t="s">
        <v>175</v>
      </c>
      <c r="D17" s="284"/>
      <c r="E17" s="136" t="s">
        <v>176</v>
      </c>
      <c r="F17" s="289"/>
      <c r="G17" s="72"/>
      <c r="H17" s="75"/>
      <c r="I17" s="75"/>
      <c r="J17" s="72"/>
      <c r="K17" s="75"/>
      <c r="L17" s="74"/>
      <c r="M17" s="52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49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92"/>
      <c r="AN17" s="23"/>
      <c r="AO17" s="118">
        <f t="shared" si="1"/>
        <v>0</v>
      </c>
      <c r="AP17" s="23"/>
      <c r="AQ17" s="118">
        <f t="shared" si="2"/>
        <v>0</v>
      </c>
      <c r="AR17" s="23"/>
      <c r="AS17" s="123">
        <f t="shared" si="3"/>
        <v>0</v>
      </c>
      <c r="AT17" s="23"/>
      <c r="AU17" s="118">
        <f t="shared" si="4"/>
        <v>0</v>
      </c>
      <c r="AV17" s="23"/>
      <c r="AW17" s="118">
        <f t="shared" si="5"/>
        <v>0</v>
      </c>
      <c r="AX17" s="23"/>
      <c r="AY17" s="123">
        <f t="shared" si="6"/>
        <v>0</v>
      </c>
      <c r="AZ17" s="50"/>
      <c r="BA17" s="118">
        <f t="shared" si="7"/>
        <v>0</v>
      </c>
      <c r="BB17" s="50">
        <v>0</v>
      </c>
      <c r="BC17" s="118">
        <f t="shared" si="8"/>
        <v>0</v>
      </c>
      <c r="BD17" s="23"/>
      <c r="BE17" s="123">
        <f t="shared" si="9"/>
        <v>0</v>
      </c>
      <c r="BF17" s="50">
        <v>0</v>
      </c>
      <c r="BG17" s="118">
        <f t="shared" si="10"/>
        <v>0</v>
      </c>
      <c r="BH17" s="23">
        <v>0</v>
      </c>
      <c r="BI17" s="118">
        <f t="shared" si="11"/>
        <v>0</v>
      </c>
      <c r="BJ17" s="23"/>
      <c r="BK17" s="127"/>
    </row>
    <row r="18" spans="1:63">
      <c r="A18" s="112" t="s">
        <v>108</v>
      </c>
      <c r="B18" s="106"/>
      <c r="C18" s="66" t="s">
        <v>175</v>
      </c>
      <c r="D18" s="284"/>
      <c r="E18" s="136" t="s">
        <v>176</v>
      </c>
      <c r="F18" s="289">
        <v>600</v>
      </c>
      <c r="G18" s="64"/>
      <c r="H18" s="63"/>
      <c r="I18" s="63"/>
      <c r="J18" s="64"/>
      <c r="K18" s="63"/>
      <c r="L18" s="62"/>
      <c r="M18" s="61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59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87"/>
      <c r="AN18" s="22"/>
      <c r="AO18" s="117">
        <f t="shared" si="1"/>
        <v>0</v>
      </c>
      <c r="AP18" s="22"/>
      <c r="AQ18" s="117">
        <f t="shared" si="2"/>
        <v>0</v>
      </c>
      <c r="AR18" s="22"/>
      <c r="AS18" s="122">
        <f t="shared" si="3"/>
        <v>0</v>
      </c>
      <c r="AT18" s="22"/>
      <c r="AU18" s="117">
        <f t="shared" si="4"/>
        <v>0</v>
      </c>
      <c r="AV18" s="22"/>
      <c r="AW18" s="117">
        <f t="shared" si="5"/>
        <v>0</v>
      </c>
      <c r="AX18" s="22"/>
      <c r="AY18" s="122">
        <f t="shared" si="6"/>
        <v>0</v>
      </c>
      <c r="AZ18" s="79"/>
      <c r="BA18" s="117">
        <f t="shared" si="7"/>
        <v>0</v>
      </c>
      <c r="BB18" s="79"/>
      <c r="BC18" s="117">
        <f t="shared" si="8"/>
        <v>0</v>
      </c>
      <c r="BD18" s="22"/>
      <c r="BE18" s="122">
        <f t="shared" si="9"/>
        <v>0</v>
      </c>
      <c r="BF18" s="79">
        <v>0</v>
      </c>
      <c r="BG18" s="117">
        <f t="shared" si="10"/>
        <v>0</v>
      </c>
      <c r="BH18" s="22">
        <v>0</v>
      </c>
      <c r="BI18" s="117">
        <f t="shared" si="11"/>
        <v>0</v>
      </c>
      <c r="BJ18" s="22"/>
      <c r="BK18" s="126">
        <f t="shared" si="12"/>
        <v>0</v>
      </c>
    </row>
    <row r="19" spans="1:63">
      <c r="A19" s="112" t="s">
        <v>108</v>
      </c>
      <c r="B19" s="106"/>
      <c r="C19" s="66" t="s">
        <v>175</v>
      </c>
      <c r="D19" s="284"/>
      <c r="E19" s="136" t="s">
        <v>176</v>
      </c>
      <c r="F19" s="289"/>
      <c r="G19" s="72"/>
      <c r="H19" s="75"/>
      <c r="I19" s="75"/>
      <c r="J19" s="72"/>
      <c r="K19" s="75"/>
      <c r="L19" s="74"/>
      <c r="M19" s="52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49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92"/>
      <c r="AN19" s="23"/>
      <c r="AO19" s="118">
        <f t="shared" si="1"/>
        <v>0</v>
      </c>
      <c r="AP19" s="23"/>
      <c r="AQ19" s="118">
        <f t="shared" si="2"/>
        <v>0</v>
      </c>
      <c r="AR19" s="23"/>
      <c r="AS19" s="123">
        <f t="shared" si="3"/>
        <v>0</v>
      </c>
      <c r="AT19" s="23"/>
      <c r="AU19" s="118">
        <f t="shared" si="4"/>
        <v>0</v>
      </c>
      <c r="AV19" s="23"/>
      <c r="AW19" s="118">
        <f t="shared" si="5"/>
        <v>0</v>
      </c>
      <c r="AX19" s="23"/>
      <c r="AY19" s="123">
        <f t="shared" si="6"/>
        <v>0</v>
      </c>
      <c r="AZ19" s="50"/>
      <c r="BA19" s="118">
        <f t="shared" si="7"/>
        <v>0</v>
      </c>
      <c r="BB19" s="50"/>
      <c r="BC19" s="118">
        <f t="shared" si="8"/>
        <v>0</v>
      </c>
      <c r="BD19" s="23"/>
      <c r="BE19" s="123">
        <f t="shared" si="9"/>
        <v>0</v>
      </c>
      <c r="BF19" s="50">
        <v>0</v>
      </c>
      <c r="BG19" s="118">
        <f t="shared" si="10"/>
        <v>0</v>
      </c>
      <c r="BH19" s="23">
        <v>0</v>
      </c>
      <c r="BI19" s="118">
        <f t="shared" si="11"/>
        <v>0</v>
      </c>
      <c r="BJ19" s="23"/>
      <c r="BK19" s="127">
        <f t="shared" si="12"/>
        <v>0</v>
      </c>
    </row>
    <row r="20" spans="1:63">
      <c r="A20" s="112" t="s">
        <v>108</v>
      </c>
      <c r="B20" s="106" t="s">
        <v>194</v>
      </c>
      <c r="C20" s="66" t="s">
        <v>175</v>
      </c>
      <c r="D20" s="284"/>
      <c r="E20" s="136" t="s">
        <v>176</v>
      </c>
      <c r="F20" s="289">
        <v>800</v>
      </c>
      <c r="G20" s="64" t="s">
        <v>178</v>
      </c>
      <c r="H20" s="63" t="s">
        <v>205</v>
      </c>
      <c r="I20" s="63" t="s">
        <v>196</v>
      </c>
      <c r="J20" s="64" t="s">
        <v>191</v>
      </c>
      <c r="K20" s="63" t="s">
        <v>206</v>
      </c>
      <c r="L20" s="62" t="s">
        <v>185</v>
      </c>
      <c r="M20" s="61" t="s">
        <v>183</v>
      </c>
      <c r="N20" s="60">
        <v>8.1199999999999992</v>
      </c>
      <c r="O20" s="60">
        <v>8.1199999999999992</v>
      </c>
      <c r="P20" s="60">
        <v>8.1199999999999992</v>
      </c>
      <c r="Q20" s="60">
        <v>8.1199999999999992</v>
      </c>
      <c r="R20" s="60">
        <v>8.1199999999999992</v>
      </c>
      <c r="S20" s="60">
        <v>8.1199999999999992</v>
      </c>
      <c r="T20" s="60">
        <v>8.1199999999999992</v>
      </c>
      <c r="U20" s="60">
        <v>8.1199999999999992</v>
      </c>
      <c r="V20" s="60">
        <v>8.1199999999999992</v>
      </c>
      <c r="W20" s="60">
        <v>8.1199999999999992</v>
      </c>
      <c r="X20" s="60">
        <v>8.1199999999999992</v>
      </c>
      <c r="Y20" s="60">
        <v>8.1199999999999992</v>
      </c>
      <c r="Z20" s="60">
        <v>8.1199999999999992</v>
      </c>
      <c r="AA20" s="59">
        <v>0</v>
      </c>
      <c r="AB20" s="10">
        <v>0.2</v>
      </c>
      <c r="AC20" s="10">
        <v>0.2</v>
      </c>
      <c r="AD20" s="10">
        <v>0.2</v>
      </c>
      <c r="AE20" s="10">
        <v>0.26</v>
      </c>
      <c r="AF20" s="10">
        <v>0.26</v>
      </c>
      <c r="AG20" s="10">
        <v>0.26</v>
      </c>
      <c r="AH20" s="10">
        <v>0.26</v>
      </c>
      <c r="AI20" s="10">
        <v>0.26</v>
      </c>
      <c r="AJ20" s="10">
        <v>0.26</v>
      </c>
      <c r="AK20" s="10">
        <v>0.26</v>
      </c>
      <c r="AL20" s="10">
        <v>0.26</v>
      </c>
      <c r="AM20" s="81">
        <v>0.26</v>
      </c>
      <c r="AN20" s="5">
        <v>21400</v>
      </c>
      <c r="AO20" s="117">
        <f t="shared" si="1"/>
        <v>4280</v>
      </c>
      <c r="AP20" s="5">
        <v>68700</v>
      </c>
      <c r="AQ20" s="117">
        <f t="shared" si="2"/>
        <v>13740</v>
      </c>
      <c r="AR20" s="5">
        <v>47920</v>
      </c>
      <c r="AS20" s="122">
        <f t="shared" si="3"/>
        <v>9584</v>
      </c>
      <c r="AT20" s="5">
        <v>92510</v>
      </c>
      <c r="AU20" s="117">
        <f t="shared" si="4"/>
        <v>24052.600000000002</v>
      </c>
      <c r="AV20" s="5">
        <v>89506</v>
      </c>
      <c r="AW20" s="117">
        <f t="shared" si="5"/>
        <v>23271.56</v>
      </c>
      <c r="AX20" s="5">
        <v>70000</v>
      </c>
      <c r="AY20" s="122">
        <f t="shared" si="6"/>
        <v>18200</v>
      </c>
      <c r="AZ20" s="105">
        <v>95800</v>
      </c>
      <c r="BA20" s="117">
        <f t="shared" si="7"/>
        <v>24908</v>
      </c>
      <c r="BB20" s="105">
        <v>70000</v>
      </c>
      <c r="BC20" s="117">
        <f t="shared" si="8"/>
        <v>18200</v>
      </c>
      <c r="BD20" s="5">
        <v>71304</v>
      </c>
      <c r="BE20" s="122">
        <f t="shared" si="9"/>
        <v>18539.04</v>
      </c>
      <c r="BF20" s="105">
        <v>128477</v>
      </c>
      <c r="BG20" s="117">
        <f t="shared" si="10"/>
        <v>33404.020000000004</v>
      </c>
      <c r="BH20" s="5">
        <v>41500</v>
      </c>
      <c r="BI20" s="117">
        <f t="shared" si="11"/>
        <v>10790</v>
      </c>
      <c r="BJ20" s="5">
        <v>102910</v>
      </c>
      <c r="BK20" s="126">
        <f t="shared" si="12"/>
        <v>26756.600000000002</v>
      </c>
    </row>
    <row r="21" spans="1:63">
      <c r="A21" s="112" t="s">
        <v>108</v>
      </c>
      <c r="B21" s="106" t="s">
        <v>194</v>
      </c>
      <c r="C21" s="66" t="s">
        <v>175</v>
      </c>
      <c r="D21" s="284"/>
      <c r="E21" s="136" t="s">
        <v>176</v>
      </c>
      <c r="F21" s="290"/>
      <c r="G21" s="71" t="s">
        <v>202</v>
      </c>
      <c r="H21" s="70" t="s">
        <v>207</v>
      </c>
      <c r="I21" s="70" t="s">
        <v>196</v>
      </c>
      <c r="J21" s="71" t="s">
        <v>191</v>
      </c>
      <c r="K21" s="70" t="s">
        <v>206</v>
      </c>
      <c r="L21" s="69" t="s">
        <v>185</v>
      </c>
      <c r="M21" s="68" t="s">
        <v>186</v>
      </c>
      <c r="N21" s="67">
        <v>8.1199999999999992</v>
      </c>
      <c r="O21" s="67">
        <v>8.1199999999999992</v>
      </c>
      <c r="P21" s="67">
        <v>8.1199999999999992</v>
      </c>
      <c r="Q21" s="67">
        <v>8.1199999999999992</v>
      </c>
      <c r="R21" s="67">
        <v>8.1199999999999992</v>
      </c>
      <c r="S21" s="67">
        <v>8.1199999999999992</v>
      </c>
      <c r="T21" s="67">
        <v>8.1199999999999992</v>
      </c>
      <c r="U21" s="67">
        <v>8.1199999999999992</v>
      </c>
      <c r="V21" s="67">
        <v>8.1199999999999992</v>
      </c>
      <c r="W21" s="67">
        <v>8.1199999999999992</v>
      </c>
      <c r="X21" s="67">
        <v>8.1199999999999992</v>
      </c>
      <c r="Y21" s="67">
        <v>8.1199999999999992</v>
      </c>
      <c r="Z21" s="67">
        <v>8.1199999999999992</v>
      </c>
      <c r="AA21" s="58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0.26</v>
      </c>
      <c r="AG21" s="10">
        <v>0.26</v>
      </c>
      <c r="AH21" s="10">
        <v>0.26</v>
      </c>
      <c r="AI21" s="10">
        <v>0.26</v>
      </c>
      <c r="AJ21" s="10">
        <v>0.26</v>
      </c>
      <c r="AK21" s="10">
        <v>0.26</v>
      </c>
      <c r="AL21" s="10">
        <v>0.26</v>
      </c>
      <c r="AM21" s="81">
        <v>0.26</v>
      </c>
      <c r="AN21" s="5">
        <v>0</v>
      </c>
      <c r="AO21" s="118">
        <f t="shared" si="1"/>
        <v>0</v>
      </c>
      <c r="AP21" s="5">
        <v>0</v>
      </c>
      <c r="AQ21" s="118">
        <f t="shared" si="2"/>
        <v>0</v>
      </c>
      <c r="AR21" s="5">
        <v>0</v>
      </c>
      <c r="AS21" s="123">
        <f t="shared" si="3"/>
        <v>0</v>
      </c>
      <c r="AT21" s="5">
        <v>0</v>
      </c>
      <c r="AU21" s="118">
        <f t="shared" si="4"/>
        <v>0</v>
      </c>
      <c r="AV21" s="5">
        <v>3645</v>
      </c>
      <c r="AW21" s="118">
        <f t="shared" si="5"/>
        <v>947.7</v>
      </c>
      <c r="AX21" s="5">
        <v>3839</v>
      </c>
      <c r="AY21" s="123">
        <f t="shared" si="6"/>
        <v>998.14</v>
      </c>
      <c r="AZ21" s="105">
        <v>16200</v>
      </c>
      <c r="BA21" s="118">
        <f t="shared" si="7"/>
        <v>4212</v>
      </c>
      <c r="BB21" s="105">
        <v>80301</v>
      </c>
      <c r="BC21" s="118">
        <f t="shared" si="8"/>
        <v>20878.260000000002</v>
      </c>
      <c r="BD21" s="5">
        <v>29861</v>
      </c>
      <c r="BE21" s="123">
        <f t="shared" si="9"/>
        <v>7763.8600000000006</v>
      </c>
      <c r="BF21" s="105">
        <v>83789</v>
      </c>
      <c r="BG21" s="118">
        <f t="shared" si="10"/>
        <v>21785.14</v>
      </c>
      <c r="BH21" s="5">
        <v>83899</v>
      </c>
      <c r="BI21" s="118">
        <f t="shared" si="11"/>
        <v>21813.74</v>
      </c>
      <c r="BJ21" s="5">
        <v>86040</v>
      </c>
      <c r="BK21" s="127">
        <f t="shared" si="12"/>
        <v>22370.400000000001</v>
      </c>
    </row>
    <row r="22" spans="1:63">
      <c r="A22" s="112" t="s">
        <v>108</v>
      </c>
      <c r="B22" s="106"/>
      <c r="C22" s="66" t="s">
        <v>175</v>
      </c>
      <c r="D22" s="284"/>
      <c r="E22" s="136" t="s">
        <v>176</v>
      </c>
      <c r="F22" s="290"/>
      <c r="G22" s="72"/>
      <c r="H22" s="75" t="s">
        <v>208</v>
      </c>
      <c r="I22" s="75"/>
      <c r="J22" s="72"/>
      <c r="K22" s="75" t="s">
        <v>208</v>
      </c>
      <c r="L22" s="74"/>
      <c r="M22" s="52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49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81"/>
      <c r="AO22" s="118">
        <f t="shared" si="1"/>
        <v>0</v>
      </c>
      <c r="AQ22" s="118">
        <f t="shared" si="2"/>
        <v>0</v>
      </c>
      <c r="AS22" s="123">
        <f t="shared" si="3"/>
        <v>0</v>
      </c>
      <c r="AT22" s="5"/>
      <c r="AU22" s="118">
        <f t="shared" si="4"/>
        <v>0</v>
      </c>
      <c r="AV22" s="5"/>
      <c r="AW22" s="118">
        <f t="shared" si="5"/>
        <v>0</v>
      </c>
      <c r="AX22" s="5"/>
      <c r="AY22" s="123">
        <f t="shared" si="6"/>
        <v>0</v>
      </c>
      <c r="AZ22" s="105"/>
      <c r="BA22" s="118">
        <f t="shared" si="7"/>
        <v>0</v>
      </c>
      <c r="BB22" s="105">
        <v>0</v>
      </c>
      <c r="BC22" s="118">
        <f t="shared" si="8"/>
        <v>0</v>
      </c>
      <c r="BD22" s="5">
        <v>0</v>
      </c>
      <c r="BE22" s="123">
        <f t="shared" si="9"/>
        <v>0</v>
      </c>
      <c r="BF22" s="105">
        <v>0</v>
      </c>
      <c r="BG22" s="118">
        <f t="shared" si="10"/>
        <v>0</v>
      </c>
      <c r="BH22" s="5">
        <v>0</v>
      </c>
      <c r="BI22" s="118">
        <f t="shared" si="11"/>
        <v>0</v>
      </c>
      <c r="BJ22" s="5"/>
      <c r="BK22" s="127">
        <f t="shared" si="12"/>
        <v>0</v>
      </c>
    </row>
    <row r="23" spans="1:63">
      <c r="A23" s="112" t="s">
        <v>108</v>
      </c>
      <c r="B23" s="106" t="s">
        <v>194</v>
      </c>
      <c r="C23" s="66" t="s">
        <v>175</v>
      </c>
      <c r="D23" s="284"/>
      <c r="E23" s="136" t="s">
        <v>176</v>
      </c>
      <c r="F23" s="292">
        <v>1000</v>
      </c>
      <c r="G23" s="64" t="s">
        <v>187</v>
      </c>
      <c r="H23" s="63" t="s">
        <v>209</v>
      </c>
      <c r="I23" s="63" t="s">
        <v>196</v>
      </c>
      <c r="J23" s="64" t="s">
        <v>191</v>
      </c>
      <c r="K23" s="63" t="s">
        <v>198</v>
      </c>
      <c r="L23" s="62" t="s">
        <v>210</v>
      </c>
      <c r="M23" s="61" t="s">
        <v>211</v>
      </c>
      <c r="N23" s="60">
        <v>6.94</v>
      </c>
      <c r="O23" s="60">
        <v>6.94</v>
      </c>
      <c r="P23" s="60">
        <v>6.94</v>
      </c>
      <c r="Q23" s="60">
        <v>6.94</v>
      </c>
      <c r="R23" s="60">
        <v>6.94</v>
      </c>
      <c r="S23" s="60">
        <v>6.94</v>
      </c>
      <c r="T23" s="60">
        <v>6.94</v>
      </c>
      <c r="U23" s="60">
        <v>6.94</v>
      </c>
      <c r="V23" s="60">
        <v>6.94</v>
      </c>
      <c r="W23" s="60">
        <v>6.94</v>
      </c>
      <c r="X23" s="60">
        <v>6.94</v>
      </c>
      <c r="Y23" s="60">
        <v>6.94</v>
      </c>
      <c r="Z23" s="60">
        <v>6.94</v>
      </c>
      <c r="AA23" s="59">
        <v>0.05</v>
      </c>
      <c r="AB23" s="78">
        <v>0.05</v>
      </c>
      <c r="AC23" s="78">
        <v>0.05</v>
      </c>
      <c r="AD23" s="78">
        <v>0.05</v>
      </c>
      <c r="AE23" s="78">
        <v>0.05</v>
      </c>
      <c r="AF23" s="78">
        <v>0.05</v>
      </c>
      <c r="AG23" s="78">
        <v>0.05</v>
      </c>
      <c r="AH23" s="78">
        <v>0.05</v>
      </c>
      <c r="AI23" s="78">
        <v>0.05</v>
      </c>
      <c r="AJ23" s="78">
        <v>0.05</v>
      </c>
      <c r="AK23" s="78">
        <v>0.05</v>
      </c>
      <c r="AL23" s="78">
        <v>0.05</v>
      </c>
      <c r="AM23" s="87">
        <v>0.05</v>
      </c>
      <c r="AN23" s="22">
        <v>9120</v>
      </c>
      <c r="AO23" s="117">
        <f t="shared" si="1"/>
        <v>456</v>
      </c>
      <c r="AP23" s="22">
        <v>1920</v>
      </c>
      <c r="AQ23" s="117">
        <f t="shared" si="2"/>
        <v>96</v>
      </c>
      <c r="AR23" s="22">
        <v>4200</v>
      </c>
      <c r="AS23" s="122">
        <f t="shared" si="3"/>
        <v>210</v>
      </c>
      <c r="AT23" s="22">
        <v>9600</v>
      </c>
      <c r="AU23" s="117">
        <f t="shared" si="4"/>
        <v>480</v>
      </c>
      <c r="AV23" s="22">
        <v>1920</v>
      </c>
      <c r="AW23" s="117">
        <f t="shared" si="5"/>
        <v>96</v>
      </c>
      <c r="AX23" s="22">
        <v>4440</v>
      </c>
      <c r="AY23" s="122">
        <f t="shared" si="6"/>
        <v>222</v>
      </c>
      <c r="AZ23" s="79">
        <v>0</v>
      </c>
      <c r="BA23" s="117">
        <f t="shared" si="7"/>
        <v>0</v>
      </c>
      <c r="BB23" s="79">
        <v>3120</v>
      </c>
      <c r="BC23" s="117">
        <f t="shared" si="8"/>
        <v>156</v>
      </c>
      <c r="BD23" s="22">
        <v>720</v>
      </c>
      <c r="BE23" s="122">
        <f t="shared" si="9"/>
        <v>36</v>
      </c>
      <c r="BF23" s="79">
        <v>0</v>
      </c>
      <c r="BG23" s="117">
        <f t="shared" si="10"/>
        <v>0</v>
      </c>
      <c r="BH23" s="22">
        <v>0</v>
      </c>
      <c r="BI23" s="117">
        <f t="shared" si="11"/>
        <v>0</v>
      </c>
      <c r="BJ23" s="22">
        <v>0</v>
      </c>
      <c r="BK23" s="126">
        <f t="shared" si="12"/>
        <v>0</v>
      </c>
    </row>
    <row r="24" spans="1:63">
      <c r="A24" s="112" t="s">
        <v>108</v>
      </c>
      <c r="B24" s="106" t="s">
        <v>194</v>
      </c>
      <c r="C24" s="66" t="s">
        <v>175</v>
      </c>
      <c r="D24" s="284"/>
      <c r="E24" s="136" t="s">
        <v>176</v>
      </c>
      <c r="F24" s="293"/>
      <c r="G24" s="71" t="s">
        <v>187</v>
      </c>
      <c r="H24" s="70" t="s">
        <v>209</v>
      </c>
      <c r="I24" s="70" t="s">
        <v>196</v>
      </c>
      <c r="J24" s="71" t="s">
        <v>212</v>
      </c>
      <c r="K24" s="70" t="s">
        <v>198</v>
      </c>
      <c r="L24" s="69" t="s">
        <v>213</v>
      </c>
      <c r="M24" s="68" t="s">
        <v>214</v>
      </c>
      <c r="N24" s="67">
        <v>6.69</v>
      </c>
      <c r="O24" s="67">
        <v>6.69</v>
      </c>
      <c r="P24" s="67">
        <v>6.69</v>
      </c>
      <c r="Q24" s="67">
        <v>6.69</v>
      </c>
      <c r="R24" s="67">
        <v>6.69</v>
      </c>
      <c r="S24" s="67">
        <v>6.69</v>
      </c>
      <c r="T24" s="67">
        <v>6.69</v>
      </c>
      <c r="U24" s="67">
        <v>6.69</v>
      </c>
      <c r="V24" s="67">
        <v>6.69</v>
      </c>
      <c r="W24" s="67">
        <v>6.69</v>
      </c>
      <c r="X24" s="67">
        <v>6.69</v>
      </c>
      <c r="Y24" s="67">
        <v>6.69</v>
      </c>
      <c r="Z24" s="67">
        <v>6.69</v>
      </c>
      <c r="AA24" s="58">
        <v>0.05</v>
      </c>
      <c r="AB24" s="10">
        <v>0.05</v>
      </c>
      <c r="AC24" s="10">
        <v>0.05</v>
      </c>
      <c r="AD24" s="10">
        <v>0.05</v>
      </c>
      <c r="AE24" s="10">
        <v>0.05</v>
      </c>
      <c r="AF24" s="10">
        <v>0.05</v>
      </c>
      <c r="AG24" s="10">
        <v>0.05</v>
      </c>
      <c r="AH24" s="10">
        <v>0.05</v>
      </c>
      <c r="AI24" s="10">
        <v>0.05</v>
      </c>
      <c r="AJ24" s="10">
        <v>0.05</v>
      </c>
      <c r="AK24" s="10">
        <v>0.05</v>
      </c>
      <c r="AL24" s="10">
        <v>0.05</v>
      </c>
      <c r="AM24" s="81">
        <v>0.05</v>
      </c>
      <c r="AN24" s="5">
        <v>11760</v>
      </c>
      <c r="AO24" s="118">
        <f t="shared" si="1"/>
        <v>588</v>
      </c>
      <c r="AP24" s="5">
        <v>0</v>
      </c>
      <c r="AQ24" s="118">
        <f t="shared" si="2"/>
        <v>0</v>
      </c>
      <c r="AR24" s="5">
        <v>10440</v>
      </c>
      <c r="AS24" s="123">
        <f t="shared" si="3"/>
        <v>522</v>
      </c>
      <c r="AT24" s="5">
        <v>0</v>
      </c>
      <c r="AU24" s="118">
        <f t="shared" si="4"/>
        <v>0</v>
      </c>
      <c r="AV24" s="5">
        <v>3600</v>
      </c>
      <c r="AW24" s="118">
        <f t="shared" si="5"/>
        <v>180</v>
      </c>
      <c r="AX24" s="5">
        <v>3000</v>
      </c>
      <c r="AY24" s="123">
        <f t="shared" si="6"/>
        <v>150</v>
      </c>
      <c r="AZ24" s="105">
        <v>0</v>
      </c>
      <c r="BA24" s="118">
        <f t="shared" si="7"/>
        <v>0</v>
      </c>
      <c r="BB24" s="105">
        <v>0</v>
      </c>
      <c r="BC24" s="118">
        <f t="shared" si="8"/>
        <v>0</v>
      </c>
      <c r="BD24" s="5">
        <v>720</v>
      </c>
      <c r="BE24" s="123">
        <f t="shared" si="9"/>
        <v>36</v>
      </c>
      <c r="BF24" s="105">
        <v>0</v>
      </c>
      <c r="BG24" s="118">
        <f t="shared" si="10"/>
        <v>0</v>
      </c>
      <c r="BH24" s="5">
        <v>0</v>
      </c>
      <c r="BI24" s="118">
        <f t="shared" si="11"/>
        <v>0</v>
      </c>
      <c r="BJ24" s="5">
        <v>0</v>
      </c>
      <c r="BK24" s="127">
        <f t="shared" si="12"/>
        <v>0</v>
      </c>
    </row>
    <row r="25" spans="1:63">
      <c r="A25" s="112" t="s">
        <v>108</v>
      </c>
      <c r="B25" s="106" t="s">
        <v>194</v>
      </c>
      <c r="C25" s="66" t="s">
        <v>175</v>
      </c>
      <c r="D25" s="284"/>
      <c r="E25" s="136" t="s">
        <v>176</v>
      </c>
      <c r="F25" s="293"/>
      <c r="G25" s="71" t="s">
        <v>215</v>
      </c>
      <c r="H25" s="70" t="s">
        <v>216</v>
      </c>
      <c r="I25" s="70" t="s">
        <v>196</v>
      </c>
      <c r="J25" s="71" t="s">
        <v>212</v>
      </c>
      <c r="K25" s="70" t="s">
        <v>217</v>
      </c>
      <c r="L25" s="69" t="s">
        <v>185</v>
      </c>
      <c r="M25" s="68" t="s">
        <v>186</v>
      </c>
      <c r="N25" s="67">
        <v>6.52</v>
      </c>
      <c r="O25" s="67">
        <v>6.52</v>
      </c>
      <c r="P25" s="67">
        <v>6.52</v>
      </c>
      <c r="Q25" s="67">
        <v>6.52</v>
      </c>
      <c r="R25" s="67">
        <v>6.52</v>
      </c>
      <c r="S25" s="67">
        <v>6.52</v>
      </c>
      <c r="T25" s="67">
        <v>6.52</v>
      </c>
      <c r="U25" s="67">
        <v>6.52</v>
      </c>
      <c r="V25" s="67">
        <v>6.52</v>
      </c>
      <c r="W25" s="67">
        <v>6.52</v>
      </c>
      <c r="X25" s="67">
        <v>6.52</v>
      </c>
      <c r="Y25" s="67">
        <v>6.52</v>
      </c>
      <c r="Z25" s="67">
        <v>6.52</v>
      </c>
      <c r="AA25" s="58">
        <v>0.1</v>
      </c>
      <c r="AB25" s="10">
        <v>0.1</v>
      </c>
      <c r="AC25" s="10">
        <v>0.1</v>
      </c>
      <c r="AD25" s="10">
        <v>0.1</v>
      </c>
      <c r="AE25" s="10">
        <v>0.1</v>
      </c>
      <c r="AF25" s="10">
        <v>0.1</v>
      </c>
      <c r="AG25" s="10">
        <v>0.1</v>
      </c>
      <c r="AH25" s="10">
        <v>0.1</v>
      </c>
      <c r="AI25" s="10">
        <v>0.1</v>
      </c>
      <c r="AJ25" s="10">
        <v>0.1</v>
      </c>
      <c r="AK25" s="10">
        <v>0.1</v>
      </c>
      <c r="AL25" s="10">
        <v>0.1</v>
      </c>
      <c r="AM25" s="81">
        <v>0.1</v>
      </c>
      <c r="AN25" s="5">
        <v>8040</v>
      </c>
      <c r="AO25" s="118">
        <f t="shared" si="1"/>
        <v>804</v>
      </c>
      <c r="AP25" s="5">
        <v>4800</v>
      </c>
      <c r="AQ25" s="118">
        <f t="shared" si="2"/>
        <v>480</v>
      </c>
      <c r="AR25" s="5">
        <f>960+60+8400</f>
        <v>9420</v>
      </c>
      <c r="AS25" s="123">
        <f t="shared" si="3"/>
        <v>942</v>
      </c>
      <c r="AT25" s="5">
        <v>5040</v>
      </c>
      <c r="AU25" s="118">
        <f t="shared" si="4"/>
        <v>504</v>
      </c>
      <c r="AV25" s="5">
        <v>0</v>
      </c>
      <c r="AW25" s="118">
        <f t="shared" si="5"/>
        <v>0</v>
      </c>
      <c r="AX25" s="5">
        <v>720</v>
      </c>
      <c r="AY25" s="123">
        <f t="shared" si="6"/>
        <v>72</v>
      </c>
      <c r="AZ25" s="5">
        <v>0</v>
      </c>
      <c r="BA25" s="118">
        <f t="shared" si="7"/>
        <v>0</v>
      </c>
      <c r="BB25" s="5">
        <v>480</v>
      </c>
      <c r="BC25" s="118">
        <f t="shared" si="8"/>
        <v>48</v>
      </c>
      <c r="BD25" s="5">
        <v>240</v>
      </c>
      <c r="BE25" s="123">
        <f t="shared" si="9"/>
        <v>24</v>
      </c>
      <c r="BF25" s="105">
        <v>0</v>
      </c>
      <c r="BG25" s="118">
        <f t="shared" si="10"/>
        <v>0</v>
      </c>
      <c r="BH25" s="5">
        <v>0</v>
      </c>
      <c r="BI25" s="118">
        <f t="shared" si="11"/>
        <v>0</v>
      </c>
      <c r="BJ25" s="5">
        <v>0</v>
      </c>
      <c r="BK25" s="127">
        <f t="shared" si="12"/>
        <v>0</v>
      </c>
    </row>
    <row r="26" spans="1:63">
      <c r="A26" s="112" t="s">
        <v>108</v>
      </c>
      <c r="B26" s="106" t="s">
        <v>194</v>
      </c>
      <c r="C26" s="66" t="s">
        <v>175</v>
      </c>
      <c r="D26" s="284"/>
      <c r="E26" s="136" t="s">
        <v>176</v>
      </c>
      <c r="F26" s="293"/>
      <c r="G26" s="71" t="s">
        <v>187</v>
      </c>
      <c r="H26" s="70" t="s">
        <v>218</v>
      </c>
      <c r="I26" s="70" t="s">
        <v>196</v>
      </c>
      <c r="J26" s="71" t="s">
        <v>212</v>
      </c>
      <c r="K26" s="70" t="s">
        <v>219</v>
      </c>
      <c r="L26" s="69" t="s">
        <v>185</v>
      </c>
      <c r="M26" s="68" t="s">
        <v>186</v>
      </c>
      <c r="N26" s="67">
        <v>6.53</v>
      </c>
      <c r="O26" s="67">
        <v>6.53</v>
      </c>
      <c r="P26" s="67">
        <v>6.53</v>
      </c>
      <c r="Q26" s="67">
        <v>6.53</v>
      </c>
      <c r="R26" s="67">
        <v>6.53</v>
      </c>
      <c r="S26" s="67">
        <v>6.53</v>
      </c>
      <c r="T26" s="67">
        <v>6.53</v>
      </c>
      <c r="U26" s="67">
        <v>6.53</v>
      </c>
      <c r="V26" s="67">
        <v>6.53</v>
      </c>
      <c r="W26" s="67">
        <v>6.53</v>
      </c>
      <c r="X26" s="67">
        <v>6.53</v>
      </c>
      <c r="Y26" s="67">
        <v>6.53</v>
      </c>
      <c r="Z26" s="67">
        <v>6.53</v>
      </c>
      <c r="AA26" s="58">
        <v>0.1</v>
      </c>
      <c r="AB26" s="10">
        <v>0.1</v>
      </c>
      <c r="AC26" s="10">
        <v>0.1</v>
      </c>
      <c r="AD26" s="10">
        <v>0.1</v>
      </c>
      <c r="AE26" s="10">
        <v>0.1</v>
      </c>
      <c r="AF26" s="10">
        <v>0.1</v>
      </c>
      <c r="AG26" s="10">
        <v>0.1</v>
      </c>
      <c r="AH26" s="10">
        <v>0.1</v>
      </c>
      <c r="AI26" s="10">
        <v>0.1</v>
      </c>
      <c r="AJ26" s="10">
        <v>0.1</v>
      </c>
      <c r="AK26" s="10">
        <v>0.1</v>
      </c>
      <c r="AL26" s="10">
        <v>0.1</v>
      </c>
      <c r="AM26" s="81">
        <v>0.1</v>
      </c>
      <c r="AN26" s="5">
        <v>0</v>
      </c>
      <c r="AO26" s="118">
        <f t="shared" si="1"/>
        <v>0</v>
      </c>
      <c r="AP26" s="5">
        <v>120</v>
      </c>
      <c r="AQ26" s="118">
        <f t="shared" si="2"/>
        <v>12</v>
      </c>
      <c r="AR26" s="5">
        <v>0</v>
      </c>
      <c r="AS26" s="123">
        <f t="shared" si="3"/>
        <v>0</v>
      </c>
      <c r="AT26" s="5">
        <v>0</v>
      </c>
      <c r="AU26" s="118">
        <f t="shared" si="4"/>
        <v>0</v>
      </c>
      <c r="AV26" s="5">
        <v>0</v>
      </c>
      <c r="AW26" s="118">
        <f t="shared" si="5"/>
        <v>0</v>
      </c>
      <c r="AX26" s="5"/>
      <c r="AY26" s="123">
        <f t="shared" si="6"/>
        <v>0</v>
      </c>
      <c r="AZ26" s="5">
        <v>0</v>
      </c>
      <c r="BA26" s="118">
        <f t="shared" si="7"/>
        <v>0</v>
      </c>
      <c r="BB26" s="5">
        <v>0</v>
      </c>
      <c r="BC26" s="118">
        <f t="shared" si="8"/>
        <v>0</v>
      </c>
      <c r="BD26" s="5">
        <v>0</v>
      </c>
      <c r="BE26" s="123">
        <f t="shared" si="9"/>
        <v>0</v>
      </c>
      <c r="BF26" s="105">
        <v>0</v>
      </c>
      <c r="BG26" s="118">
        <f t="shared" si="10"/>
        <v>0</v>
      </c>
      <c r="BH26" s="5">
        <v>0</v>
      </c>
      <c r="BI26" s="118">
        <f t="shared" si="11"/>
        <v>0</v>
      </c>
      <c r="BJ26" s="5">
        <v>0</v>
      </c>
      <c r="BK26" s="127">
        <f t="shared" si="12"/>
        <v>0</v>
      </c>
    </row>
    <row r="27" spans="1:63">
      <c r="A27" s="112" t="s">
        <v>108</v>
      </c>
      <c r="B27" s="106" t="s">
        <v>194</v>
      </c>
      <c r="C27" s="66" t="s">
        <v>175</v>
      </c>
      <c r="D27" s="284"/>
      <c r="E27" s="136" t="s">
        <v>176</v>
      </c>
      <c r="F27" s="293"/>
      <c r="G27" s="71" t="s">
        <v>178</v>
      </c>
      <c r="H27" s="70" t="s">
        <v>220</v>
      </c>
      <c r="I27" s="70" t="s">
        <v>196</v>
      </c>
      <c r="J27" s="71" t="s">
        <v>212</v>
      </c>
      <c r="K27" s="70" t="s">
        <v>221</v>
      </c>
      <c r="L27" s="69" t="s">
        <v>185</v>
      </c>
      <c r="M27" s="68" t="s">
        <v>186</v>
      </c>
      <c r="N27" s="67">
        <v>8.18</v>
      </c>
      <c r="O27" s="67">
        <v>8.18</v>
      </c>
      <c r="P27" s="67">
        <v>8.18</v>
      </c>
      <c r="Q27" s="67">
        <v>8.18</v>
      </c>
      <c r="R27" s="67">
        <v>8.18</v>
      </c>
      <c r="S27" s="67">
        <v>8.18</v>
      </c>
      <c r="T27" s="67">
        <v>8.18</v>
      </c>
      <c r="U27" s="67">
        <v>8.18</v>
      </c>
      <c r="V27" s="67">
        <v>8.18</v>
      </c>
      <c r="W27" s="67">
        <v>8.18</v>
      </c>
      <c r="X27" s="67">
        <v>8.18</v>
      </c>
      <c r="Y27" s="67">
        <v>8.18</v>
      </c>
      <c r="Z27" s="67">
        <v>8.18</v>
      </c>
      <c r="AA27" s="58">
        <v>0</v>
      </c>
      <c r="AB27" s="10">
        <v>0.25</v>
      </c>
      <c r="AC27" s="10">
        <v>0.25</v>
      </c>
      <c r="AD27" s="10">
        <v>0.25</v>
      </c>
      <c r="AE27" s="10">
        <v>0.31</v>
      </c>
      <c r="AF27" s="10">
        <v>0.31</v>
      </c>
      <c r="AG27" s="10">
        <v>0.31</v>
      </c>
      <c r="AH27" s="10">
        <v>0.31</v>
      </c>
      <c r="AI27" s="10">
        <v>0.31</v>
      </c>
      <c r="AJ27" s="10">
        <v>0.31</v>
      </c>
      <c r="AK27" s="10">
        <v>0.31</v>
      </c>
      <c r="AL27" s="10">
        <v>0.31</v>
      </c>
      <c r="AM27" s="81">
        <v>0.31</v>
      </c>
      <c r="AN27" s="5">
        <v>6908</v>
      </c>
      <c r="AO27" s="118">
        <f t="shared" si="1"/>
        <v>1727</v>
      </c>
      <c r="AP27" s="5">
        <v>4800</v>
      </c>
      <c r="AQ27" s="118">
        <f t="shared" si="2"/>
        <v>1200</v>
      </c>
      <c r="AR27" s="5">
        <v>10600</v>
      </c>
      <c r="AS27" s="123">
        <f t="shared" si="3"/>
        <v>2650</v>
      </c>
      <c r="AT27" s="5">
        <v>7200</v>
      </c>
      <c r="AU27" s="118">
        <f t="shared" si="4"/>
        <v>2232</v>
      </c>
      <c r="AV27" s="5">
        <v>9393</v>
      </c>
      <c r="AW27" s="118">
        <f t="shared" si="5"/>
        <v>2911.83</v>
      </c>
      <c r="AX27" s="5">
        <v>3096</v>
      </c>
      <c r="AY27" s="123">
        <f t="shared" si="6"/>
        <v>959.76</v>
      </c>
      <c r="AZ27" s="105">
        <v>10800</v>
      </c>
      <c r="BA27" s="118">
        <f t="shared" si="7"/>
        <v>3348</v>
      </c>
      <c r="BB27" s="105">
        <v>9800</v>
      </c>
      <c r="BC27" s="118">
        <f t="shared" si="8"/>
        <v>3038</v>
      </c>
      <c r="BD27" s="5">
        <v>13324</v>
      </c>
      <c r="BE27" s="123">
        <f t="shared" si="9"/>
        <v>4130.4399999999996</v>
      </c>
      <c r="BF27" s="105">
        <v>13416</v>
      </c>
      <c r="BG27" s="118">
        <f t="shared" si="10"/>
        <v>4158.96</v>
      </c>
      <c r="BH27" s="5">
        <v>25400</v>
      </c>
      <c r="BI27" s="118">
        <f t="shared" si="11"/>
        <v>7874</v>
      </c>
      <c r="BJ27" s="5">
        <v>12184</v>
      </c>
      <c r="BK27" s="127">
        <f t="shared" si="12"/>
        <v>3777.04</v>
      </c>
    </row>
    <row r="28" spans="1:63">
      <c r="A28" s="112" t="s">
        <v>108</v>
      </c>
      <c r="B28" s="106"/>
      <c r="C28" s="66" t="s">
        <v>175</v>
      </c>
      <c r="D28" s="284"/>
      <c r="E28" s="136" t="s">
        <v>176</v>
      </c>
      <c r="F28" s="290"/>
      <c r="G28" s="72"/>
      <c r="H28" s="75" t="s">
        <v>208</v>
      </c>
      <c r="I28" s="75"/>
      <c r="J28" s="72"/>
      <c r="K28" s="75" t="s">
        <v>208</v>
      </c>
      <c r="L28" s="74"/>
      <c r="M28" s="52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49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49"/>
      <c r="AN28" s="23"/>
      <c r="AO28" s="118">
        <f t="shared" si="1"/>
        <v>0</v>
      </c>
      <c r="AP28" s="23"/>
      <c r="AQ28" s="118">
        <f t="shared" si="2"/>
        <v>0</v>
      </c>
      <c r="AR28" s="23"/>
      <c r="AS28" s="123">
        <f t="shared" si="3"/>
        <v>0</v>
      </c>
      <c r="AT28" s="23"/>
      <c r="AU28" s="118">
        <f t="shared" si="4"/>
        <v>0</v>
      </c>
      <c r="AV28" s="23"/>
      <c r="AW28" s="118">
        <f t="shared" si="5"/>
        <v>0</v>
      </c>
      <c r="AX28" s="23"/>
      <c r="AY28" s="123">
        <f t="shared" si="6"/>
        <v>0</v>
      </c>
      <c r="AZ28" s="50"/>
      <c r="BA28" s="118">
        <f t="shared" si="7"/>
        <v>0</v>
      </c>
      <c r="BB28" s="50">
        <v>0</v>
      </c>
      <c r="BC28" s="118">
        <f t="shared" si="8"/>
        <v>0</v>
      </c>
      <c r="BD28" s="23">
        <v>0</v>
      </c>
      <c r="BE28" s="123">
        <f t="shared" si="9"/>
        <v>0</v>
      </c>
      <c r="BF28" s="50">
        <v>0</v>
      </c>
      <c r="BG28" s="118">
        <f t="shared" si="10"/>
        <v>0</v>
      </c>
      <c r="BH28" s="23">
        <v>0</v>
      </c>
      <c r="BI28" s="118">
        <f t="shared" si="11"/>
        <v>0</v>
      </c>
      <c r="BJ28" s="23">
        <v>0</v>
      </c>
      <c r="BK28" s="127">
        <f t="shared" si="12"/>
        <v>0</v>
      </c>
    </row>
    <row r="29" spans="1:63">
      <c r="A29" s="112" t="s">
        <v>108</v>
      </c>
      <c r="B29" s="106" t="s">
        <v>194</v>
      </c>
      <c r="C29" s="66" t="s">
        <v>175</v>
      </c>
      <c r="D29" s="284"/>
      <c r="E29" s="136" t="s">
        <v>176</v>
      </c>
      <c r="F29" s="291" t="s">
        <v>222</v>
      </c>
      <c r="G29" s="64" t="s">
        <v>187</v>
      </c>
      <c r="H29" s="63" t="s">
        <v>223</v>
      </c>
      <c r="I29" s="63" t="s">
        <v>196</v>
      </c>
      <c r="J29" s="64" t="s">
        <v>212</v>
      </c>
      <c r="K29" s="63" t="s">
        <v>198</v>
      </c>
      <c r="L29" s="62" t="s">
        <v>185</v>
      </c>
      <c r="M29" s="61" t="s">
        <v>186</v>
      </c>
      <c r="N29" s="60">
        <v>6.69</v>
      </c>
      <c r="O29" s="60">
        <v>6.69</v>
      </c>
      <c r="P29" s="60">
        <v>6.69</v>
      </c>
      <c r="Q29" s="60">
        <v>6.69</v>
      </c>
      <c r="R29" s="60">
        <v>6.69</v>
      </c>
      <c r="S29" s="60">
        <v>6.69</v>
      </c>
      <c r="T29" s="60">
        <v>6.69</v>
      </c>
      <c r="U29" s="60">
        <v>6.69</v>
      </c>
      <c r="V29" s="60">
        <v>6.69</v>
      </c>
      <c r="W29" s="60">
        <v>6.69</v>
      </c>
      <c r="X29" s="60">
        <v>6.69</v>
      </c>
      <c r="Y29" s="60">
        <v>6.69</v>
      </c>
      <c r="Z29" s="60">
        <v>6.69</v>
      </c>
      <c r="AA29" s="59">
        <v>0.1</v>
      </c>
      <c r="AB29" s="78">
        <v>0.1</v>
      </c>
      <c r="AC29" s="78">
        <v>0.1</v>
      </c>
      <c r="AD29" s="78">
        <v>0.1</v>
      </c>
      <c r="AE29" s="78">
        <v>0.1</v>
      </c>
      <c r="AF29" s="78">
        <v>0.1</v>
      </c>
      <c r="AG29" s="78">
        <v>0.1</v>
      </c>
      <c r="AH29" s="78">
        <v>0.1</v>
      </c>
      <c r="AI29" s="78">
        <v>0.1</v>
      </c>
      <c r="AJ29" s="78">
        <v>0.1</v>
      </c>
      <c r="AK29" s="78">
        <v>0.1</v>
      </c>
      <c r="AL29" s="78">
        <v>0.1</v>
      </c>
      <c r="AM29" s="87">
        <v>0.1</v>
      </c>
      <c r="AN29" s="22">
        <v>3600</v>
      </c>
      <c r="AO29" s="117">
        <f t="shared" si="1"/>
        <v>360</v>
      </c>
      <c r="AP29" s="22">
        <v>3960</v>
      </c>
      <c r="AQ29" s="117">
        <f t="shared" si="2"/>
        <v>396</v>
      </c>
      <c r="AR29" s="22">
        <v>8400</v>
      </c>
      <c r="AS29" s="122">
        <f t="shared" si="3"/>
        <v>840</v>
      </c>
      <c r="AT29" s="22">
        <v>10212</v>
      </c>
      <c r="AU29" s="117">
        <f t="shared" si="4"/>
        <v>1021.2</v>
      </c>
      <c r="AV29" s="22">
        <v>9791</v>
      </c>
      <c r="AW29" s="117">
        <f t="shared" si="5"/>
        <v>979.1</v>
      </c>
      <c r="AX29" s="22">
        <v>1494</v>
      </c>
      <c r="AY29" s="122">
        <f t="shared" si="6"/>
        <v>149.4</v>
      </c>
      <c r="AZ29" s="79">
        <v>13083</v>
      </c>
      <c r="BA29" s="117">
        <f t="shared" si="7"/>
        <v>1308.3000000000002</v>
      </c>
      <c r="BB29" s="79">
        <v>3488</v>
      </c>
      <c r="BC29" s="117">
        <f t="shared" si="8"/>
        <v>348.8</v>
      </c>
      <c r="BD29" s="22">
        <v>3293</v>
      </c>
      <c r="BE29" s="122">
        <f t="shared" si="9"/>
        <v>329.3</v>
      </c>
      <c r="BF29" s="79">
        <v>9680</v>
      </c>
      <c r="BG29" s="117">
        <f t="shared" si="10"/>
        <v>968</v>
      </c>
      <c r="BH29" s="22">
        <v>1680</v>
      </c>
      <c r="BI29" s="117">
        <f t="shared" si="11"/>
        <v>168</v>
      </c>
      <c r="BJ29" s="22">
        <v>1200</v>
      </c>
      <c r="BK29" s="126">
        <f t="shared" si="12"/>
        <v>120</v>
      </c>
    </row>
    <row r="30" spans="1:63">
      <c r="A30" s="112" t="s">
        <v>108</v>
      </c>
      <c r="B30" s="106"/>
      <c r="C30" s="66" t="s">
        <v>175</v>
      </c>
      <c r="D30" s="284"/>
      <c r="E30" s="136" t="s">
        <v>176</v>
      </c>
      <c r="F30" s="282"/>
      <c r="G30" s="72"/>
      <c r="H30" s="75"/>
      <c r="I30" s="75"/>
      <c r="J30" s="72"/>
      <c r="K30" s="75"/>
      <c r="L30" s="74"/>
      <c r="M30" s="52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49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92"/>
      <c r="AN30" s="23"/>
      <c r="AO30" s="118">
        <f t="shared" si="1"/>
        <v>0</v>
      </c>
      <c r="AP30" s="23"/>
      <c r="AQ30" s="118">
        <f t="shared" si="2"/>
        <v>0</v>
      </c>
      <c r="AR30" s="23"/>
      <c r="AS30" s="123">
        <f t="shared" si="3"/>
        <v>0</v>
      </c>
      <c r="AT30" s="23"/>
      <c r="AU30" s="118">
        <f t="shared" si="4"/>
        <v>0</v>
      </c>
      <c r="AV30" s="23"/>
      <c r="AW30" s="118">
        <f t="shared" si="5"/>
        <v>0</v>
      </c>
      <c r="AX30" s="23"/>
      <c r="AY30" s="123">
        <f t="shared" si="6"/>
        <v>0</v>
      </c>
      <c r="AZ30" s="50"/>
      <c r="BA30" s="118">
        <f t="shared" si="7"/>
        <v>0</v>
      </c>
      <c r="BB30" s="50">
        <v>0</v>
      </c>
      <c r="BC30" s="118">
        <f t="shared" si="8"/>
        <v>0</v>
      </c>
      <c r="BD30" s="23"/>
      <c r="BE30" s="123">
        <f t="shared" si="9"/>
        <v>0</v>
      </c>
      <c r="BF30" s="50">
        <v>0</v>
      </c>
      <c r="BG30" s="118">
        <f t="shared" si="10"/>
        <v>0</v>
      </c>
      <c r="BH30" s="23"/>
      <c r="BI30" s="118">
        <f t="shared" si="11"/>
        <v>0</v>
      </c>
      <c r="BJ30" s="23"/>
      <c r="BK30" s="127">
        <f t="shared" si="12"/>
        <v>0</v>
      </c>
    </row>
    <row r="31" spans="1:63">
      <c r="A31" s="112" t="s">
        <v>108</v>
      </c>
      <c r="B31" s="106"/>
      <c r="C31" s="66" t="s">
        <v>175</v>
      </c>
      <c r="D31" s="284"/>
      <c r="E31" s="136" t="s">
        <v>176</v>
      </c>
      <c r="F31" s="282" t="s">
        <v>71</v>
      </c>
      <c r="G31" s="64"/>
      <c r="H31" s="63"/>
      <c r="I31" s="63"/>
      <c r="J31" s="64"/>
      <c r="K31" s="63"/>
      <c r="L31" s="62"/>
      <c r="M31" s="61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59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87"/>
      <c r="AN31" s="22"/>
      <c r="AO31" s="117">
        <f t="shared" si="1"/>
        <v>0</v>
      </c>
      <c r="AP31" s="22"/>
      <c r="AQ31" s="117">
        <f t="shared" si="2"/>
        <v>0</v>
      </c>
      <c r="AR31" s="22"/>
      <c r="AS31" s="122">
        <f t="shared" si="3"/>
        <v>0</v>
      </c>
      <c r="AT31" s="22"/>
      <c r="AU31" s="117">
        <f t="shared" si="4"/>
        <v>0</v>
      </c>
      <c r="AV31" s="22"/>
      <c r="AW31" s="117">
        <f t="shared" si="5"/>
        <v>0</v>
      </c>
      <c r="AX31" s="22"/>
      <c r="AY31" s="122">
        <f t="shared" si="6"/>
        <v>0</v>
      </c>
      <c r="AZ31" s="79"/>
      <c r="BA31" s="117">
        <f t="shared" si="7"/>
        <v>0</v>
      </c>
      <c r="BB31" s="79"/>
      <c r="BC31" s="117">
        <f t="shared" si="8"/>
        <v>0</v>
      </c>
      <c r="BD31" s="22"/>
      <c r="BE31" s="122">
        <f t="shared" si="9"/>
        <v>0</v>
      </c>
      <c r="BF31" s="79">
        <v>0</v>
      </c>
      <c r="BG31" s="117">
        <f t="shared" si="10"/>
        <v>0</v>
      </c>
      <c r="BH31" s="22"/>
      <c r="BI31" s="117">
        <f t="shared" si="11"/>
        <v>0</v>
      </c>
      <c r="BJ31" s="22"/>
      <c r="BK31" s="126">
        <f t="shared" si="12"/>
        <v>0</v>
      </c>
    </row>
    <row r="32" spans="1:63">
      <c r="A32" s="112" t="s">
        <v>108</v>
      </c>
      <c r="B32" s="106"/>
      <c r="C32" s="66" t="s">
        <v>175</v>
      </c>
      <c r="D32" s="284"/>
      <c r="E32" s="136" t="s">
        <v>176</v>
      </c>
      <c r="F32" s="282"/>
      <c r="G32" s="72"/>
      <c r="H32" s="75"/>
      <c r="I32" s="75"/>
      <c r="J32" s="72"/>
      <c r="K32" s="75"/>
      <c r="L32" s="74"/>
      <c r="M32" s="52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49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92"/>
      <c r="AN32" s="23"/>
      <c r="AO32" s="118">
        <f t="shared" si="1"/>
        <v>0</v>
      </c>
      <c r="AP32" s="23"/>
      <c r="AQ32" s="118">
        <f t="shared" si="2"/>
        <v>0</v>
      </c>
      <c r="AR32" s="23"/>
      <c r="AS32" s="123">
        <f t="shared" si="3"/>
        <v>0</v>
      </c>
      <c r="AT32" s="23"/>
      <c r="AU32" s="118">
        <f t="shared" si="4"/>
        <v>0</v>
      </c>
      <c r="AV32" s="23"/>
      <c r="AW32" s="118">
        <f t="shared" si="5"/>
        <v>0</v>
      </c>
      <c r="AX32" s="23"/>
      <c r="AY32" s="123">
        <f t="shared" si="6"/>
        <v>0</v>
      </c>
      <c r="AZ32" s="50"/>
      <c r="BA32" s="118">
        <f t="shared" si="7"/>
        <v>0</v>
      </c>
      <c r="BB32" s="50"/>
      <c r="BC32" s="118">
        <f t="shared" si="8"/>
        <v>0</v>
      </c>
      <c r="BD32" s="23"/>
      <c r="BE32" s="123">
        <f t="shared" si="9"/>
        <v>0</v>
      </c>
      <c r="BF32" s="50">
        <v>0</v>
      </c>
      <c r="BG32" s="118">
        <f t="shared" si="10"/>
        <v>0</v>
      </c>
      <c r="BH32" s="23"/>
      <c r="BI32" s="118">
        <f t="shared" si="11"/>
        <v>0</v>
      </c>
      <c r="BJ32" s="23"/>
      <c r="BK32" s="127">
        <f t="shared" si="12"/>
        <v>0</v>
      </c>
    </row>
    <row r="33" spans="1:63">
      <c r="A33" s="112" t="s">
        <v>108</v>
      </c>
      <c r="B33" s="106"/>
      <c r="C33" s="66" t="s">
        <v>175</v>
      </c>
      <c r="D33" s="284"/>
      <c r="E33" s="136" t="s">
        <v>176</v>
      </c>
      <c r="F33" s="291" t="s">
        <v>224</v>
      </c>
      <c r="G33" s="64"/>
      <c r="H33" s="63"/>
      <c r="I33" s="63"/>
      <c r="J33" s="64"/>
      <c r="K33" s="63"/>
      <c r="L33" s="62"/>
      <c r="M33" s="61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59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87"/>
      <c r="AN33" s="22"/>
      <c r="AO33" s="117">
        <f t="shared" si="1"/>
        <v>0</v>
      </c>
      <c r="AP33" s="22"/>
      <c r="AQ33" s="117">
        <f t="shared" si="2"/>
        <v>0</v>
      </c>
      <c r="AR33" s="22"/>
      <c r="AS33" s="122">
        <f t="shared" si="3"/>
        <v>0</v>
      </c>
      <c r="AT33" s="22"/>
      <c r="AU33" s="117">
        <f t="shared" si="4"/>
        <v>0</v>
      </c>
      <c r="AV33" s="22"/>
      <c r="AW33" s="117">
        <f t="shared" si="5"/>
        <v>0</v>
      </c>
      <c r="AX33" s="22"/>
      <c r="AY33" s="122">
        <f t="shared" si="6"/>
        <v>0</v>
      </c>
      <c r="AZ33" s="79"/>
      <c r="BA33" s="117">
        <f t="shared" si="7"/>
        <v>0</v>
      </c>
      <c r="BB33" s="79"/>
      <c r="BC33" s="117">
        <f t="shared" si="8"/>
        <v>0</v>
      </c>
      <c r="BD33" s="22"/>
      <c r="BE33" s="122">
        <f t="shared" si="9"/>
        <v>0</v>
      </c>
      <c r="BF33" s="79">
        <v>0</v>
      </c>
      <c r="BG33" s="117">
        <f t="shared" si="10"/>
        <v>0</v>
      </c>
      <c r="BH33" s="22"/>
      <c r="BI33" s="117">
        <f t="shared" si="11"/>
        <v>0</v>
      </c>
      <c r="BJ33" s="22"/>
      <c r="BK33" s="126">
        <f t="shared" si="12"/>
        <v>0</v>
      </c>
    </row>
    <row r="34" spans="1:63">
      <c r="A34" s="112" t="s">
        <v>108</v>
      </c>
      <c r="B34" s="106"/>
      <c r="C34" s="66" t="s">
        <v>175</v>
      </c>
      <c r="D34" s="284"/>
      <c r="E34" s="136" t="s">
        <v>176</v>
      </c>
      <c r="F34" s="291"/>
      <c r="G34" s="72"/>
      <c r="H34" s="75"/>
      <c r="I34" s="75"/>
      <c r="J34" s="72"/>
      <c r="K34" s="75"/>
      <c r="L34" s="74"/>
      <c r="M34" s="52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49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92"/>
      <c r="AN34" s="23"/>
      <c r="AO34" s="118">
        <f t="shared" si="1"/>
        <v>0</v>
      </c>
      <c r="AP34" s="23"/>
      <c r="AQ34" s="118">
        <f t="shared" si="2"/>
        <v>0</v>
      </c>
      <c r="AR34" s="23"/>
      <c r="AS34" s="123">
        <f t="shared" si="3"/>
        <v>0</v>
      </c>
      <c r="AT34" s="23"/>
      <c r="AU34" s="118">
        <f t="shared" si="4"/>
        <v>0</v>
      </c>
      <c r="AV34" s="23"/>
      <c r="AW34" s="118">
        <f t="shared" si="5"/>
        <v>0</v>
      </c>
      <c r="AX34" s="23"/>
      <c r="AY34" s="123">
        <f t="shared" si="6"/>
        <v>0</v>
      </c>
      <c r="AZ34" s="50"/>
      <c r="BA34" s="118">
        <f t="shared" si="7"/>
        <v>0</v>
      </c>
      <c r="BB34" s="50"/>
      <c r="BC34" s="118">
        <f t="shared" si="8"/>
        <v>0</v>
      </c>
      <c r="BD34" s="23"/>
      <c r="BE34" s="123">
        <f t="shared" si="9"/>
        <v>0</v>
      </c>
      <c r="BF34" s="50">
        <v>0</v>
      </c>
      <c r="BG34" s="118">
        <f t="shared" si="10"/>
        <v>0</v>
      </c>
      <c r="BH34" s="23"/>
      <c r="BI34" s="118">
        <f t="shared" si="11"/>
        <v>0</v>
      </c>
      <c r="BJ34" s="23"/>
      <c r="BK34" s="127">
        <f t="shared" si="12"/>
        <v>0</v>
      </c>
    </row>
    <row r="35" spans="1:63">
      <c r="A35" s="112" t="s">
        <v>108</v>
      </c>
      <c r="B35" s="106"/>
      <c r="C35" s="66" t="s">
        <v>175</v>
      </c>
      <c r="D35" s="284"/>
      <c r="E35" s="136" t="s">
        <v>176</v>
      </c>
      <c r="F35" s="282" t="s">
        <v>68</v>
      </c>
      <c r="G35" s="64"/>
      <c r="H35" s="63"/>
      <c r="I35" s="63"/>
      <c r="J35" s="64"/>
      <c r="K35" s="63"/>
      <c r="L35" s="62"/>
      <c r="M35" s="61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59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81"/>
      <c r="AO35" s="117">
        <f t="shared" si="1"/>
        <v>0</v>
      </c>
      <c r="AP35" s="22"/>
      <c r="AQ35" s="117">
        <f t="shared" si="2"/>
        <v>0</v>
      </c>
      <c r="AR35" s="22"/>
      <c r="AS35" s="122">
        <f t="shared" si="3"/>
        <v>0</v>
      </c>
      <c r="AT35" s="22"/>
      <c r="AU35" s="117">
        <f t="shared" si="4"/>
        <v>0</v>
      </c>
      <c r="AV35" s="22"/>
      <c r="AW35" s="117">
        <f t="shared" si="5"/>
        <v>0</v>
      </c>
      <c r="AX35" s="22"/>
      <c r="AY35" s="122">
        <f t="shared" si="6"/>
        <v>0</v>
      </c>
      <c r="AZ35" s="79"/>
      <c r="BA35" s="117">
        <f t="shared" si="7"/>
        <v>0</v>
      </c>
      <c r="BB35" s="79"/>
      <c r="BC35" s="117">
        <f t="shared" si="8"/>
        <v>0</v>
      </c>
      <c r="BD35" s="22"/>
      <c r="BE35" s="122">
        <f t="shared" si="9"/>
        <v>0</v>
      </c>
      <c r="BF35" s="79">
        <v>0</v>
      </c>
      <c r="BG35" s="117">
        <f t="shared" si="10"/>
        <v>0</v>
      </c>
      <c r="BH35" s="22"/>
      <c r="BI35" s="117">
        <f t="shared" si="11"/>
        <v>0</v>
      </c>
      <c r="BJ35" s="22"/>
      <c r="BK35" s="126">
        <f t="shared" si="12"/>
        <v>0</v>
      </c>
    </row>
    <row r="36" spans="1:63">
      <c r="A36" s="112" t="s">
        <v>108</v>
      </c>
      <c r="B36" s="106"/>
      <c r="C36" s="66" t="s">
        <v>175</v>
      </c>
      <c r="D36" s="284"/>
      <c r="E36" s="136" t="s">
        <v>176</v>
      </c>
      <c r="F36" s="282"/>
      <c r="G36" s="72"/>
      <c r="H36" s="75"/>
      <c r="I36" s="75"/>
      <c r="J36" s="72"/>
      <c r="K36" s="75"/>
      <c r="L36" s="74"/>
      <c r="M36" s="52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49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92"/>
      <c r="AN36" s="23"/>
      <c r="AO36" s="118">
        <f t="shared" si="1"/>
        <v>0</v>
      </c>
      <c r="AP36" s="23"/>
      <c r="AQ36" s="118">
        <f t="shared" si="2"/>
        <v>0</v>
      </c>
      <c r="AR36" s="23"/>
      <c r="AS36" s="123">
        <f t="shared" si="3"/>
        <v>0</v>
      </c>
      <c r="AT36" s="23"/>
      <c r="AU36" s="118">
        <f t="shared" si="4"/>
        <v>0</v>
      </c>
      <c r="AV36" s="23"/>
      <c r="AW36" s="118">
        <f t="shared" si="5"/>
        <v>0</v>
      </c>
      <c r="AX36" s="23"/>
      <c r="AY36" s="123">
        <f t="shared" si="6"/>
        <v>0</v>
      </c>
      <c r="AZ36" s="50"/>
      <c r="BA36" s="118">
        <f t="shared" si="7"/>
        <v>0</v>
      </c>
      <c r="BB36" s="50"/>
      <c r="BC36" s="118">
        <f t="shared" si="8"/>
        <v>0</v>
      </c>
      <c r="BD36" s="23"/>
      <c r="BE36" s="123">
        <f t="shared" si="9"/>
        <v>0</v>
      </c>
      <c r="BF36" s="50">
        <v>0</v>
      </c>
      <c r="BG36" s="118">
        <f t="shared" si="10"/>
        <v>0</v>
      </c>
      <c r="BH36" s="23"/>
      <c r="BI36" s="118">
        <f t="shared" si="11"/>
        <v>0</v>
      </c>
      <c r="BJ36" s="23"/>
      <c r="BK36" s="127">
        <f t="shared" si="12"/>
        <v>0</v>
      </c>
    </row>
    <row r="37" spans="1:63">
      <c r="A37" s="112" t="s">
        <v>108</v>
      </c>
      <c r="B37" s="106" t="s">
        <v>177</v>
      </c>
      <c r="C37" s="66" t="s">
        <v>175</v>
      </c>
      <c r="D37" s="284"/>
      <c r="E37" s="136" t="s">
        <v>176</v>
      </c>
      <c r="F37" s="282" t="s">
        <v>225</v>
      </c>
      <c r="G37" s="64" t="s">
        <v>187</v>
      </c>
      <c r="H37" s="63" t="s">
        <v>226</v>
      </c>
      <c r="I37" s="63" t="s">
        <v>180</v>
      </c>
      <c r="J37" s="64" t="s">
        <v>191</v>
      </c>
      <c r="K37" s="63" t="s">
        <v>227</v>
      </c>
      <c r="L37" s="62" t="s">
        <v>185</v>
      </c>
      <c r="M37" s="61" t="s">
        <v>204</v>
      </c>
      <c r="N37" s="60">
        <v>3.5</v>
      </c>
      <c r="O37" s="60">
        <v>3.5</v>
      </c>
      <c r="P37" s="60">
        <v>3.5</v>
      </c>
      <c r="Q37" s="60">
        <v>3.5</v>
      </c>
      <c r="R37" s="60">
        <v>3.5</v>
      </c>
      <c r="S37" s="60">
        <v>3.5</v>
      </c>
      <c r="T37" s="60">
        <v>3.5</v>
      </c>
      <c r="U37" s="60">
        <v>3.5</v>
      </c>
      <c r="V37" s="60">
        <v>3.5</v>
      </c>
      <c r="W37" s="60">
        <v>3.5</v>
      </c>
      <c r="X37" s="60">
        <v>3.5</v>
      </c>
      <c r="Y37" s="60">
        <v>3.5</v>
      </c>
      <c r="Z37" s="60">
        <v>3.5</v>
      </c>
      <c r="AA37" s="59">
        <v>0.77</v>
      </c>
      <c r="AB37" s="10">
        <v>0.77</v>
      </c>
      <c r="AC37" s="10">
        <v>0.77</v>
      </c>
      <c r="AD37" s="10">
        <v>0.77</v>
      </c>
      <c r="AE37" s="10">
        <v>0.77</v>
      </c>
      <c r="AF37" s="10">
        <v>0.77</v>
      </c>
      <c r="AG37" s="10">
        <v>0.77</v>
      </c>
      <c r="AH37" s="10">
        <v>0.77</v>
      </c>
      <c r="AI37" s="10">
        <v>0.77</v>
      </c>
      <c r="AJ37" s="10">
        <v>0.77</v>
      </c>
      <c r="AK37" s="144">
        <v>0.77</v>
      </c>
      <c r="AL37" s="144">
        <v>0.77</v>
      </c>
      <c r="AM37" s="58">
        <v>0.77</v>
      </c>
      <c r="AN37" s="5">
        <v>5557</v>
      </c>
      <c r="AO37" s="117">
        <f t="shared" si="1"/>
        <v>4278.8900000000003</v>
      </c>
      <c r="AP37" s="5">
        <v>1200</v>
      </c>
      <c r="AQ37" s="117">
        <f t="shared" si="2"/>
        <v>924</v>
      </c>
      <c r="AR37" s="5">
        <v>238</v>
      </c>
      <c r="AS37" s="122">
        <f t="shared" si="3"/>
        <v>183.26</v>
      </c>
      <c r="AT37" s="5">
        <v>4520</v>
      </c>
      <c r="AU37" s="117">
        <f t="shared" si="4"/>
        <v>3480.4</v>
      </c>
      <c r="AV37" s="5">
        <v>879</v>
      </c>
      <c r="AW37" s="117">
        <f t="shared" si="5"/>
        <v>676.83</v>
      </c>
      <c r="AX37" s="5">
        <v>3220</v>
      </c>
      <c r="AY37" s="122">
        <f t="shared" si="6"/>
        <v>2479.4</v>
      </c>
      <c r="AZ37" s="105">
        <v>1599</v>
      </c>
      <c r="BA37" s="117">
        <f t="shared" si="7"/>
        <v>1231.23</v>
      </c>
      <c r="BB37" s="105">
        <v>2199</v>
      </c>
      <c r="BC37" s="117">
        <f t="shared" si="8"/>
        <v>1693.23</v>
      </c>
      <c r="BD37" s="5">
        <v>4113</v>
      </c>
      <c r="BE37" s="122">
        <f t="shared" si="9"/>
        <v>3167.01</v>
      </c>
      <c r="BF37" s="105">
        <v>6478</v>
      </c>
      <c r="BG37" s="117">
        <f t="shared" si="10"/>
        <v>4988.0600000000004</v>
      </c>
      <c r="BH37" s="5">
        <v>0</v>
      </c>
      <c r="BI37" s="117">
        <f t="shared" si="11"/>
        <v>0</v>
      </c>
      <c r="BJ37" s="5">
        <v>3999</v>
      </c>
      <c r="BK37" s="126">
        <f t="shared" si="12"/>
        <v>3079.23</v>
      </c>
    </row>
    <row r="38" spans="1:63">
      <c r="A38" s="112" t="s">
        <v>108</v>
      </c>
      <c r="B38" s="106" t="s">
        <v>177</v>
      </c>
      <c r="C38" s="66" t="s">
        <v>175</v>
      </c>
      <c r="D38" s="284"/>
      <c r="E38" s="136" t="s">
        <v>176</v>
      </c>
      <c r="F38" s="282"/>
      <c r="G38" s="71" t="s">
        <v>187</v>
      </c>
      <c r="H38" s="70" t="s">
        <v>226</v>
      </c>
      <c r="I38" s="70" t="s">
        <v>184</v>
      </c>
      <c r="J38" s="71" t="s">
        <v>191</v>
      </c>
      <c r="K38" s="142" t="s">
        <v>228</v>
      </c>
      <c r="L38" s="69" t="s">
        <v>185</v>
      </c>
      <c r="M38" s="68" t="s">
        <v>204</v>
      </c>
      <c r="N38" s="67">
        <v>11.45</v>
      </c>
      <c r="O38" s="67">
        <v>11.45</v>
      </c>
      <c r="P38" s="67">
        <v>11.45</v>
      </c>
      <c r="Q38" s="67">
        <v>11.45</v>
      </c>
      <c r="R38" s="67">
        <v>11.45</v>
      </c>
      <c r="S38" s="67">
        <v>11.45</v>
      </c>
      <c r="T38" s="67">
        <v>11.45</v>
      </c>
      <c r="U38" s="67">
        <v>11.45</v>
      </c>
      <c r="V38" s="67">
        <v>11.45</v>
      </c>
      <c r="W38" s="67">
        <v>11.45</v>
      </c>
      <c r="X38" s="67">
        <v>11.45</v>
      </c>
      <c r="Y38" s="67">
        <v>11.45</v>
      </c>
      <c r="Z38" s="67">
        <v>11.45</v>
      </c>
      <c r="AA38" s="58">
        <v>2.2000000000000002</v>
      </c>
      <c r="AB38" s="10">
        <v>2.2000000000000002</v>
      </c>
      <c r="AC38" s="10">
        <v>2.2000000000000002</v>
      </c>
      <c r="AD38" s="10">
        <v>2.2000000000000002</v>
      </c>
      <c r="AE38" s="10">
        <v>2.2000000000000002</v>
      </c>
      <c r="AF38" s="10">
        <v>2.2000000000000002</v>
      </c>
      <c r="AG38" s="10">
        <v>2.2000000000000002</v>
      </c>
      <c r="AH38" s="10">
        <v>2.2000000000000002</v>
      </c>
      <c r="AI38" s="10">
        <v>2.2000000000000002</v>
      </c>
      <c r="AJ38" s="10">
        <v>2.2000000000000002</v>
      </c>
      <c r="AK38" s="144">
        <v>2.8</v>
      </c>
      <c r="AL38" s="144">
        <v>2.8</v>
      </c>
      <c r="AM38" s="58">
        <v>2.8</v>
      </c>
      <c r="AN38" s="5">
        <v>200</v>
      </c>
      <c r="AO38" s="118">
        <f t="shared" si="1"/>
        <v>440.00000000000006</v>
      </c>
      <c r="AP38" s="5">
        <v>0</v>
      </c>
      <c r="AQ38" s="118">
        <f t="shared" si="2"/>
        <v>0</v>
      </c>
      <c r="AR38" s="5">
        <v>40</v>
      </c>
      <c r="AS38" s="123">
        <f t="shared" si="3"/>
        <v>88</v>
      </c>
      <c r="AT38" s="5">
        <v>0</v>
      </c>
      <c r="AU38" s="118">
        <f t="shared" si="4"/>
        <v>0</v>
      </c>
      <c r="AV38" s="5">
        <v>0</v>
      </c>
      <c r="AW38" s="118">
        <f t="shared" si="5"/>
        <v>0</v>
      </c>
      <c r="AX38" s="5">
        <v>40</v>
      </c>
      <c r="AY38" s="123">
        <f t="shared" si="6"/>
        <v>88</v>
      </c>
      <c r="AZ38" s="105">
        <v>2720</v>
      </c>
      <c r="BA38" s="118">
        <f t="shared" si="7"/>
        <v>5984.0000000000009</v>
      </c>
      <c r="BB38" s="105">
        <v>720</v>
      </c>
      <c r="BC38" s="118">
        <f t="shared" si="8"/>
        <v>1584.0000000000002</v>
      </c>
      <c r="BD38" s="5">
        <v>1079</v>
      </c>
      <c r="BE38" s="123">
        <f t="shared" si="9"/>
        <v>2373.8000000000002</v>
      </c>
      <c r="BF38" s="145">
        <v>1865</v>
      </c>
      <c r="BG38" s="118">
        <f t="shared" si="10"/>
        <v>5222</v>
      </c>
      <c r="BH38" s="5">
        <v>0</v>
      </c>
      <c r="BI38" s="118">
        <f t="shared" si="11"/>
        <v>0</v>
      </c>
      <c r="BJ38" s="5">
        <v>2359</v>
      </c>
      <c r="BK38" s="127">
        <f t="shared" si="12"/>
        <v>6605.2</v>
      </c>
    </row>
    <row r="39" spans="1:63">
      <c r="A39" s="112" t="s">
        <v>108</v>
      </c>
      <c r="B39" s="106" t="s">
        <v>177</v>
      </c>
      <c r="C39" s="66" t="s">
        <v>175</v>
      </c>
      <c r="D39" s="284"/>
      <c r="E39" s="136" t="s">
        <v>176</v>
      </c>
      <c r="F39" s="282"/>
      <c r="G39" s="71" t="s">
        <v>187</v>
      </c>
      <c r="H39" s="70" t="s">
        <v>226</v>
      </c>
      <c r="I39" s="70" t="s">
        <v>184</v>
      </c>
      <c r="J39" s="71" t="s">
        <v>191</v>
      </c>
      <c r="K39" s="142" t="s">
        <v>229</v>
      </c>
      <c r="L39" s="69" t="s">
        <v>185</v>
      </c>
      <c r="M39" s="68" t="s">
        <v>204</v>
      </c>
      <c r="N39" s="67">
        <v>12.15</v>
      </c>
      <c r="O39" s="67">
        <v>12.15</v>
      </c>
      <c r="P39" s="67">
        <v>12.15</v>
      </c>
      <c r="Q39" s="67">
        <v>12.15</v>
      </c>
      <c r="R39" s="67">
        <v>12.15</v>
      </c>
      <c r="S39" s="67">
        <v>12.15</v>
      </c>
      <c r="T39" s="67">
        <v>12.15</v>
      </c>
      <c r="U39" s="67">
        <v>12.15</v>
      </c>
      <c r="V39" s="67">
        <v>12.15</v>
      </c>
      <c r="W39" s="67">
        <v>12.15</v>
      </c>
      <c r="X39" s="67">
        <v>12.15</v>
      </c>
      <c r="Y39" s="67">
        <v>12.15</v>
      </c>
      <c r="Z39" s="67">
        <v>12.15</v>
      </c>
      <c r="AA39" s="58">
        <v>2.2000000000000002</v>
      </c>
      <c r="AB39" s="10">
        <v>2.2000000000000002</v>
      </c>
      <c r="AC39" s="10">
        <v>2.2000000000000002</v>
      </c>
      <c r="AD39" s="10">
        <v>2.2000000000000002</v>
      </c>
      <c r="AE39" s="10">
        <v>2.2000000000000002</v>
      </c>
      <c r="AF39" s="10">
        <v>2.2000000000000002</v>
      </c>
      <c r="AG39" s="10">
        <v>2.2000000000000002</v>
      </c>
      <c r="AH39" s="10">
        <v>2.2000000000000002</v>
      </c>
      <c r="AI39" s="10">
        <v>2.2000000000000002</v>
      </c>
      <c r="AJ39" s="10">
        <v>2.2000000000000002</v>
      </c>
      <c r="AK39" s="144">
        <v>2.8</v>
      </c>
      <c r="AL39" s="144">
        <v>2.8</v>
      </c>
      <c r="AM39" s="58">
        <v>2.8</v>
      </c>
      <c r="AN39" s="5">
        <v>80</v>
      </c>
      <c r="AO39" s="118">
        <f t="shared" si="1"/>
        <v>176</v>
      </c>
      <c r="AP39" s="5">
        <v>0</v>
      </c>
      <c r="AQ39" s="118">
        <f t="shared" si="2"/>
        <v>0</v>
      </c>
      <c r="AR39" s="5">
        <v>0</v>
      </c>
      <c r="AS39" s="123">
        <f t="shared" si="3"/>
        <v>0</v>
      </c>
      <c r="AT39" s="5">
        <v>0</v>
      </c>
      <c r="AU39" s="118">
        <f t="shared" si="4"/>
        <v>0</v>
      </c>
      <c r="AV39" s="5">
        <v>0</v>
      </c>
      <c r="AW39" s="118">
        <f t="shared" si="5"/>
        <v>0</v>
      </c>
      <c r="AX39" s="5">
        <v>0</v>
      </c>
      <c r="AY39" s="123">
        <f t="shared" si="6"/>
        <v>0</v>
      </c>
      <c r="AZ39" s="105">
        <v>0</v>
      </c>
      <c r="BA39" s="118">
        <f t="shared" si="7"/>
        <v>0</v>
      </c>
      <c r="BB39" s="105">
        <v>0</v>
      </c>
      <c r="BC39" s="118">
        <f t="shared" si="8"/>
        <v>0</v>
      </c>
      <c r="BD39" s="5">
        <v>0</v>
      </c>
      <c r="BE39" s="123">
        <f t="shared" si="9"/>
        <v>0</v>
      </c>
      <c r="BF39" s="105">
        <v>0</v>
      </c>
      <c r="BG39" s="118">
        <f t="shared" si="10"/>
        <v>0</v>
      </c>
      <c r="BH39" s="5">
        <v>0</v>
      </c>
      <c r="BI39" s="118">
        <f t="shared" si="11"/>
        <v>0</v>
      </c>
      <c r="BJ39" s="5">
        <v>0</v>
      </c>
      <c r="BK39" s="127">
        <f t="shared" si="12"/>
        <v>0</v>
      </c>
    </row>
    <row r="40" spans="1:63">
      <c r="A40" s="112" t="s">
        <v>108</v>
      </c>
      <c r="B40" s="106" t="s">
        <v>177</v>
      </c>
      <c r="C40" s="66" t="s">
        <v>175</v>
      </c>
      <c r="D40" s="284"/>
      <c r="E40" s="136" t="s">
        <v>176</v>
      </c>
      <c r="F40" s="282"/>
      <c r="G40" s="71" t="s">
        <v>187</v>
      </c>
      <c r="H40" s="70" t="s">
        <v>230</v>
      </c>
      <c r="I40" s="70" t="s">
        <v>180</v>
      </c>
      <c r="J40" s="71" t="s">
        <v>191</v>
      </c>
      <c r="K40" s="70" t="s">
        <v>231</v>
      </c>
      <c r="L40" s="69" t="s">
        <v>185</v>
      </c>
      <c r="M40" s="68" t="s">
        <v>204</v>
      </c>
      <c r="N40" s="67">
        <v>3.5</v>
      </c>
      <c r="O40" s="67">
        <v>3.5</v>
      </c>
      <c r="P40" s="67">
        <v>3.5</v>
      </c>
      <c r="Q40" s="67">
        <v>3.5</v>
      </c>
      <c r="R40" s="67">
        <v>3.5</v>
      </c>
      <c r="S40" s="67">
        <v>3.5</v>
      </c>
      <c r="T40" s="67">
        <v>3.5</v>
      </c>
      <c r="U40" s="67">
        <v>3.5</v>
      </c>
      <c r="V40" s="67">
        <v>3.5</v>
      </c>
      <c r="W40" s="67">
        <v>3.5</v>
      </c>
      <c r="X40" s="67">
        <v>3.5</v>
      </c>
      <c r="Y40" s="67">
        <v>3.5</v>
      </c>
      <c r="Z40" s="67">
        <v>3.5</v>
      </c>
      <c r="AA40" s="58">
        <v>0.5</v>
      </c>
      <c r="AB40" s="10">
        <v>0.52</v>
      </c>
      <c r="AC40" s="10">
        <v>0.52</v>
      </c>
      <c r="AD40" s="10">
        <v>0.52</v>
      </c>
      <c r="AE40" s="10">
        <v>0.52</v>
      </c>
      <c r="AF40" s="10">
        <v>0.52</v>
      </c>
      <c r="AG40" s="10">
        <v>0.52</v>
      </c>
      <c r="AH40" s="10">
        <v>0.52</v>
      </c>
      <c r="AI40" s="10">
        <v>0.52</v>
      </c>
      <c r="AJ40" s="10">
        <v>0.52</v>
      </c>
      <c r="AK40" s="144">
        <v>0.52</v>
      </c>
      <c r="AL40" s="144">
        <v>0.52</v>
      </c>
      <c r="AM40" s="58">
        <v>0.52</v>
      </c>
      <c r="AN40" s="5">
        <v>2126</v>
      </c>
      <c r="AO40" s="118">
        <f t="shared" si="1"/>
        <v>1105.52</v>
      </c>
      <c r="AP40" s="5">
        <v>400</v>
      </c>
      <c r="AQ40" s="118">
        <f t="shared" si="2"/>
        <v>208</v>
      </c>
      <c r="AR40" s="5">
        <v>3101</v>
      </c>
      <c r="AS40" s="123">
        <f t="shared" si="3"/>
        <v>1612.52</v>
      </c>
      <c r="AT40" s="5">
        <v>200</v>
      </c>
      <c r="AU40" s="118">
        <f t="shared" si="4"/>
        <v>104</v>
      </c>
      <c r="AV40" s="5">
        <v>6398</v>
      </c>
      <c r="AW40" s="118">
        <f t="shared" si="5"/>
        <v>3326.96</v>
      </c>
      <c r="AX40" s="5">
        <v>6058</v>
      </c>
      <c r="AY40" s="123">
        <f t="shared" si="6"/>
        <v>3150.1600000000003</v>
      </c>
      <c r="AZ40" s="105">
        <v>8800</v>
      </c>
      <c r="BA40" s="118">
        <f t="shared" si="7"/>
        <v>4576</v>
      </c>
      <c r="BB40" s="105">
        <v>1842</v>
      </c>
      <c r="BC40" s="118">
        <f t="shared" si="8"/>
        <v>957.84</v>
      </c>
      <c r="BD40" s="5">
        <v>5720</v>
      </c>
      <c r="BE40" s="123">
        <f t="shared" si="9"/>
        <v>2974.4</v>
      </c>
      <c r="BF40" s="105">
        <v>8500</v>
      </c>
      <c r="BG40" s="118">
        <f t="shared" si="10"/>
        <v>4420</v>
      </c>
      <c r="BH40" s="5">
        <v>10449</v>
      </c>
      <c r="BI40" s="118">
        <f t="shared" si="11"/>
        <v>5433.4800000000005</v>
      </c>
      <c r="BJ40" s="5">
        <v>5049</v>
      </c>
      <c r="BK40" s="127">
        <f t="shared" si="12"/>
        <v>2625.48</v>
      </c>
    </row>
    <row r="41" spans="1:63">
      <c r="A41" s="112" t="s">
        <v>108</v>
      </c>
      <c r="B41" s="106" t="s">
        <v>177</v>
      </c>
      <c r="C41" s="66" t="s">
        <v>175</v>
      </c>
      <c r="D41" s="284"/>
      <c r="E41" s="136" t="s">
        <v>176</v>
      </c>
      <c r="F41" s="282"/>
      <c r="G41" s="71" t="s">
        <v>187</v>
      </c>
      <c r="H41" s="70" t="s">
        <v>230</v>
      </c>
      <c r="I41" s="70" t="s">
        <v>180</v>
      </c>
      <c r="J41" s="71" t="s">
        <v>191</v>
      </c>
      <c r="K41" s="70" t="s">
        <v>198</v>
      </c>
      <c r="L41" s="69" t="s">
        <v>185</v>
      </c>
      <c r="M41" s="68" t="s">
        <v>204</v>
      </c>
      <c r="N41" s="67">
        <v>5.7</v>
      </c>
      <c r="O41" s="67">
        <v>5.7</v>
      </c>
      <c r="P41" s="67">
        <v>5.7</v>
      </c>
      <c r="Q41" s="67">
        <v>5.7</v>
      </c>
      <c r="R41" s="67">
        <v>5.7</v>
      </c>
      <c r="S41" s="67">
        <v>5.7</v>
      </c>
      <c r="T41" s="67">
        <v>5.7</v>
      </c>
      <c r="U41" s="67">
        <v>5.7</v>
      </c>
      <c r="V41" s="67">
        <v>5.7</v>
      </c>
      <c r="W41" s="67">
        <v>5.7</v>
      </c>
      <c r="X41" s="67">
        <v>5.7</v>
      </c>
      <c r="Y41" s="67">
        <v>5.7</v>
      </c>
      <c r="Z41" s="67">
        <v>5.7</v>
      </c>
      <c r="AA41" s="58">
        <v>0.7</v>
      </c>
      <c r="AB41" s="10">
        <v>0.7</v>
      </c>
      <c r="AC41" s="10">
        <v>0.7</v>
      </c>
      <c r="AD41" s="10">
        <v>0.7</v>
      </c>
      <c r="AE41" s="10">
        <v>0.7</v>
      </c>
      <c r="AF41" s="10">
        <v>0.7</v>
      </c>
      <c r="AG41" s="10">
        <v>0.7</v>
      </c>
      <c r="AH41" s="10">
        <v>0.7</v>
      </c>
      <c r="AI41" s="10">
        <v>0.7</v>
      </c>
      <c r="AJ41" s="10">
        <v>0.7</v>
      </c>
      <c r="AK41" s="144">
        <v>1.02</v>
      </c>
      <c r="AL41" s="144">
        <v>1.02</v>
      </c>
      <c r="AM41" s="58">
        <v>1.02</v>
      </c>
      <c r="AN41" s="5">
        <v>0</v>
      </c>
      <c r="AO41" s="118">
        <f t="shared" si="1"/>
        <v>0</v>
      </c>
      <c r="AP41" s="5">
        <v>0</v>
      </c>
      <c r="AQ41" s="118">
        <f t="shared" si="2"/>
        <v>0</v>
      </c>
      <c r="AR41" s="5">
        <v>0</v>
      </c>
      <c r="AS41" s="123">
        <f t="shared" si="3"/>
        <v>0</v>
      </c>
      <c r="AT41" s="5">
        <v>40</v>
      </c>
      <c r="AU41" s="118">
        <f t="shared" si="4"/>
        <v>28</v>
      </c>
      <c r="AV41" s="5">
        <v>0</v>
      </c>
      <c r="AW41" s="118">
        <f t="shared" si="5"/>
        <v>0</v>
      </c>
      <c r="AX41" s="5">
        <v>119</v>
      </c>
      <c r="AY41" s="123">
        <f t="shared" si="6"/>
        <v>83.3</v>
      </c>
      <c r="AZ41" s="105">
        <v>0</v>
      </c>
      <c r="BA41" s="118">
        <f t="shared" si="7"/>
        <v>0</v>
      </c>
      <c r="BB41" s="105">
        <v>0</v>
      </c>
      <c r="BC41" s="118">
        <f t="shared" si="8"/>
        <v>0</v>
      </c>
      <c r="BD41" s="5">
        <v>560</v>
      </c>
      <c r="BE41" s="123">
        <f t="shared" si="9"/>
        <v>392</v>
      </c>
      <c r="BF41" s="145">
        <v>299</v>
      </c>
      <c r="BG41" s="118">
        <f t="shared" si="10"/>
        <v>304.98</v>
      </c>
      <c r="BH41" s="5">
        <v>0</v>
      </c>
      <c r="BI41" s="118">
        <f t="shared" si="11"/>
        <v>0</v>
      </c>
      <c r="BJ41" s="5">
        <v>197</v>
      </c>
      <c r="BK41" s="127">
        <f t="shared" si="12"/>
        <v>200.94</v>
      </c>
    </row>
    <row r="42" spans="1:63">
      <c r="A42" s="112" t="s">
        <v>108</v>
      </c>
      <c r="B42" s="106" t="s">
        <v>177</v>
      </c>
      <c r="C42" s="66" t="s">
        <v>175</v>
      </c>
      <c r="D42" s="284"/>
      <c r="E42" s="136" t="s">
        <v>176</v>
      </c>
      <c r="F42" s="282"/>
      <c r="G42" s="71" t="s">
        <v>187</v>
      </c>
      <c r="H42" s="70" t="s">
        <v>230</v>
      </c>
      <c r="I42" s="70" t="s">
        <v>184</v>
      </c>
      <c r="J42" s="71" t="s">
        <v>191</v>
      </c>
      <c r="K42" s="70" t="s">
        <v>232</v>
      </c>
      <c r="L42" s="69" t="s">
        <v>185</v>
      </c>
      <c r="M42" s="68" t="s">
        <v>204</v>
      </c>
      <c r="N42" s="67">
        <v>12.15</v>
      </c>
      <c r="O42" s="67">
        <v>12.15</v>
      </c>
      <c r="P42" s="67">
        <v>12.15</v>
      </c>
      <c r="Q42" s="67">
        <v>12.15</v>
      </c>
      <c r="R42" s="67">
        <v>12.15</v>
      </c>
      <c r="S42" s="67">
        <v>12.15</v>
      </c>
      <c r="T42" s="67">
        <v>12.15</v>
      </c>
      <c r="U42" s="67">
        <v>12.15</v>
      </c>
      <c r="V42" s="67">
        <v>12.15</v>
      </c>
      <c r="W42" s="67">
        <v>12.15</v>
      </c>
      <c r="X42" s="67">
        <v>12.15</v>
      </c>
      <c r="Y42" s="67">
        <v>12.15</v>
      </c>
      <c r="Z42" s="67">
        <v>12.15</v>
      </c>
      <c r="AA42" s="58">
        <v>2</v>
      </c>
      <c r="AB42" s="10">
        <v>2</v>
      </c>
      <c r="AC42" s="10">
        <v>2</v>
      </c>
      <c r="AD42" s="10">
        <v>2</v>
      </c>
      <c r="AE42" s="10">
        <v>2</v>
      </c>
      <c r="AF42" s="10">
        <v>2</v>
      </c>
      <c r="AG42" s="10">
        <v>2</v>
      </c>
      <c r="AH42" s="10">
        <v>2</v>
      </c>
      <c r="AI42" s="10">
        <v>2</v>
      </c>
      <c r="AJ42" s="10">
        <v>2</v>
      </c>
      <c r="AK42" s="144">
        <v>3.27</v>
      </c>
      <c r="AL42" s="144">
        <v>3.27</v>
      </c>
      <c r="AM42" s="58">
        <v>3.27</v>
      </c>
      <c r="AN42" s="5">
        <v>0</v>
      </c>
      <c r="AO42" s="118">
        <f t="shared" si="1"/>
        <v>0</v>
      </c>
      <c r="AP42" s="5">
        <v>0</v>
      </c>
      <c r="AQ42" s="118">
        <f t="shared" si="2"/>
        <v>0</v>
      </c>
      <c r="AR42" s="5">
        <v>0</v>
      </c>
      <c r="AS42" s="123">
        <f t="shared" si="3"/>
        <v>0</v>
      </c>
      <c r="AT42" s="5">
        <v>400</v>
      </c>
      <c r="AU42" s="118">
        <f t="shared" si="4"/>
        <v>800</v>
      </c>
      <c r="AV42" s="5">
        <v>0</v>
      </c>
      <c r="AW42" s="118">
        <f t="shared" si="5"/>
        <v>0</v>
      </c>
      <c r="AX42" s="5">
        <v>0</v>
      </c>
      <c r="AY42" s="123">
        <f t="shared" si="6"/>
        <v>0</v>
      </c>
      <c r="AZ42" s="105">
        <v>0</v>
      </c>
      <c r="BA42" s="118">
        <f t="shared" si="7"/>
        <v>0</v>
      </c>
      <c r="BB42" s="105">
        <v>0</v>
      </c>
      <c r="BC42" s="118">
        <f t="shared" si="8"/>
        <v>0</v>
      </c>
      <c r="BD42" s="5">
        <v>0</v>
      </c>
      <c r="BE42" s="123">
        <f t="shared" si="9"/>
        <v>0</v>
      </c>
      <c r="BF42" s="105">
        <v>0</v>
      </c>
      <c r="BG42" s="118">
        <f t="shared" si="10"/>
        <v>0</v>
      </c>
      <c r="BH42" s="5">
        <v>0</v>
      </c>
      <c r="BI42" s="118">
        <f t="shared" si="11"/>
        <v>0</v>
      </c>
      <c r="BJ42" s="5">
        <v>0</v>
      </c>
      <c r="BK42" s="127">
        <f t="shared" si="12"/>
        <v>0</v>
      </c>
    </row>
    <row r="43" spans="1:63">
      <c r="A43" s="112" t="s">
        <v>108</v>
      </c>
      <c r="B43" s="106" t="s">
        <v>177</v>
      </c>
      <c r="C43" s="66" t="s">
        <v>175</v>
      </c>
      <c r="D43" s="284"/>
      <c r="E43" s="136" t="s">
        <v>176</v>
      </c>
      <c r="F43" s="282"/>
      <c r="G43" s="71" t="s">
        <v>187</v>
      </c>
      <c r="H43" s="70" t="s">
        <v>230</v>
      </c>
      <c r="I43" s="70" t="s">
        <v>184</v>
      </c>
      <c r="J43" s="71" t="s">
        <v>191</v>
      </c>
      <c r="K43" s="70" t="s">
        <v>233</v>
      </c>
      <c r="L43" s="69" t="s">
        <v>185</v>
      </c>
      <c r="M43" s="68" t="s">
        <v>204</v>
      </c>
      <c r="N43" s="67">
        <v>11.45</v>
      </c>
      <c r="O43" s="67">
        <v>11.45</v>
      </c>
      <c r="P43" s="67">
        <v>11.45</v>
      </c>
      <c r="Q43" s="67">
        <v>11.45</v>
      </c>
      <c r="R43" s="67">
        <v>11.45</v>
      </c>
      <c r="S43" s="67">
        <v>11.45</v>
      </c>
      <c r="T43" s="67">
        <v>11.45</v>
      </c>
      <c r="U43" s="67">
        <v>11.45</v>
      </c>
      <c r="V43" s="67">
        <v>11.45</v>
      </c>
      <c r="W43" s="67">
        <v>11.45</v>
      </c>
      <c r="X43" s="67">
        <v>11.45</v>
      </c>
      <c r="Y43" s="67">
        <v>11.45</v>
      </c>
      <c r="Z43" s="67">
        <v>11.45</v>
      </c>
      <c r="AA43" s="58">
        <v>2</v>
      </c>
      <c r="AB43" s="10">
        <v>2.97</v>
      </c>
      <c r="AC43" s="10">
        <v>2.97</v>
      </c>
      <c r="AD43" s="10">
        <v>2.97</v>
      </c>
      <c r="AE43" s="10">
        <v>2.97</v>
      </c>
      <c r="AF43" s="10">
        <v>2.97</v>
      </c>
      <c r="AG43" s="10">
        <v>2.97</v>
      </c>
      <c r="AH43" s="10">
        <v>2.97</v>
      </c>
      <c r="AI43" s="10">
        <v>2.97</v>
      </c>
      <c r="AJ43" s="10">
        <v>2.97</v>
      </c>
      <c r="AK43" s="144">
        <v>2.97</v>
      </c>
      <c r="AL43" s="144">
        <v>2.97</v>
      </c>
      <c r="AM43" s="58">
        <v>2.97</v>
      </c>
      <c r="AN43" s="5">
        <v>920</v>
      </c>
      <c r="AO43" s="118">
        <f t="shared" si="1"/>
        <v>2732.4</v>
      </c>
      <c r="AP43" s="5">
        <v>0</v>
      </c>
      <c r="AQ43" s="118">
        <f t="shared" si="2"/>
        <v>0</v>
      </c>
      <c r="AR43" s="5">
        <v>820</v>
      </c>
      <c r="AS43" s="123">
        <f t="shared" si="3"/>
        <v>2435.4</v>
      </c>
      <c r="AT43" s="5">
        <v>0</v>
      </c>
      <c r="AU43" s="118">
        <f t="shared" si="4"/>
        <v>0</v>
      </c>
      <c r="AV43" s="5">
        <v>1078</v>
      </c>
      <c r="AW43" s="118">
        <f t="shared" si="5"/>
        <v>3201.6600000000003</v>
      </c>
      <c r="AX43" s="5">
        <v>2943</v>
      </c>
      <c r="AY43" s="123">
        <f t="shared" si="6"/>
        <v>8740.7100000000009</v>
      </c>
      <c r="AZ43" s="105">
        <v>0</v>
      </c>
      <c r="BA43" s="118">
        <f t="shared" si="7"/>
        <v>0</v>
      </c>
      <c r="BB43" s="105">
        <v>3598</v>
      </c>
      <c r="BC43" s="118">
        <f t="shared" si="8"/>
        <v>10686.060000000001</v>
      </c>
      <c r="BD43" s="5">
        <v>0</v>
      </c>
      <c r="BE43" s="123">
        <f t="shared" si="9"/>
        <v>0</v>
      </c>
      <c r="BF43" s="105">
        <v>536</v>
      </c>
      <c r="BG43" s="118">
        <f t="shared" si="10"/>
        <v>1591.92</v>
      </c>
      <c r="BH43" s="5">
        <v>0</v>
      </c>
      <c r="BI43" s="118">
        <f t="shared" si="11"/>
        <v>0</v>
      </c>
      <c r="BJ43" s="5">
        <v>2520</v>
      </c>
      <c r="BK43" s="127">
        <f t="shared" si="12"/>
        <v>7484.4000000000005</v>
      </c>
    </row>
    <row r="44" spans="1:63">
      <c r="A44" s="112" t="s">
        <v>108</v>
      </c>
      <c r="B44" s="106" t="s">
        <v>177</v>
      </c>
      <c r="C44" s="66" t="s">
        <v>175</v>
      </c>
      <c r="D44" s="284"/>
      <c r="E44" s="136" t="s">
        <v>176</v>
      </c>
      <c r="F44" s="282"/>
      <c r="G44" s="71" t="s">
        <v>187</v>
      </c>
      <c r="H44" s="70" t="s">
        <v>230</v>
      </c>
      <c r="I44" s="70" t="s">
        <v>184</v>
      </c>
      <c r="J44" s="71" t="s">
        <v>191</v>
      </c>
      <c r="K44" s="70" t="s">
        <v>198</v>
      </c>
      <c r="L44" s="69" t="s">
        <v>185</v>
      </c>
      <c r="M44" s="68" t="s">
        <v>204</v>
      </c>
      <c r="N44" s="67">
        <v>12.15</v>
      </c>
      <c r="O44" s="67">
        <v>12.15</v>
      </c>
      <c r="P44" s="67">
        <v>12.15</v>
      </c>
      <c r="Q44" s="67">
        <v>12.15</v>
      </c>
      <c r="R44" s="67">
        <v>12.15</v>
      </c>
      <c r="S44" s="67">
        <v>12.15</v>
      </c>
      <c r="T44" s="67">
        <v>12.15</v>
      </c>
      <c r="U44" s="67">
        <v>12.15</v>
      </c>
      <c r="V44" s="67">
        <v>12.15</v>
      </c>
      <c r="W44" s="67">
        <v>12.15</v>
      </c>
      <c r="X44" s="67">
        <v>12.15</v>
      </c>
      <c r="Y44" s="67">
        <v>12.15</v>
      </c>
      <c r="Z44" s="67">
        <v>12.15</v>
      </c>
      <c r="AA44" s="58">
        <v>2</v>
      </c>
      <c r="AB44" s="10">
        <v>2.97</v>
      </c>
      <c r="AC44" s="10">
        <v>2.97</v>
      </c>
      <c r="AD44" s="10">
        <v>2.97</v>
      </c>
      <c r="AE44" s="10">
        <v>2.97</v>
      </c>
      <c r="AF44" s="10">
        <v>2.97</v>
      </c>
      <c r="AG44" s="10">
        <v>2.97</v>
      </c>
      <c r="AH44" s="10">
        <v>2.97</v>
      </c>
      <c r="AI44" s="10">
        <v>2.97</v>
      </c>
      <c r="AJ44" s="10">
        <v>2.97</v>
      </c>
      <c r="AK44" s="144">
        <v>2.97</v>
      </c>
      <c r="AL44" s="144">
        <v>2.97</v>
      </c>
      <c r="AM44" s="58">
        <v>2.97</v>
      </c>
      <c r="AN44" s="5">
        <v>0</v>
      </c>
      <c r="AO44" s="118">
        <f t="shared" si="1"/>
        <v>0</v>
      </c>
      <c r="AP44" s="5">
        <v>0</v>
      </c>
      <c r="AQ44" s="118">
        <f t="shared" si="2"/>
        <v>0</v>
      </c>
      <c r="AR44" s="5">
        <v>0</v>
      </c>
      <c r="AS44" s="123">
        <f t="shared" si="3"/>
        <v>0</v>
      </c>
      <c r="AT44" s="5">
        <v>0</v>
      </c>
      <c r="AU44" s="118">
        <f t="shared" si="4"/>
        <v>0</v>
      </c>
      <c r="AV44" s="5">
        <v>0</v>
      </c>
      <c r="AW44" s="118">
        <f t="shared" si="5"/>
        <v>0</v>
      </c>
      <c r="AX44" s="5">
        <v>0</v>
      </c>
      <c r="AY44" s="123">
        <f t="shared" si="6"/>
        <v>0</v>
      </c>
      <c r="AZ44" s="105">
        <v>0</v>
      </c>
      <c r="BA44" s="118">
        <f t="shared" si="7"/>
        <v>0</v>
      </c>
      <c r="BB44" s="105">
        <v>0</v>
      </c>
      <c r="BC44" s="118">
        <f t="shared" si="8"/>
        <v>0</v>
      </c>
      <c r="BD44" s="5">
        <v>0</v>
      </c>
      <c r="BE44" s="123">
        <f t="shared" si="9"/>
        <v>0</v>
      </c>
      <c r="BF44" s="105">
        <v>0</v>
      </c>
      <c r="BG44" s="118">
        <f t="shared" si="10"/>
        <v>0</v>
      </c>
      <c r="BH44" s="5">
        <v>0</v>
      </c>
      <c r="BI44" s="118">
        <f t="shared" si="11"/>
        <v>0</v>
      </c>
      <c r="BJ44" s="5">
        <v>0</v>
      </c>
      <c r="BK44" s="127">
        <f t="shared" si="12"/>
        <v>0</v>
      </c>
    </row>
    <row r="45" spans="1:63">
      <c r="A45" s="112" t="s">
        <v>108</v>
      </c>
      <c r="B45" s="106" t="s">
        <v>177</v>
      </c>
      <c r="C45" s="66" t="s">
        <v>175</v>
      </c>
      <c r="D45" s="284"/>
      <c r="E45" s="136" t="s">
        <v>176</v>
      </c>
      <c r="F45" s="282"/>
      <c r="G45" s="71" t="s">
        <v>178</v>
      </c>
      <c r="H45" s="70" t="s">
        <v>234</v>
      </c>
      <c r="I45" s="70" t="s">
        <v>180</v>
      </c>
      <c r="J45" s="71" t="s">
        <v>235</v>
      </c>
      <c r="K45" s="70" t="s">
        <v>236</v>
      </c>
      <c r="L45" s="69" t="s">
        <v>185</v>
      </c>
      <c r="M45" s="68" t="s">
        <v>204</v>
      </c>
      <c r="N45" s="67">
        <v>4.0999999999999996</v>
      </c>
      <c r="O45" s="67">
        <v>4.0999999999999996</v>
      </c>
      <c r="P45" s="67">
        <v>4.0999999999999996</v>
      </c>
      <c r="Q45" s="67">
        <v>4.0999999999999996</v>
      </c>
      <c r="R45" s="67">
        <v>4.0999999999999996</v>
      </c>
      <c r="S45" s="67">
        <v>4.0999999999999996</v>
      </c>
      <c r="T45" s="67">
        <v>4.0999999999999996</v>
      </c>
      <c r="U45" s="67">
        <v>4.0999999999999996</v>
      </c>
      <c r="V45" s="67">
        <v>4.0999999999999996</v>
      </c>
      <c r="W45" s="67">
        <v>4.0999999999999996</v>
      </c>
      <c r="X45" s="67">
        <v>4.0999999999999996</v>
      </c>
      <c r="Y45" s="67">
        <v>4.0999999999999996</v>
      </c>
      <c r="Z45" s="67">
        <v>4.0999999999999996</v>
      </c>
      <c r="AA45" s="58">
        <v>0.7</v>
      </c>
      <c r="AB45" s="10">
        <v>0.7</v>
      </c>
      <c r="AC45" s="10">
        <v>0.7</v>
      </c>
      <c r="AD45" s="10">
        <v>0.7</v>
      </c>
      <c r="AE45" s="10">
        <v>0.7</v>
      </c>
      <c r="AF45" s="10">
        <v>0.7</v>
      </c>
      <c r="AG45" s="10">
        <v>0.7</v>
      </c>
      <c r="AH45" s="10">
        <v>0.7</v>
      </c>
      <c r="AI45" s="10">
        <v>0.7</v>
      </c>
      <c r="AJ45" s="10">
        <v>0.7</v>
      </c>
      <c r="AK45" s="144">
        <v>0.96</v>
      </c>
      <c r="AL45" s="144">
        <v>0.96</v>
      </c>
      <c r="AM45" s="58">
        <v>0.96</v>
      </c>
      <c r="AN45" s="5">
        <v>56751</v>
      </c>
      <c r="AO45" s="118">
        <f t="shared" si="1"/>
        <v>39725.699999999997</v>
      </c>
      <c r="AP45" s="5">
        <v>34090</v>
      </c>
      <c r="AQ45" s="118">
        <f t="shared" si="2"/>
        <v>23863</v>
      </c>
      <c r="AR45" s="5">
        <v>6211</v>
      </c>
      <c r="AS45" s="123">
        <f t="shared" si="3"/>
        <v>4347.7</v>
      </c>
      <c r="AT45" s="5">
        <v>30547</v>
      </c>
      <c r="AU45" s="118">
        <f t="shared" si="4"/>
        <v>21382.899999999998</v>
      </c>
      <c r="AV45" s="5">
        <v>155360</v>
      </c>
      <c r="AW45" s="118">
        <f t="shared" si="5"/>
        <v>108752</v>
      </c>
      <c r="AX45" s="5">
        <v>32590</v>
      </c>
      <c r="AY45" s="123">
        <f t="shared" si="6"/>
        <v>22813</v>
      </c>
      <c r="AZ45" s="105">
        <v>161462</v>
      </c>
      <c r="BA45" s="118">
        <f t="shared" si="7"/>
        <v>113023.4</v>
      </c>
      <c r="BB45" s="105">
        <v>77827</v>
      </c>
      <c r="BC45" s="118">
        <f t="shared" si="8"/>
        <v>54478.899999999994</v>
      </c>
      <c r="BD45" s="5">
        <v>53628</v>
      </c>
      <c r="BE45" s="123">
        <f t="shared" si="9"/>
        <v>37539.599999999999</v>
      </c>
      <c r="BF45" s="105">
        <v>21913</v>
      </c>
      <c r="BG45" s="118">
        <f t="shared" si="10"/>
        <v>21036.48</v>
      </c>
      <c r="BH45" s="5">
        <v>2001</v>
      </c>
      <c r="BI45" s="118">
        <f t="shared" si="11"/>
        <v>1920.96</v>
      </c>
      <c r="BJ45" s="5">
        <v>2342</v>
      </c>
      <c r="BK45" s="127">
        <f t="shared" si="12"/>
        <v>2248.3199999999997</v>
      </c>
    </row>
    <row r="46" spans="1:63">
      <c r="A46" s="112" t="s">
        <v>108</v>
      </c>
      <c r="B46" s="106" t="s">
        <v>177</v>
      </c>
      <c r="C46" s="66" t="s">
        <v>175</v>
      </c>
      <c r="D46" s="284"/>
      <c r="E46" s="136" t="s">
        <v>176</v>
      </c>
      <c r="F46" s="282"/>
      <c r="G46" s="71" t="s">
        <v>178</v>
      </c>
      <c r="H46" s="70" t="s">
        <v>237</v>
      </c>
      <c r="I46" s="70" t="s">
        <v>180</v>
      </c>
      <c r="J46" s="71" t="s">
        <v>235</v>
      </c>
      <c r="K46" s="70" t="s">
        <v>236</v>
      </c>
      <c r="L46" s="69" t="s">
        <v>185</v>
      </c>
      <c r="M46" s="68" t="s">
        <v>204</v>
      </c>
      <c r="N46" s="67">
        <v>4.4000000000000004</v>
      </c>
      <c r="O46" s="67">
        <v>4.4000000000000004</v>
      </c>
      <c r="P46" s="67">
        <v>4.4000000000000004</v>
      </c>
      <c r="Q46" s="67">
        <v>4.4000000000000004</v>
      </c>
      <c r="R46" s="67">
        <v>4.4000000000000004</v>
      </c>
      <c r="S46" s="67">
        <v>4.4000000000000004</v>
      </c>
      <c r="T46" s="67">
        <v>4.4000000000000004</v>
      </c>
      <c r="U46" s="67">
        <v>4.4000000000000004</v>
      </c>
      <c r="V46" s="67">
        <v>4.4000000000000004</v>
      </c>
      <c r="W46" s="67">
        <v>4.4000000000000004</v>
      </c>
      <c r="X46" s="67">
        <v>4.4000000000000004</v>
      </c>
      <c r="Y46" s="67">
        <v>4.4000000000000004</v>
      </c>
      <c r="Z46" s="67">
        <v>4.4000000000000004</v>
      </c>
      <c r="AA46" s="58">
        <v>0.75</v>
      </c>
      <c r="AB46" s="10">
        <v>0.75</v>
      </c>
      <c r="AC46" s="10">
        <v>0.75</v>
      </c>
      <c r="AD46" s="10">
        <v>0.75</v>
      </c>
      <c r="AE46" s="10">
        <v>0.75</v>
      </c>
      <c r="AF46" s="10">
        <v>0.75</v>
      </c>
      <c r="AG46" s="10">
        <v>0.75</v>
      </c>
      <c r="AH46" s="10">
        <v>0.75</v>
      </c>
      <c r="AI46" s="10">
        <v>0.75</v>
      </c>
      <c r="AJ46" s="10">
        <v>0.75</v>
      </c>
      <c r="AK46" s="144">
        <v>1.1100000000000001</v>
      </c>
      <c r="AL46" s="144">
        <v>1.1100000000000001</v>
      </c>
      <c r="AM46" s="58">
        <v>1.1100000000000001</v>
      </c>
      <c r="AN46" s="5">
        <v>4238</v>
      </c>
      <c r="AO46" s="118">
        <f t="shared" si="1"/>
        <v>3178.5</v>
      </c>
      <c r="AP46" s="5">
        <v>0</v>
      </c>
      <c r="AQ46" s="118">
        <f t="shared" si="2"/>
        <v>0</v>
      </c>
      <c r="AR46" s="5">
        <f>2400+2676</f>
        <v>5076</v>
      </c>
      <c r="AS46" s="123">
        <f t="shared" si="3"/>
        <v>3807</v>
      </c>
      <c r="AT46" s="5">
        <v>3763</v>
      </c>
      <c r="AU46" s="118">
        <f t="shared" si="4"/>
        <v>2822.25</v>
      </c>
      <c r="AV46" s="5">
        <v>10374</v>
      </c>
      <c r="AW46" s="118">
        <f t="shared" si="5"/>
        <v>7780.5</v>
      </c>
      <c r="AX46" s="5">
        <v>11055</v>
      </c>
      <c r="AY46" s="123">
        <f t="shared" si="6"/>
        <v>8291.25</v>
      </c>
      <c r="AZ46" s="105">
        <v>24109</v>
      </c>
      <c r="BA46" s="118">
        <f t="shared" si="7"/>
        <v>18081.75</v>
      </c>
      <c r="BB46" s="105">
        <v>9624</v>
      </c>
      <c r="BC46" s="118">
        <f t="shared" si="8"/>
        <v>7218</v>
      </c>
      <c r="BD46" s="5">
        <v>2973</v>
      </c>
      <c r="BE46" s="123">
        <f t="shared" si="9"/>
        <v>2229.75</v>
      </c>
      <c r="BF46" s="105">
        <v>9000</v>
      </c>
      <c r="BG46" s="118">
        <f t="shared" si="10"/>
        <v>9990</v>
      </c>
      <c r="BH46" s="5">
        <v>6015</v>
      </c>
      <c r="BI46" s="118">
        <f t="shared" si="11"/>
        <v>6676.6500000000005</v>
      </c>
      <c r="BJ46" s="5">
        <v>1797</v>
      </c>
      <c r="BK46" s="127">
        <f t="shared" si="12"/>
        <v>1994.67</v>
      </c>
    </row>
    <row r="47" spans="1:63">
      <c r="A47" s="112" t="s">
        <v>108</v>
      </c>
      <c r="B47" s="106" t="s">
        <v>177</v>
      </c>
      <c r="C47" s="66" t="s">
        <v>175</v>
      </c>
      <c r="D47" s="284"/>
      <c r="E47" s="136" t="s">
        <v>176</v>
      </c>
      <c r="F47" s="282"/>
      <c r="G47" s="71" t="s">
        <v>238</v>
      </c>
      <c r="H47" s="70" t="s">
        <v>239</v>
      </c>
      <c r="I47" s="70" t="s">
        <v>240</v>
      </c>
      <c r="J47" s="71" t="s">
        <v>241</v>
      </c>
      <c r="K47" s="70" t="s">
        <v>228</v>
      </c>
      <c r="L47" s="69" t="s">
        <v>213</v>
      </c>
      <c r="M47" s="68" t="s">
        <v>214</v>
      </c>
      <c r="N47" s="67">
        <v>3.5</v>
      </c>
      <c r="O47" s="67">
        <v>3.5</v>
      </c>
      <c r="P47" s="67">
        <v>3.5</v>
      </c>
      <c r="Q47" s="67">
        <v>3.5</v>
      </c>
      <c r="R47" s="67">
        <v>3.5</v>
      </c>
      <c r="S47" s="67">
        <v>3.5</v>
      </c>
      <c r="T47" s="67">
        <v>3.5</v>
      </c>
      <c r="U47" s="67">
        <v>3.5</v>
      </c>
      <c r="V47" s="67">
        <v>3.5</v>
      </c>
      <c r="W47" s="67">
        <v>3.5</v>
      </c>
      <c r="X47" s="67">
        <v>3.5</v>
      </c>
      <c r="Y47" s="67">
        <v>3.5</v>
      </c>
      <c r="Z47" s="67">
        <v>3.5</v>
      </c>
      <c r="AA47" s="58">
        <v>0.5</v>
      </c>
      <c r="AB47" s="10">
        <v>0.5</v>
      </c>
      <c r="AC47" s="10">
        <v>0.5</v>
      </c>
      <c r="AD47" s="10">
        <v>0.5</v>
      </c>
      <c r="AE47" s="10">
        <v>0.5</v>
      </c>
      <c r="AF47" s="10">
        <v>0.5</v>
      </c>
      <c r="AG47" s="10">
        <v>0.5</v>
      </c>
      <c r="AH47" s="10">
        <v>0.5</v>
      </c>
      <c r="AI47" s="10">
        <v>0.5</v>
      </c>
      <c r="AJ47" s="10">
        <v>0.5</v>
      </c>
      <c r="AK47" s="144">
        <v>0.52</v>
      </c>
      <c r="AL47" s="144">
        <v>0.52</v>
      </c>
      <c r="AM47" s="58">
        <v>0.52</v>
      </c>
      <c r="AN47" s="5">
        <v>0</v>
      </c>
      <c r="AO47" s="118">
        <f t="shared" si="1"/>
        <v>0</v>
      </c>
      <c r="AP47" s="5">
        <v>0</v>
      </c>
      <c r="AQ47" s="118">
        <f t="shared" si="2"/>
        <v>0</v>
      </c>
      <c r="AR47" s="5">
        <v>0</v>
      </c>
      <c r="AS47" s="123">
        <f t="shared" si="3"/>
        <v>0</v>
      </c>
      <c r="AT47" s="5">
        <v>0</v>
      </c>
      <c r="AU47" s="118">
        <f t="shared" si="4"/>
        <v>0</v>
      </c>
      <c r="AV47" s="5">
        <v>0</v>
      </c>
      <c r="AW47" s="118">
        <f t="shared" si="5"/>
        <v>0</v>
      </c>
      <c r="AX47" s="5">
        <v>0</v>
      </c>
      <c r="AY47" s="123">
        <f t="shared" si="6"/>
        <v>0</v>
      </c>
      <c r="AZ47" s="105">
        <v>0</v>
      </c>
      <c r="BA47" s="118">
        <f t="shared" si="7"/>
        <v>0</v>
      </c>
      <c r="BB47" s="105">
        <v>0</v>
      </c>
      <c r="BC47" s="118">
        <f t="shared" si="8"/>
        <v>0</v>
      </c>
      <c r="BD47" s="5">
        <v>0</v>
      </c>
      <c r="BE47" s="123">
        <f t="shared" si="9"/>
        <v>0</v>
      </c>
      <c r="BF47" s="105">
        <v>0</v>
      </c>
      <c r="BG47" s="118">
        <f t="shared" si="10"/>
        <v>0</v>
      </c>
      <c r="BH47" s="5">
        <v>0</v>
      </c>
      <c r="BI47" s="118">
        <f t="shared" si="11"/>
        <v>0</v>
      </c>
      <c r="BJ47" s="5">
        <v>0</v>
      </c>
      <c r="BK47" s="127">
        <f t="shared" si="12"/>
        <v>0</v>
      </c>
    </row>
    <row r="48" spans="1:63">
      <c r="A48" s="112" t="s">
        <v>108</v>
      </c>
      <c r="B48" s="106" t="s">
        <v>177</v>
      </c>
      <c r="C48" s="66" t="s">
        <v>175</v>
      </c>
      <c r="D48" s="284"/>
      <c r="E48" s="136" t="s">
        <v>176</v>
      </c>
      <c r="F48" s="282"/>
      <c r="G48" s="71" t="s">
        <v>238</v>
      </c>
      <c r="H48" s="70" t="s">
        <v>239</v>
      </c>
      <c r="I48" s="70" t="s">
        <v>240</v>
      </c>
      <c r="J48" s="71" t="s">
        <v>241</v>
      </c>
      <c r="K48" s="70" t="s">
        <v>242</v>
      </c>
      <c r="L48" s="69" t="s">
        <v>213</v>
      </c>
      <c r="M48" s="68" t="s">
        <v>214</v>
      </c>
      <c r="N48" s="67">
        <v>5.7</v>
      </c>
      <c r="O48" s="67">
        <v>5.7</v>
      </c>
      <c r="P48" s="67">
        <v>5.7</v>
      </c>
      <c r="Q48" s="67">
        <v>5.7</v>
      </c>
      <c r="R48" s="67">
        <v>5.7</v>
      </c>
      <c r="S48" s="67">
        <v>5.7</v>
      </c>
      <c r="T48" s="67">
        <v>5.7</v>
      </c>
      <c r="U48" s="67">
        <v>5.7</v>
      </c>
      <c r="V48" s="67">
        <v>5.7</v>
      </c>
      <c r="W48" s="67">
        <v>5.7</v>
      </c>
      <c r="X48" s="67">
        <v>5.7</v>
      </c>
      <c r="Y48" s="67">
        <v>5.7</v>
      </c>
      <c r="Z48" s="67">
        <v>5.7</v>
      </c>
      <c r="AA48" s="58">
        <v>0.8</v>
      </c>
      <c r="AB48" s="10">
        <v>0.8</v>
      </c>
      <c r="AC48" s="10">
        <v>0.8</v>
      </c>
      <c r="AD48" s="10">
        <v>0.8</v>
      </c>
      <c r="AE48" s="10">
        <v>0.8</v>
      </c>
      <c r="AF48" s="10">
        <v>0.8</v>
      </c>
      <c r="AG48" s="10">
        <v>0.8</v>
      </c>
      <c r="AH48" s="10">
        <v>0.8</v>
      </c>
      <c r="AI48" s="10">
        <v>0.8</v>
      </c>
      <c r="AJ48" s="10">
        <v>0.8</v>
      </c>
      <c r="AK48" s="144">
        <v>1.02</v>
      </c>
      <c r="AL48" s="144">
        <v>1.02</v>
      </c>
      <c r="AM48" s="58">
        <v>1.02</v>
      </c>
      <c r="AN48" s="5">
        <v>0</v>
      </c>
      <c r="AO48" s="118">
        <f t="shared" si="1"/>
        <v>0</v>
      </c>
      <c r="AP48" s="5">
        <v>0</v>
      </c>
      <c r="AQ48" s="118">
        <f t="shared" si="2"/>
        <v>0</v>
      </c>
      <c r="AR48" s="5">
        <v>0</v>
      </c>
      <c r="AS48" s="123">
        <f t="shared" si="3"/>
        <v>0</v>
      </c>
      <c r="AT48" s="5">
        <v>0</v>
      </c>
      <c r="AU48" s="118">
        <f t="shared" si="4"/>
        <v>0</v>
      </c>
      <c r="AV48" s="5">
        <v>0</v>
      </c>
      <c r="AW48" s="118">
        <f t="shared" si="5"/>
        <v>0</v>
      </c>
      <c r="AX48" s="5">
        <v>0</v>
      </c>
      <c r="AY48" s="123">
        <f t="shared" si="6"/>
        <v>0</v>
      </c>
      <c r="AZ48" s="105">
        <v>0</v>
      </c>
      <c r="BA48" s="118">
        <f t="shared" si="7"/>
        <v>0</v>
      </c>
      <c r="BB48" s="105">
        <v>0</v>
      </c>
      <c r="BC48" s="118">
        <f t="shared" si="8"/>
        <v>0</v>
      </c>
      <c r="BD48" s="5">
        <v>0</v>
      </c>
      <c r="BE48" s="123">
        <f t="shared" si="9"/>
        <v>0</v>
      </c>
      <c r="BF48" s="105">
        <v>0</v>
      </c>
      <c r="BG48" s="118">
        <f t="shared" si="10"/>
        <v>0</v>
      </c>
      <c r="BH48" s="5">
        <v>0</v>
      </c>
      <c r="BI48" s="118">
        <f t="shared" si="11"/>
        <v>0</v>
      </c>
      <c r="BJ48" s="5">
        <v>0</v>
      </c>
      <c r="BK48" s="127">
        <f t="shared" si="12"/>
        <v>0</v>
      </c>
    </row>
    <row r="49" spans="1:63">
      <c r="A49" s="112" t="s">
        <v>108</v>
      </c>
      <c r="B49" s="106" t="s">
        <v>177</v>
      </c>
      <c r="C49" s="66" t="s">
        <v>175</v>
      </c>
      <c r="D49" s="284"/>
      <c r="E49" s="136" t="s">
        <v>176</v>
      </c>
      <c r="F49" s="282"/>
      <c r="G49" s="71" t="s">
        <v>238</v>
      </c>
      <c r="H49" s="70" t="s">
        <v>239</v>
      </c>
      <c r="I49" s="70" t="s">
        <v>184</v>
      </c>
      <c r="J49" s="71" t="s">
        <v>241</v>
      </c>
      <c r="K49" s="70" t="s">
        <v>242</v>
      </c>
      <c r="L49" s="69" t="s">
        <v>213</v>
      </c>
      <c r="M49" s="68" t="s">
        <v>214</v>
      </c>
      <c r="N49" s="67">
        <v>13.15</v>
      </c>
      <c r="O49" s="67">
        <v>13.15</v>
      </c>
      <c r="P49" s="67">
        <v>13.15</v>
      </c>
      <c r="Q49" s="67">
        <v>13.15</v>
      </c>
      <c r="R49" s="67">
        <v>13.15</v>
      </c>
      <c r="S49" s="67">
        <v>13.15</v>
      </c>
      <c r="T49" s="67">
        <v>13.15</v>
      </c>
      <c r="U49" s="67">
        <v>13.15</v>
      </c>
      <c r="V49" s="67">
        <v>13.15</v>
      </c>
      <c r="W49" s="67">
        <v>13.15</v>
      </c>
      <c r="X49" s="67">
        <v>13.15</v>
      </c>
      <c r="Y49" s="67">
        <v>13.15</v>
      </c>
      <c r="Z49" s="67">
        <v>13.15</v>
      </c>
      <c r="AA49" s="58">
        <v>2.5</v>
      </c>
      <c r="AB49" s="10">
        <v>2.5</v>
      </c>
      <c r="AC49" s="10">
        <v>2.5</v>
      </c>
      <c r="AD49" s="10">
        <v>2.5</v>
      </c>
      <c r="AE49" s="10">
        <v>2.5</v>
      </c>
      <c r="AF49" s="10">
        <v>2.5</v>
      </c>
      <c r="AG49" s="10">
        <v>2.5</v>
      </c>
      <c r="AH49" s="10">
        <v>2.5</v>
      </c>
      <c r="AI49" s="10">
        <v>2.5</v>
      </c>
      <c r="AJ49" s="10">
        <v>2.5</v>
      </c>
      <c r="AK49" s="10">
        <v>3.27</v>
      </c>
      <c r="AL49" s="10">
        <v>3.27</v>
      </c>
      <c r="AM49" s="81">
        <v>3.27</v>
      </c>
      <c r="AN49" s="5">
        <v>0</v>
      </c>
      <c r="AO49" s="118">
        <f t="shared" si="1"/>
        <v>0</v>
      </c>
      <c r="AP49" s="5">
        <v>0</v>
      </c>
      <c r="AQ49" s="118">
        <f t="shared" si="2"/>
        <v>0</v>
      </c>
      <c r="AR49" s="5">
        <v>0</v>
      </c>
      <c r="AS49" s="123">
        <f t="shared" si="3"/>
        <v>0</v>
      </c>
      <c r="AT49" s="5">
        <v>0</v>
      </c>
      <c r="AU49" s="118">
        <f t="shared" si="4"/>
        <v>0</v>
      </c>
      <c r="AV49" s="5">
        <v>0</v>
      </c>
      <c r="AW49" s="118">
        <f t="shared" si="5"/>
        <v>0</v>
      </c>
      <c r="AX49" s="5">
        <v>0</v>
      </c>
      <c r="AY49" s="123">
        <f t="shared" si="6"/>
        <v>0</v>
      </c>
      <c r="AZ49" s="105">
        <v>0</v>
      </c>
      <c r="BA49" s="118">
        <f t="shared" si="7"/>
        <v>0</v>
      </c>
      <c r="BB49" s="105">
        <v>0</v>
      </c>
      <c r="BC49" s="118">
        <f t="shared" si="8"/>
        <v>0</v>
      </c>
      <c r="BD49" s="5">
        <v>0</v>
      </c>
      <c r="BE49" s="123">
        <f t="shared" si="9"/>
        <v>0</v>
      </c>
      <c r="BF49" s="105">
        <v>0</v>
      </c>
      <c r="BG49" s="118">
        <f t="shared" si="10"/>
        <v>0</v>
      </c>
      <c r="BH49" s="5">
        <v>0</v>
      </c>
      <c r="BI49" s="118">
        <f t="shared" si="11"/>
        <v>0</v>
      </c>
      <c r="BJ49" s="5">
        <v>0</v>
      </c>
      <c r="BK49" s="127">
        <f t="shared" si="12"/>
        <v>0</v>
      </c>
    </row>
    <row r="50" spans="1:63">
      <c r="A50" s="112" t="s">
        <v>108</v>
      </c>
      <c r="B50" s="106" t="s">
        <v>177</v>
      </c>
      <c r="C50" s="66" t="s">
        <v>175</v>
      </c>
      <c r="D50" s="284"/>
      <c r="E50" s="136" t="s">
        <v>176</v>
      </c>
      <c r="F50" s="282"/>
      <c r="G50" s="71" t="s">
        <v>238</v>
      </c>
      <c r="H50" s="70" t="s">
        <v>239</v>
      </c>
      <c r="I50" s="70" t="s">
        <v>184</v>
      </c>
      <c r="J50" s="71" t="s">
        <v>241</v>
      </c>
      <c r="K50" s="70" t="s">
        <v>243</v>
      </c>
      <c r="L50" s="69" t="s">
        <v>213</v>
      </c>
      <c r="M50" s="68" t="s">
        <v>214</v>
      </c>
      <c r="N50" s="67">
        <v>12.15</v>
      </c>
      <c r="O50" s="67">
        <v>12.15</v>
      </c>
      <c r="P50" s="67">
        <v>12.15</v>
      </c>
      <c r="Q50" s="67">
        <v>12.15</v>
      </c>
      <c r="R50" s="67">
        <v>12.15</v>
      </c>
      <c r="S50" s="67">
        <v>12.15</v>
      </c>
      <c r="T50" s="67">
        <v>12.15</v>
      </c>
      <c r="U50" s="67">
        <v>12.15</v>
      </c>
      <c r="V50" s="67">
        <v>12.15</v>
      </c>
      <c r="W50" s="67">
        <v>12.15</v>
      </c>
      <c r="X50" s="67">
        <v>12.15</v>
      </c>
      <c r="Y50" s="67">
        <v>12.15</v>
      </c>
      <c r="Z50" s="67">
        <v>12.15</v>
      </c>
      <c r="AA50" s="58">
        <v>2</v>
      </c>
      <c r="AB50" s="10">
        <v>2.5</v>
      </c>
      <c r="AC50" s="10">
        <v>2.5</v>
      </c>
      <c r="AD50" s="10">
        <v>2.5</v>
      </c>
      <c r="AE50" s="10">
        <v>2.5</v>
      </c>
      <c r="AF50" s="10">
        <v>2.5</v>
      </c>
      <c r="AG50" s="10">
        <v>2.5</v>
      </c>
      <c r="AH50" s="10">
        <v>2.5</v>
      </c>
      <c r="AI50" s="10">
        <v>2.5</v>
      </c>
      <c r="AJ50" s="10">
        <v>2.5</v>
      </c>
      <c r="AK50" s="10">
        <v>3.27</v>
      </c>
      <c r="AL50" s="10">
        <v>3.27</v>
      </c>
      <c r="AM50" s="81">
        <v>3.27</v>
      </c>
      <c r="AN50" s="5">
        <v>0</v>
      </c>
      <c r="AO50" s="118">
        <f t="shared" si="1"/>
        <v>0</v>
      </c>
      <c r="AP50" s="5">
        <v>0</v>
      </c>
      <c r="AQ50" s="118">
        <f t="shared" si="2"/>
        <v>0</v>
      </c>
      <c r="AR50" s="5">
        <v>0</v>
      </c>
      <c r="AS50" s="123">
        <f t="shared" si="3"/>
        <v>0</v>
      </c>
      <c r="AT50" s="5">
        <v>0</v>
      </c>
      <c r="AU50" s="118">
        <f t="shared" si="4"/>
        <v>0</v>
      </c>
      <c r="AV50" s="5">
        <v>0</v>
      </c>
      <c r="AW50" s="118">
        <f t="shared" si="5"/>
        <v>0</v>
      </c>
      <c r="AX50" s="5">
        <v>0</v>
      </c>
      <c r="AY50" s="123">
        <f t="shared" si="6"/>
        <v>0</v>
      </c>
      <c r="AZ50" s="105">
        <v>0</v>
      </c>
      <c r="BA50" s="118">
        <f t="shared" si="7"/>
        <v>0</v>
      </c>
      <c r="BB50" s="105">
        <v>0</v>
      </c>
      <c r="BC50" s="118">
        <f t="shared" si="8"/>
        <v>0</v>
      </c>
      <c r="BD50" s="5">
        <v>0</v>
      </c>
      <c r="BE50" s="123">
        <f t="shared" si="9"/>
        <v>0</v>
      </c>
      <c r="BF50" s="105">
        <v>0</v>
      </c>
      <c r="BG50" s="118">
        <f t="shared" si="10"/>
        <v>0</v>
      </c>
      <c r="BH50" s="5">
        <v>0</v>
      </c>
      <c r="BI50" s="118">
        <f t="shared" si="11"/>
        <v>0</v>
      </c>
      <c r="BJ50" s="5">
        <v>0</v>
      </c>
      <c r="BK50" s="127">
        <f t="shared" si="12"/>
        <v>0</v>
      </c>
    </row>
    <row r="51" spans="1:63">
      <c r="A51" s="112" t="s">
        <v>108</v>
      </c>
      <c r="B51" s="106"/>
      <c r="C51" s="66" t="s">
        <v>175</v>
      </c>
      <c r="D51" s="285"/>
      <c r="E51" s="143" t="s">
        <v>176</v>
      </c>
      <c r="F51" s="282"/>
      <c r="G51" s="72"/>
      <c r="H51" s="75"/>
      <c r="I51" s="75"/>
      <c r="J51" s="72"/>
      <c r="K51" s="75"/>
      <c r="L51" s="74"/>
      <c r="M51" s="52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49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92"/>
      <c r="AN51" s="23"/>
      <c r="AO51" s="118">
        <f t="shared" si="1"/>
        <v>0</v>
      </c>
      <c r="AP51" s="23"/>
      <c r="AQ51" s="118">
        <f t="shared" si="2"/>
        <v>0</v>
      </c>
      <c r="AR51" s="23"/>
      <c r="AS51" s="123">
        <f t="shared" si="3"/>
        <v>0</v>
      </c>
      <c r="AT51" s="23"/>
      <c r="AU51" s="118">
        <f t="shared" si="4"/>
        <v>0</v>
      </c>
      <c r="AV51" s="23"/>
      <c r="AW51" s="118">
        <f t="shared" si="5"/>
        <v>0</v>
      </c>
      <c r="AX51" s="23"/>
      <c r="AY51" s="123">
        <f t="shared" si="6"/>
        <v>0</v>
      </c>
      <c r="AZ51" s="50"/>
      <c r="BA51" s="118">
        <f t="shared" si="7"/>
        <v>0</v>
      </c>
      <c r="BB51" s="50">
        <v>0</v>
      </c>
      <c r="BC51" s="118">
        <f t="shared" si="8"/>
        <v>0</v>
      </c>
      <c r="BD51" s="23"/>
      <c r="BE51" s="123">
        <f t="shared" si="9"/>
        <v>0</v>
      </c>
      <c r="BF51" s="50"/>
      <c r="BG51" s="118">
        <f t="shared" si="10"/>
        <v>0</v>
      </c>
      <c r="BH51" s="23"/>
      <c r="BI51" s="118">
        <f t="shared" si="11"/>
        <v>0</v>
      </c>
      <c r="BJ51" s="23"/>
      <c r="BK51" s="127">
        <f t="shared" si="12"/>
        <v>0</v>
      </c>
    </row>
    <row r="52" spans="1:63">
      <c r="A52" s="112" t="s">
        <v>108</v>
      </c>
      <c r="B52" s="107" t="s">
        <v>244</v>
      </c>
      <c r="C52" s="66" t="s">
        <v>175</v>
      </c>
      <c r="D52" s="283" t="s">
        <v>245</v>
      </c>
      <c r="E52" s="77" t="s">
        <v>246</v>
      </c>
      <c r="F52" s="282" t="s">
        <v>245</v>
      </c>
      <c r="G52" s="64" t="s">
        <v>247</v>
      </c>
      <c r="H52" s="63" t="s">
        <v>248</v>
      </c>
      <c r="I52" s="173" t="s">
        <v>249</v>
      </c>
      <c r="J52" s="64"/>
      <c r="K52" s="63" t="s">
        <v>250</v>
      </c>
      <c r="L52" s="62" t="s">
        <v>251</v>
      </c>
      <c r="M52" s="61" t="s">
        <v>252</v>
      </c>
      <c r="N52" s="60">
        <v>12</v>
      </c>
      <c r="O52" s="60">
        <v>12</v>
      </c>
      <c r="P52" s="60">
        <v>12</v>
      </c>
      <c r="Q52" s="60">
        <v>12</v>
      </c>
      <c r="R52" s="60">
        <v>12</v>
      </c>
      <c r="S52" s="60">
        <v>12</v>
      </c>
      <c r="T52" s="60">
        <v>12</v>
      </c>
      <c r="U52" s="60">
        <v>12</v>
      </c>
      <c r="V52" s="60">
        <v>12</v>
      </c>
      <c r="W52" s="60">
        <v>12</v>
      </c>
      <c r="X52" s="60">
        <v>12</v>
      </c>
      <c r="Y52" s="60">
        <v>12</v>
      </c>
      <c r="Z52" s="60">
        <v>12</v>
      </c>
      <c r="AA52" s="59">
        <v>0</v>
      </c>
      <c r="AB52" s="10">
        <v>0</v>
      </c>
      <c r="AC52" s="10">
        <v>0</v>
      </c>
      <c r="AD52" s="10">
        <v>0</v>
      </c>
      <c r="AE52" s="10">
        <v>0.37</v>
      </c>
      <c r="AF52" s="10">
        <v>0.37</v>
      </c>
      <c r="AG52" s="10">
        <v>0.37</v>
      </c>
      <c r="AH52" s="10">
        <v>0.37</v>
      </c>
      <c r="AI52" s="10">
        <v>0.37</v>
      </c>
      <c r="AJ52" s="10">
        <v>0.37</v>
      </c>
      <c r="AK52" s="10">
        <v>0.37</v>
      </c>
      <c r="AL52" s="10">
        <v>0.37</v>
      </c>
      <c r="AM52" s="81">
        <v>0.37</v>
      </c>
      <c r="AN52" s="5">
        <v>0</v>
      </c>
      <c r="AO52" s="117">
        <f t="shared" si="1"/>
        <v>0</v>
      </c>
      <c r="AP52" s="5">
        <v>0</v>
      </c>
      <c r="AQ52" s="117">
        <f t="shared" si="2"/>
        <v>0</v>
      </c>
      <c r="AR52" s="5">
        <v>0</v>
      </c>
      <c r="AS52" s="122">
        <f t="shared" si="3"/>
        <v>0</v>
      </c>
      <c r="AT52" s="5">
        <v>4840</v>
      </c>
      <c r="AU52" s="117">
        <f t="shared" si="4"/>
        <v>1790.8</v>
      </c>
      <c r="AV52" s="5">
        <v>1920</v>
      </c>
      <c r="AW52" s="117">
        <f t="shared" si="5"/>
        <v>710.4</v>
      </c>
      <c r="AX52" s="5">
        <v>3840</v>
      </c>
      <c r="AY52" s="122">
        <f t="shared" si="6"/>
        <v>1420.8</v>
      </c>
      <c r="AZ52" s="105">
        <v>1920</v>
      </c>
      <c r="BA52" s="117">
        <f t="shared" si="7"/>
        <v>710.4</v>
      </c>
      <c r="BB52" s="105">
        <v>4800</v>
      </c>
      <c r="BC52" s="117">
        <f t="shared" si="8"/>
        <v>1776</v>
      </c>
      <c r="BD52" s="5">
        <v>8640</v>
      </c>
      <c r="BE52" s="122">
        <f t="shared" si="9"/>
        <v>3196.8</v>
      </c>
      <c r="BF52" s="105">
        <v>6720</v>
      </c>
      <c r="BG52" s="117">
        <f t="shared" si="10"/>
        <v>2486.4</v>
      </c>
      <c r="BH52" s="5">
        <v>960</v>
      </c>
      <c r="BI52" s="117">
        <f t="shared" si="11"/>
        <v>355.2</v>
      </c>
      <c r="BJ52" s="5">
        <v>960</v>
      </c>
      <c r="BK52" s="126">
        <f t="shared" si="12"/>
        <v>355.2</v>
      </c>
    </row>
    <row r="53" spans="1:63">
      <c r="A53" s="112" t="s">
        <v>108</v>
      </c>
      <c r="B53" s="107" t="s">
        <v>244</v>
      </c>
      <c r="C53" s="66" t="s">
        <v>175</v>
      </c>
      <c r="D53" s="284"/>
      <c r="E53" s="77" t="s">
        <v>253</v>
      </c>
      <c r="F53" s="282"/>
      <c r="G53" s="71" t="s">
        <v>254</v>
      </c>
      <c r="H53" s="70" t="s">
        <v>255</v>
      </c>
      <c r="I53" s="174" t="s">
        <v>256</v>
      </c>
      <c r="J53" s="71"/>
      <c r="K53" s="70" t="s">
        <v>250</v>
      </c>
      <c r="L53" s="69" t="s">
        <v>257</v>
      </c>
      <c r="M53" s="68" t="s">
        <v>258</v>
      </c>
      <c r="N53" s="67">
        <v>42.75</v>
      </c>
      <c r="O53" s="67">
        <v>42.75</v>
      </c>
      <c r="P53" s="67">
        <v>42.75</v>
      </c>
      <c r="Q53" s="67">
        <v>42.75</v>
      </c>
      <c r="R53" s="67">
        <v>42.75</v>
      </c>
      <c r="S53" s="67">
        <v>42.75</v>
      </c>
      <c r="T53" s="67">
        <v>42.75</v>
      </c>
      <c r="U53" s="67">
        <v>42.75</v>
      </c>
      <c r="V53" s="67">
        <v>42.75</v>
      </c>
      <c r="W53" s="67">
        <v>42.75</v>
      </c>
      <c r="X53" s="67">
        <v>42.75</v>
      </c>
      <c r="Y53" s="67">
        <v>42.75</v>
      </c>
      <c r="Z53" s="67">
        <v>42.75</v>
      </c>
      <c r="AA53" s="58">
        <v>0</v>
      </c>
      <c r="AB53" s="10">
        <v>0</v>
      </c>
      <c r="AC53" s="10">
        <v>0</v>
      </c>
      <c r="AD53" s="10">
        <v>0</v>
      </c>
      <c r="AE53" s="10">
        <v>2.6</v>
      </c>
      <c r="AF53" s="10">
        <v>2.6</v>
      </c>
      <c r="AG53" s="10">
        <v>2.6</v>
      </c>
      <c r="AH53" s="10">
        <v>2.6</v>
      </c>
      <c r="AI53" s="10">
        <v>2.6</v>
      </c>
      <c r="AJ53" s="10">
        <v>2.6</v>
      </c>
      <c r="AK53" s="10">
        <v>2.6</v>
      </c>
      <c r="AL53" s="10">
        <v>2.6</v>
      </c>
      <c r="AM53" s="81">
        <v>2.6</v>
      </c>
      <c r="AN53" s="5">
        <v>0</v>
      </c>
      <c r="AO53" s="118">
        <f t="shared" si="1"/>
        <v>0</v>
      </c>
      <c r="AP53" s="5">
        <v>0</v>
      </c>
      <c r="AQ53" s="118">
        <f t="shared" si="2"/>
        <v>0</v>
      </c>
      <c r="AR53" s="5">
        <v>0</v>
      </c>
      <c r="AS53" s="123">
        <f t="shared" si="3"/>
        <v>0</v>
      </c>
      <c r="AT53" s="5">
        <v>12940</v>
      </c>
      <c r="AU53" s="118">
        <f t="shared" si="4"/>
        <v>33644</v>
      </c>
      <c r="AV53" s="5">
        <v>1820</v>
      </c>
      <c r="AW53" s="118">
        <f t="shared" si="5"/>
        <v>4732</v>
      </c>
      <c r="AX53" s="5">
        <v>1190</v>
      </c>
      <c r="AY53" s="123">
        <f t="shared" si="6"/>
        <v>3094</v>
      </c>
      <c r="AZ53" s="105">
        <v>3790</v>
      </c>
      <c r="BA53" s="118">
        <f t="shared" si="7"/>
        <v>9854</v>
      </c>
      <c r="BB53" s="105">
        <v>5540</v>
      </c>
      <c r="BC53" s="118">
        <f t="shared" si="8"/>
        <v>14404</v>
      </c>
      <c r="BD53" s="5">
        <v>4080</v>
      </c>
      <c r="BE53" s="123">
        <f t="shared" si="9"/>
        <v>10608</v>
      </c>
      <c r="BF53" s="105">
        <v>1600</v>
      </c>
      <c r="BG53" s="118">
        <f t="shared" si="10"/>
        <v>4160</v>
      </c>
      <c r="BH53" s="5">
        <v>280</v>
      </c>
      <c r="BI53" s="118">
        <f t="shared" si="11"/>
        <v>728</v>
      </c>
      <c r="BJ53" s="5">
        <v>470</v>
      </c>
      <c r="BK53" s="127">
        <f t="shared" si="12"/>
        <v>1222</v>
      </c>
    </row>
    <row r="54" spans="1:63">
      <c r="A54" s="112" t="s">
        <v>259</v>
      </c>
      <c r="B54" s="107" t="s">
        <v>244</v>
      </c>
      <c r="C54" s="66" t="s">
        <v>175</v>
      </c>
      <c r="D54" s="284"/>
      <c r="E54" s="77" t="s">
        <v>253</v>
      </c>
      <c r="F54" s="282"/>
      <c r="G54" s="71" t="s">
        <v>260</v>
      </c>
      <c r="H54" s="70" t="s">
        <v>261</v>
      </c>
      <c r="I54" s="70" t="s">
        <v>262</v>
      </c>
      <c r="J54" s="71"/>
      <c r="K54" s="70" t="s">
        <v>250</v>
      </c>
      <c r="L54" s="69" t="s">
        <v>257</v>
      </c>
      <c r="M54" s="68" t="s">
        <v>258</v>
      </c>
      <c r="N54" s="67">
        <v>11.73</v>
      </c>
      <c r="O54" s="67">
        <v>11.73</v>
      </c>
      <c r="P54" s="67">
        <v>11.73</v>
      </c>
      <c r="Q54" s="67">
        <v>11.73</v>
      </c>
      <c r="R54" s="67">
        <v>11.73</v>
      </c>
      <c r="S54" s="67">
        <v>11.73</v>
      </c>
      <c r="T54" s="67">
        <v>11.73</v>
      </c>
      <c r="U54" s="67">
        <v>11.73</v>
      </c>
      <c r="V54" s="67">
        <v>11.73</v>
      </c>
      <c r="W54" s="67">
        <v>11.73</v>
      </c>
      <c r="X54" s="67">
        <v>11.73</v>
      </c>
      <c r="Y54" s="67">
        <v>11.73</v>
      </c>
      <c r="Z54" s="67">
        <v>11.73</v>
      </c>
      <c r="AA54" s="58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0.46</v>
      </c>
      <c r="AM54" s="81">
        <v>0.46</v>
      </c>
      <c r="AN54" s="5">
        <v>0</v>
      </c>
      <c r="AO54" s="118">
        <f t="shared" ref="AO54" si="13">AB54*AN54</f>
        <v>0</v>
      </c>
      <c r="AP54" s="5">
        <v>0</v>
      </c>
      <c r="AQ54" s="118">
        <f t="shared" ref="AQ54" si="14">AC54*AP54</f>
        <v>0</v>
      </c>
      <c r="AR54" s="5">
        <v>0</v>
      </c>
      <c r="AS54" s="123">
        <f t="shared" ref="AS54" si="15">AD54*AR54</f>
        <v>0</v>
      </c>
      <c r="AT54" s="5">
        <v>0</v>
      </c>
      <c r="AU54" s="118">
        <f t="shared" si="4"/>
        <v>0</v>
      </c>
      <c r="AV54" s="5">
        <v>0</v>
      </c>
      <c r="AW54" s="118">
        <f t="shared" si="5"/>
        <v>0</v>
      </c>
      <c r="AX54" s="5">
        <v>0</v>
      </c>
      <c r="AY54" s="123">
        <f t="shared" si="6"/>
        <v>0</v>
      </c>
      <c r="AZ54" s="105">
        <v>0</v>
      </c>
      <c r="BA54" s="118">
        <f t="shared" si="7"/>
        <v>0</v>
      </c>
      <c r="BB54" s="105">
        <v>0</v>
      </c>
      <c r="BC54" s="118">
        <f t="shared" si="8"/>
        <v>0</v>
      </c>
      <c r="BD54" s="5">
        <v>0</v>
      </c>
      <c r="BE54" s="123">
        <f t="shared" si="9"/>
        <v>0</v>
      </c>
      <c r="BF54" s="105">
        <v>0</v>
      </c>
      <c r="BG54" s="118">
        <f t="shared" si="10"/>
        <v>0</v>
      </c>
      <c r="BH54" s="5">
        <v>7000</v>
      </c>
      <c r="BI54" s="118">
        <f t="shared" si="11"/>
        <v>3220</v>
      </c>
      <c r="BJ54" s="5">
        <v>3000</v>
      </c>
      <c r="BK54" s="127">
        <f t="shared" si="12"/>
        <v>1380</v>
      </c>
    </row>
    <row r="55" spans="1:63">
      <c r="A55" s="112" t="s">
        <v>259</v>
      </c>
      <c r="B55" s="107" t="s">
        <v>244</v>
      </c>
      <c r="C55" s="66" t="s">
        <v>175</v>
      </c>
      <c r="D55" s="284"/>
      <c r="E55" s="77" t="s">
        <v>253</v>
      </c>
      <c r="F55" s="282"/>
      <c r="G55" s="71" t="s">
        <v>260</v>
      </c>
      <c r="H55" s="70" t="s">
        <v>263</v>
      </c>
      <c r="I55" s="70" t="s">
        <v>264</v>
      </c>
      <c r="J55" s="71"/>
      <c r="K55" s="70" t="s">
        <v>250</v>
      </c>
      <c r="L55" s="69" t="s">
        <v>257</v>
      </c>
      <c r="M55" s="68" t="s">
        <v>258</v>
      </c>
      <c r="N55" s="67">
        <v>13.63</v>
      </c>
      <c r="O55" s="67">
        <v>13.63</v>
      </c>
      <c r="P55" s="67">
        <v>13.63</v>
      </c>
      <c r="Q55" s="67">
        <v>13.63</v>
      </c>
      <c r="R55" s="67">
        <v>13.63</v>
      </c>
      <c r="S55" s="67">
        <v>13.63</v>
      </c>
      <c r="T55" s="67">
        <v>13.63</v>
      </c>
      <c r="U55" s="67">
        <v>13.63</v>
      </c>
      <c r="V55" s="67">
        <v>13.63</v>
      </c>
      <c r="W55" s="67">
        <v>13.63</v>
      </c>
      <c r="X55" s="67">
        <v>13.63</v>
      </c>
      <c r="Y55" s="67">
        <v>13.63</v>
      </c>
      <c r="Z55" s="67">
        <v>13.63</v>
      </c>
      <c r="AA55" s="58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0.46</v>
      </c>
      <c r="AM55" s="81">
        <v>0.46</v>
      </c>
      <c r="AN55" s="5">
        <v>0</v>
      </c>
      <c r="AO55" s="118">
        <f t="shared" ref="AO55:AO57" si="16">AB55*AN55</f>
        <v>0</v>
      </c>
      <c r="AP55" s="5">
        <v>0</v>
      </c>
      <c r="AQ55" s="118">
        <f t="shared" ref="AQ55:AQ57" si="17">AC55*AP55</f>
        <v>0</v>
      </c>
      <c r="AR55" s="5">
        <v>0</v>
      </c>
      <c r="AS55" s="123">
        <f t="shared" ref="AS55:AS57" si="18">AD55*AR55</f>
        <v>0</v>
      </c>
      <c r="AT55" s="5">
        <v>0</v>
      </c>
      <c r="AU55" s="118">
        <f t="shared" ref="AU55:AU57" si="19">AE55*AT55</f>
        <v>0</v>
      </c>
      <c r="AV55" s="5">
        <v>0</v>
      </c>
      <c r="AW55" s="118">
        <f t="shared" ref="AW55:AW57" si="20">AF55*AV55</f>
        <v>0</v>
      </c>
      <c r="AX55" s="5">
        <v>0</v>
      </c>
      <c r="AY55" s="123">
        <f t="shared" ref="AY55:AY57" si="21">AG55*AX55</f>
        <v>0</v>
      </c>
      <c r="AZ55" s="105">
        <v>0</v>
      </c>
      <c r="BA55" s="118">
        <f t="shared" ref="BA55:BA57" si="22">AH55*AZ55</f>
        <v>0</v>
      </c>
      <c r="BB55" s="105">
        <v>0</v>
      </c>
      <c r="BC55" s="118">
        <f t="shared" ref="BC55:BC57" si="23">AI55*BB55</f>
        <v>0</v>
      </c>
      <c r="BD55" s="5">
        <v>0</v>
      </c>
      <c r="BE55" s="123">
        <f t="shared" ref="BE55:BE57" si="24">AJ55*BD55</f>
        <v>0</v>
      </c>
      <c r="BF55" s="105">
        <v>0</v>
      </c>
      <c r="BG55" s="118">
        <f t="shared" si="10"/>
        <v>0</v>
      </c>
      <c r="BH55" s="105">
        <v>0</v>
      </c>
      <c r="BI55" s="118">
        <f t="shared" si="11"/>
        <v>0</v>
      </c>
      <c r="BJ55" s="5">
        <v>8300</v>
      </c>
      <c r="BK55" s="127">
        <f t="shared" si="12"/>
        <v>3818</v>
      </c>
    </row>
    <row r="56" spans="1:63">
      <c r="A56" s="112" t="s">
        <v>259</v>
      </c>
      <c r="B56" s="107" t="s">
        <v>244</v>
      </c>
      <c r="C56" s="66" t="s">
        <v>175</v>
      </c>
      <c r="D56" s="284"/>
      <c r="E56" s="77" t="s">
        <v>253</v>
      </c>
      <c r="F56" s="282"/>
      <c r="G56" s="71" t="s">
        <v>260</v>
      </c>
      <c r="H56" s="70" t="s">
        <v>265</v>
      </c>
      <c r="I56" s="70" t="s">
        <v>264</v>
      </c>
      <c r="J56" s="71"/>
      <c r="K56" s="70" t="s">
        <v>250</v>
      </c>
      <c r="L56" s="69" t="s">
        <v>257</v>
      </c>
      <c r="M56" s="68" t="s">
        <v>258</v>
      </c>
      <c r="N56" s="67">
        <v>12.97</v>
      </c>
      <c r="O56" s="67">
        <v>12.97</v>
      </c>
      <c r="P56" s="67">
        <v>12.97</v>
      </c>
      <c r="Q56" s="67">
        <v>12.97</v>
      </c>
      <c r="R56" s="67">
        <v>12.97</v>
      </c>
      <c r="S56" s="67">
        <v>12.97</v>
      </c>
      <c r="T56" s="67">
        <v>12.97</v>
      </c>
      <c r="U56" s="67">
        <v>12.97</v>
      </c>
      <c r="V56" s="67">
        <v>12.97</v>
      </c>
      <c r="W56" s="67">
        <v>12.97</v>
      </c>
      <c r="X56" s="67">
        <v>12.97</v>
      </c>
      <c r="Y56" s="67">
        <v>12.97</v>
      </c>
      <c r="Z56" s="67">
        <v>12.97</v>
      </c>
      <c r="AA56" s="58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0.46</v>
      </c>
      <c r="AM56" s="81">
        <v>0.46</v>
      </c>
      <c r="AN56" s="5">
        <v>0</v>
      </c>
      <c r="AO56" s="118">
        <f t="shared" si="16"/>
        <v>0</v>
      </c>
      <c r="AP56" s="5">
        <v>0</v>
      </c>
      <c r="AQ56" s="118">
        <f t="shared" si="17"/>
        <v>0</v>
      </c>
      <c r="AR56" s="5">
        <v>0</v>
      </c>
      <c r="AS56" s="123">
        <f t="shared" si="18"/>
        <v>0</v>
      </c>
      <c r="AT56" s="5">
        <v>0</v>
      </c>
      <c r="AU56" s="118">
        <f t="shared" si="19"/>
        <v>0</v>
      </c>
      <c r="AV56" s="5">
        <v>0</v>
      </c>
      <c r="AW56" s="118">
        <f t="shared" si="20"/>
        <v>0</v>
      </c>
      <c r="AX56" s="5">
        <v>0</v>
      </c>
      <c r="AY56" s="123">
        <f t="shared" si="21"/>
        <v>0</v>
      </c>
      <c r="AZ56" s="105">
        <v>0</v>
      </c>
      <c r="BA56" s="118">
        <f t="shared" si="22"/>
        <v>0</v>
      </c>
      <c r="BB56" s="105">
        <v>0</v>
      </c>
      <c r="BC56" s="118">
        <f t="shared" si="23"/>
        <v>0</v>
      </c>
      <c r="BD56" s="5">
        <v>0</v>
      </c>
      <c r="BE56" s="123">
        <f t="shared" si="24"/>
        <v>0</v>
      </c>
      <c r="BF56" s="105">
        <v>0</v>
      </c>
      <c r="BG56" s="118">
        <f t="shared" si="10"/>
        <v>0</v>
      </c>
      <c r="BH56" s="105">
        <v>0</v>
      </c>
      <c r="BI56" s="118">
        <f t="shared" si="11"/>
        <v>0</v>
      </c>
      <c r="BJ56" s="5">
        <v>0</v>
      </c>
      <c r="BK56" s="127">
        <f t="shared" si="12"/>
        <v>0</v>
      </c>
    </row>
    <row r="57" spans="1:63">
      <c r="A57" s="112" t="s">
        <v>259</v>
      </c>
      <c r="B57" s="107" t="s">
        <v>244</v>
      </c>
      <c r="C57" s="66" t="s">
        <v>175</v>
      </c>
      <c r="D57" s="284"/>
      <c r="E57" s="77" t="s">
        <v>253</v>
      </c>
      <c r="F57" s="282"/>
      <c r="G57" s="71" t="s">
        <v>260</v>
      </c>
      <c r="H57" s="70" t="s">
        <v>266</v>
      </c>
      <c r="I57" s="70" t="s">
        <v>264</v>
      </c>
      <c r="J57" s="71"/>
      <c r="K57" s="70" t="s">
        <v>250</v>
      </c>
      <c r="L57" s="69" t="s">
        <v>257</v>
      </c>
      <c r="M57" s="68" t="s">
        <v>258</v>
      </c>
      <c r="N57" s="67">
        <v>15.75</v>
      </c>
      <c r="O57" s="67">
        <v>15.75</v>
      </c>
      <c r="P57" s="67">
        <v>15.75</v>
      </c>
      <c r="Q57" s="67">
        <v>15.75</v>
      </c>
      <c r="R57" s="67">
        <v>15.75</v>
      </c>
      <c r="S57" s="67">
        <v>15.75</v>
      </c>
      <c r="T57" s="67">
        <v>15.75</v>
      </c>
      <c r="U57" s="67">
        <v>15.75</v>
      </c>
      <c r="V57" s="67">
        <v>15.75</v>
      </c>
      <c r="W57" s="67">
        <v>15.75</v>
      </c>
      <c r="X57" s="67">
        <v>15.75</v>
      </c>
      <c r="Y57" s="67">
        <v>15.75</v>
      </c>
      <c r="Z57" s="67">
        <v>15.75</v>
      </c>
      <c r="AA57" s="58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0.46</v>
      </c>
      <c r="AM57" s="81">
        <v>0.46</v>
      </c>
      <c r="AN57" s="5">
        <v>0</v>
      </c>
      <c r="AO57" s="118">
        <f t="shared" si="16"/>
        <v>0</v>
      </c>
      <c r="AP57" s="5">
        <v>0</v>
      </c>
      <c r="AQ57" s="118">
        <f t="shared" si="17"/>
        <v>0</v>
      </c>
      <c r="AR57" s="5">
        <v>0</v>
      </c>
      <c r="AS57" s="123">
        <f t="shared" si="18"/>
        <v>0</v>
      </c>
      <c r="AT57" s="5">
        <v>0</v>
      </c>
      <c r="AU57" s="118">
        <f t="shared" si="19"/>
        <v>0</v>
      </c>
      <c r="AV57" s="5">
        <v>0</v>
      </c>
      <c r="AW57" s="118">
        <f t="shared" si="20"/>
        <v>0</v>
      </c>
      <c r="AX57" s="5">
        <v>0</v>
      </c>
      <c r="AY57" s="123">
        <f t="shared" si="21"/>
        <v>0</v>
      </c>
      <c r="AZ57" s="105">
        <v>0</v>
      </c>
      <c r="BA57" s="118">
        <f t="shared" si="22"/>
        <v>0</v>
      </c>
      <c r="BB57" s="105">
        <v>0</v>
      </c>
      <c r="BC57" s="118">
        <f t="shared" si="23"/>
        <v>0</v>
      </c>
      <c r="BD57" s="5">
        <v>0</v>
      </c>
      <c r="BE57" s="123">
        <f t="shared" si="24"/>
        <v>0</v>
      </c>
      <c r="BF57" s="105">
        <v>0</v>
      </c>
      <c r="BG57" s="118">
        <f t="shared" si="10"/>
        <v>0</v>
      </c>
      <c r="BH57" s="105">
        <v>0</v>
      </c>
      <c r="BI57" s="118">
        <f t="shared" si="11"/>
        <v>0</v>
      </c>
      <c r="BJ57" s="5">
        <v>0</v>
      </c>
      <c r="BK57" s="127">
        <f t="shared" si="12"/>
        <v>0</v>
      </c>
    </row>
    <row r="58" spans="1:63" s="8" customFormat="1">
      <c r="A58" s="112" t="s">
        <v>108</v>
      </c>
      <c r="B58" s="108"/>
      <c r="C58" s="57" t="s">
        <v>175</v>
      </c>
      <c r="D58" s="285"/>
      <c r="E58" s="76" t="s">
        <v>253</v>
      </c>
      <c r="F58" s="282"/>
      <c r="G58" s="72"/>
      <c r="H58" s="75"/>
      <c r="I58" s="75"/>
      <c r="J58" s="72"/>
      <c r="K58" s="75"/>
      <c r="L58" s="74"/>
      <c r="M58" s="52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49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92"/>
      <c r="AN58" s="23"/>
      <c r="AO58" s="118"/>
      <c r="AP58" s="23"/>
      <c r="AQ58" s="118"/>
      <c r="AR58" s="23"/>
      <c r="AS58" s="123"/>
      <c r="AT58" s="23"/>
      <c r="AU58" s="118"/>
      <c r="AV58" s="23"/>
      <c r="AW58" s="118"/>
      <c r="AX58" s="23"/>
      <c r="AY58" s="123"/>
      <c r="AZ58" s="50"/>
      <c r="BA58" s="118"/>
      <c r="BB58" s="50"/>
      <c r="BC58" s="118"/>
      <c r="BD58" s="23"/>
      <c r="BE58" s="123"/>
      <c r="BF58" s="50"/>
      <c r="BG58" s="118"/>
      <c r="BH58" s="23"/>
      <c r="BI58" s="118"/>
      <c r="BJ58" s="23"/>
      <c r="BK58" s="127"/>
    </row>
    <row r="59" spans="1:63">
      <c r="A59" s="112" t="s">
        <v>108</v>
      </c>
      <c r="B59" s="109" t="s">
        <v>267</v>
      </c>
      <c r="C59" s="73" t="s">
        <v>175</v>
      </c>
      <c r="D59" s="286" t="s">
        <v>268</v>
      </c>
      <c r="E59" s="102" t="s">
        <v>176</v>
      </c>
      <c r="F59" s="279" t="s">
        <v>75</v>
      </c>
      <c r="G59" s="64" t="s">
        <v>215</v>
      </c>
      <c r="H59" s="63" t="s">
        <v>269</v>
      </c>
      <c r="I59" s="63" t="s">
        <v>180</v>
      </c>
      <c r="J59" s="64" t="s">
        <v>193</v>
      </c>
      <c r="K59" s="63" t="s">
        <v>270</v>
      </c>
      <c r="L59" s="62" t="s">
        <v>213</v>
      </c>
      <c r="M59" s="61" t="s">
        <v>214</v>
      </c>
      <c r="N59" s="60">
        <v>4.2</v>
      </c>
      <c r="O59" s="60">
        <v>4.2</v>
      </c>
      <c r="P59" s="60">
        <v>4.2</v>
      </c>
      <c r="Q59" s="60">
        <v>4.2</v>
      </c>
      <c r="R59" s="60">
        <v>4.2</v>
      </c>
      <c r="S59" s="60">
        <v>4.2</v>
      </c>
      <c r="T59" s="60">
        <v>4.2</v>
      </c>
      <c r="U59" s="60">
        <v>4.2</v>
      </c>
      <c r="V59" s="60">
        <v>4.2</v>
      </c>
      <c r="W59" s="60">
        <v>4.2</v>
      </c>
      <c r="X59" s="60">
        <v>4.2</v>
      </c>
      <c r="Y59" s="60">
        <v>4.2</v>
      </c>
      <c r="Z59" s="60">
        <v>4.2</v>
      </c>
      <c r="AA59" s="59">
        <v>0.7</v>
      </c>
      <c r="AB59" s="10">
        <v>0.7</v>
      </c>
      <c r="AC59" s="10">
        <v>0.7</v>
      </c>
      <c r="AD59" s="10">
        <v>0.7</v>
      </c>
      <c r="AE59" s="10">
        <v>0.7</v>
      </c>
      <c r="AF59" s="10">
        <v>0.7</v>
      </c>
      <c r="AG59" s="10">
        <v>0.7</v>
      </c>
      <c r="AH59" s="10">
        <v>0.7</v>
      </c>
      <c r="AI59" s="10">
        <v>0.7</v>
      </c>
      <c r="AJ59" s="10">
        <v>0.7</v>
      </c>
      <c r="AK59" s="10">
        <v>0.7</v>
      </c>
      <c r="AL59" s="10">
        <v>0.7</v>
      </c>
      <c r="AM59" s="81">
        <v>0.7</v>
      </c>
      <c r="AN59" s="5">
        <v>23727</v>
      </c>
      <c r="AO59" s="117">
        <f t="shared" si="1"/>
        <v>16608.899999999998</v>
      </c>
      <c r="AP59" s="5">
        <v>53867</v>
      </c>
      <c r="AQ59" s="117">
        <f t="shared" si="2"/>
        <v>37706.899999999994</v>
      </c>
      <c r="AR59" s="5">
        <v>33371</v>
      </c>
      <c r="AS59" s="122">
        <f t="shared" si="3"/>
        <v>23359.699999999997</v>
      </c>
      <c r="AT59" s="5">
        <v>36420</v>
      </c>
      <c r="AU59" s="117">
        <f t="shared" si="4"/>
        <v>25494</v>
      </c>
      <c r="AV59" s="5">
        <v>68218</v>
      </c>
      <c r="AW59" s="117">
        <f t="shared" si="5"/>
        <v>47752.6</v>
      </c>
      <c r="AX59" s="5">
        <v>23263</v>
      </c>
      <c r="AY59" s="122">
        <f t="shared" si="6"/>
        <v>16284.099999999999</v>
      </c>
      <c r="AZ59" s="105">
        <v>64248</v>
      </c>
      <c r="BA59" s="117">
        <f t="shared" si="7"/>
        <v>44973.599999999999</v>
      </c>
      <c r="BB59" s="105">
        <v>86491</v>
      </c>
      <c r="BC59" s="117">
        <f t="shared" si="8"/>
        <v>60543.7</v>
      </c>
      <c r="BD59" s="5">
        <v>29737</v>
      </c>
      <c r="BE59" s="122">
        <f t="shared" si="9"/>
        <v>20815.899999999998</v>
      </c>
      <c r="BF59" s="105">
        <v>47776</v>
      </c>
      <c r="BG59" s="117">
        <f t="shared" si="10"/>
        <v>33443.199999999997</v>
      </c>
      <c r="BH59" s="5">
        <v>56221</v>
      </c>
      <c r="BI59" s="117">
        <f t="shared" si="11"/>
        <v>39354.699999999997</v>
      </c>
      <c r="BJ59" s="5">
        <v>25777</v>
      </c>
      <c r="BK59" s="126">
        <f t="shared" si="12"/>
        <v>18043.899999999998</v>
      </c>
    </row>
    <row r="60" spans="1:63">
      <c r="A60" s="112" t="s">
        <v>108</v>
      </c>
      <c r="B60" s="106" t="s">
        <v>267</v>
      </c>
      <c r="C60" s="66" t="s">
        <v>175</v>
      </c>
      <c r="D60" s="287"/>
      <c r="E60" s="103" t="s">
        <v>176</v>
      </c>
      <c r="F60" s="281"/>
      <c r="G60" s="71" t="s">
        <v>178</v>
      </c>
      <c r="H60" s="70" t="s">
        <v>271</v>
      </c>
      <c r="I60" s="70" t="s">
        <v>180</v>
      </c>
      <c r="J60" s="71" t="s">
        <v>272</v>
      </c>
      <c r="K60" s="70" t="s">
        <v>273</v>
      </c>
      <c r="L60" s="69" t="s">
        <v>185</v>
      </c>
      <c r="M60" s="68" t="s">
        <v>186</v>
      </c>
      <c r="N60" s="67">
        <v>4.4000000000000004</v>
      </c>
      <c r="O60" s="67">
        <v>4.4000000000000004</v>
      </c>
      <c r="P60" s="67">
        <v>4.4000000000000004</v>
      </c>
      <c r="Q60" s="67">
        <v>4.4000000000000004</v>
      </c>
      <c r="R60" s="67">
        <v>4.4000000000000004</v>
      </c>
      <c r="S60" s="67">
        <v>4.4000000000000004</v>
      </c>
      <c r="T60" s="67">
        <v>4.4000000000000004</v>
      </c>
      <c r="U60" s="67">
        <v>4.4000000000000004</v>
      </c>
      <c r="V60" s="67">
        <v>4.4000000000000004</v>
      </c>
      <c r="W60" s="67">
        <v>4.4000000000000004</v>
      </c>
      <c r="X60" s="67">
        <v>4.4000000000000004</v>
      </c>
      <c r="Y60" s="67">
        <v>4.4000000000000004</v>
      </c>
      <c r="Z60" s="67">
        <v>4.4000000000000004</v>
      </c>
      <c r="AA60" s="58">
        <v>0.7</v>
      </c>
      <c r="AB60" s="10">
        <v>0.7</v>
      </c>
      <c r="AC60" s="10">
        <v>0.7</v>
      </c>
      <c r="AD60" s="10">
        <v>0.7</v>
      </c>
      <c r="AE60" s="10">
        <v>0.7</v>
      </c>
      <c r="AF60" s="10">
        <v>0.7</v>
      </c>
      <c r="AG60" s="10">
        <v>0.7</v>
      </c>
      <c r="AH60" s="10">
        <v>1</v>
      </c>
      <c r="AI60" s="10">
        <v>1</v>
      </c>
      <c r="AJ60" s="10">
        <v>1</v>
      </c>
      <c r="AK60" s="10">
        <v>1</v>
      </c>
      <c r="AL60" s="10">
        <v>1</v>
      </c>
      <c r="AM60" s="81">
        <v>1</v>
      </c>
      <c r="AN60" s="5">
        <v>1840</v>
      </c>
      <c r="AO60" s="118">
        <f t="shared" si="1"/>
        <v>1288</v>
      </c>
      <c r="AP60" s="5">
        <v>2040</v>
      </c>
      <c r="AQ60" s="118">
        <f t="shared" si="2"/>
        <v>1428</v>
      </c>
      <c r="AR60" s="5">
        <v>5240</v>
      </c>
      <c r="AS60" s="123">
        <f t="shared" si="3"/>
        <v>3667.9999999999995</v>
      </c>
      <c r="AT60" s="5">
        <f>8881+440</f>
        <v>9321</v>
      </c>
      <c r="AU60" s="118">
        <f t="shared" si="4"/>
        <v>6524.7</v>
      </c>
      <c r="AV60" s="5">
        <v>30652</v>
      </c>
      <c r="AW60" s="118">
        <f t="shared" si="5"/>
        <v>21456.399999999998</v>
      </c>
      <c r="AX60" s="5">
        <v>12680</v>
      </c>
      <c r="AY60" s="123">
        <f t="shared" si="6"/>
        <v>8876</v>
      </c>
      <c r="AZ60" s="105">
        <v>21518</v>
      </c>
      <c r="BA60" s="118">
        <f t="shared" si="7"/>
        <v>21518</v>
      </c>
      <c r="BB60" s="105">
        <v>23240</v>
      </c>
      <c r="BC60" s="118">
        <f t="shared" si="8"/>
        <v>23240</v>
      </c>
      <c r="BD60" s="5">
        <v>15600</v>
      </c>
      <c r="BE60" s="123">
        <f t="shared" si="9"/>
        <v>15600</v>
      </c>
      <c r="BF60" s="105">
        <v>28140</v>
      </c>
      <c r="BG60" s="118">
        <f t="shared" si="10"/>
        <v>28140</v>
      </c>
      <c r="BH60" s="5">
        <v>26040</v>
      </c>
      <c r="BI60" s="118">
        <f t="shared" si="11"/>
        <v>26040</v>
      </c>
      <c r="BJ60" s="5">
        <v>20405</v>
      </c>
      <c r="BK60" s="127">
        <f t="shared" si="12"/>
        <v>20405</v>
      </c>
    </row>
    <row r="61" spans="1:63">
      <c r="A61" s="112" t="s">
        <v>108</v>
      </c>
      <c r="B61" s="106" t="s">
        <v>267</v>
      </c>
      <c r="C61" s="66" t="s">
        <v>175</v>
      </c>
      <c r="D61" s="287"/>
      <c r="E61" s="103" t="s">
        <v>176</v>
      </c>
      <c r="F61" s="281"/>
      <c r="G61" s="71" t="s">
        <v>178</v>
      </c>
      <c r="H61" s="70" t="s">
        <v>271</v>
      </c>
      <c r="I61" s="70" t="s">
        <v>180</v>
      </c>
      <c r="J61" s="71" t="s">
        <v>272</v>
      </c>
      <c r="K61" s="70" t="s">
        <v>198</v>
      </c>
      <c r="L61" s="69" t="s">
        <v>185</v>
      </c>
      <c r="M61" s="68" t="s">
        <v>186</v>
      </c>
      <c r="N61" s="67">
        <v>6.4</v>
      </c>
      <c r="O61" s="67">
        <v>6.4</v>
      </c>
      <c r="P61" s="67">
        <v>6.4</v>
      </c>
      <c r="Q61" s="67">
        <v>6.4</v>
      </c>
      <c r="R61" s="67">
        <v>6.4</v>
      </c>
      <c r="S61" s="67">
        <v>6.4</v>
      </c>
      <c r="T61" s="67">
        <v>6.4</v>
      </c>
      <c r="U61" s="67">
        <v>6.4</v>
      </c>
      <c r="V61" s="67">
        <v>6.4</v>
      </c>
      <c r="W61" s="67">
        <v>6.4</v>
      </c>
      <c r="X61" s="67">
        <v>6.4</v>
      </c>
      <c r="Y61" s="67">
        <v>6.4</v>
      </c>
      <c r="Z61" s="67">
        <v>6.4</v>
      </c>
      <c r="AA61" s="58">
        <v>1</v>
      </c>
      <c r="AB61" s="10">
        <v>1</v>
      </c>
      <c r="AC61" s="10">
        <v>1</v>
      </c>
      <c r="AD61" s="10">
        <v>1</v>
      </c>
      <c r="AE61" s="10">
        <v>1</v>
      </c>
      <c r="AF61" s="10">
        <v>1</v>
      </c>
      <c r="AG61" s="10">
        <v>1</v>
      </c>
      <c r="AH61" s="10">
        <v>1.7</v>
      </c>
      <c r="AI61" s="10">
        <v>1.7</v>
      </c>
      <c r="AJ61" s="10">
        <v>1.7</v>
      </c>
      <c r="AK61" s="10">
        <v>1.7</v>
      </c>
      <c r="AL61" s="10">
        <v>1.7</v>
      </c>
      <c r="AM61" s="81">
        <v>1.7</v>
      </c>
      <c r="AN61" s="5">
        <v>1280</v>
      </c>
      <c r="AO61" s="118">
        <f t="shared" si="1"/>
        <v>1280</v>
      </c>
      <c r="AP61" s="5">
        <v>2960</v>
      </c>
      <c r="AQ61" s="118">
        <f t="shared" si="2"/>
        <v>2960</v>
      </c>
      <c r="AR61" s="5">
        <v>1842</v>
      </c>
      <c r="AS61" s="123">
        <f t="shared" si="3"/>
        <v>1842</v>
      </c>
      <c r="AT61" s="5">
        <v>3440</v>
      </c>
      <c r="AU61" s="118">
        <f t="shared" si="4"/>
        <v>3440</v>
      </c>
      <c r="AV61" s="5">
        <v>80</v>
      </c>
      <c r="AW61" s="118">
        <f t="shared" si="5"/>
        <v>80</v>
      </c>
      <c r="AX61" s="5">
        <v>2440</v>
      </c>
      <c r="AY61" s="123">
        <f t="shared" si="6"/>
        <v>2440</v>
      </c>
      <c r="AZ61" s="105">
        <v>6040</v>
      </c>
      <c r="BA61" s="118">
        <f t="shared" si="7"/>
        <v>10268</v>
      </c>
      <c r="BB61" s="105">
        <v>3280</v>
      </c>
      <c r="BC61" s="118">
        <f t="shared" si="8"/>
        <v>5576</v>
      </c>
      <c r="BD61" s="5">
        <v>2800</v>
      </c>
      <c r="BE61" s="123">
        <f t="shared" si="9"/>
        <v>4760</v>
      </c>
      <c r="BF61" s="105">
        <v>0</v>
      </c>
      <c r="BG61" s="118">
        <f t="shared" si="10"/>
        <v>0</v>
      </c>
      <c r="BH61" s="5">
        <v>0</v>
      </c>
      <c r="BI61" s="118">
        <f t="shared" si="11"/>
        <v>0</v>
      </c>
      <c r="BJ61" s="5">
        <v>0</v>
      </c>
      <c r="BK61" s="127">
        <f t="shared" si="12"/>
        <v>0</v>
      </c>
    </row>
    <row r="62" spans="1:63">
      <c r="A62" s="112" t="s">
        <v>108</v>
      </c>
      <c r="B62" s="106" t="s">
        <v>267</v>
      </c>
      <c r="C62" s="66" t="s">
        <v>175</v>
      </c>
      <c r="D62" s="287"/>
      <c r="E62" s="103" t="s">
        <v>176</v>
      </c>
      <c r="F62" s="281"/>
      <c r="G62" s="71" t="s">
        <v>178</v>
      </c>
      <c r="H62" s="70" t="s">
        <v>271</v>
      </c>
      <c r="I62" s="70" t="s">
        <v>184</v>
      </c>
      <c r="J62" s="71" t="s">
        <v>272</v>
      </c>
      <c r="K62" s="70" t="s">
        <v>274</v>
      </c>
      <c r="L62" s="69" t="s">
        <v>185</v>
      </c>
      <c r="M62" s="68" t="s">
        <v>186</v>
      </c>
      <c r="N62" s="67">
        <v>14.3</v>
      </c>
      <c r="O62" s="67">
        <v>14.3</v>
      </c>
      <c r="P62" s="67">
        <v>14.3</v>
      </c>
      <c r="Q62" s="67">
        <v>14.3</v>
      </c>
      <c r="R62" s="67">
        <v>14.3</v>
      </c>
      <c r="S62" s="67">
        <v>14.3</v>
      </c>
      <c r="T62" s="67">
        <v>14.3</v>
      </c>
      <c r="U62" s="67">
        <v>14.3</v>
      </c>
      <c r="V62" s="67">
        <v>14.3</v>
      </c>
      <c r="W62" s="67">
        <v>14.3</v>
      </c>
      <c r="X62" s="67">
        <v>14.3</v>
      </c>
      <c r="Y62" s="67">
        <v>14.3</v>
      </c>
      <c r="Z62" s="67">
        <v>14.3</v>
      </c>
      <c r="AA62" s="58">
        <v>2.5</v>
      </c>
      <c r="AB62" s="10">
        <v>2.5</v>
      </c>
      <c r="AC62" s="10">
        <v>2.5</v>
      </c>
      <c r="AD62" s="10">
        <v>2.5</v>
      </c>
      <c r="AE62" s="10">
        <v>2.5</v>
      </c>
      <c r="AF62" s="10">
        <v>2.5</v>
      </c>
      <c r="AG62" s="10">
        <v>2.5</v>
      </c>
      <c r="AH62" s="10">
        <v>4</v>
      </c>
      <c r="AI62" s="10">
        <v>4</v>
      </c>
      <c r="AJ62" s="10">
        <v>4</v>
      </c>
      <c r="AK62" s="10">
        <v>4</v>
      </c>
      <c r="AL62" s="10">
        <v>4</v>
      </c>
      <c r="AM62" s="81">
        <v>4</v>
      </c>
      <c r="AN62" s="5">
        <v>560</v>
      </c>
      <c r="AO62" s="118">
        <f t="shared" si="1"/>
        <v>1400</v>
      </c>
      <c r="AP62" s="5">
        <v>0</v>
      </c>
      <c r="AQ62" s="118">
        <f t="shared" si="2"/>
        <v>0</v>
      </c>
      <c r="AR62" s="5">
        <v>0</v>
      </c>
      <c r="AS62" s="123">
        <f t="shared" si="3"/>
        <v>0</v>
      </c>
      <c r="AT62" s="5">
        <v>0</v>
      </c>
      <c r="AU62" s="118">
        <f t="shared" si="4"/>
        <v>0</v>
      </c>
      <c r="AV62" s="5">
        <v>120</v>
      </c>
      <c r="AW62" s="118">
        <f t="shared" si="5"/>
        <v>300</v>
      </c>
      <c r="AX62" s="5">
        <v>0</v>
      </c>
      <c r="AY62" s="123">
        <f t="shared" si="6"/>
        <v>0</v>
      </c>
      <c r="AZ62" s="105">
        <v>0</v>
      </c>
      <c r="BA62" s="118">
        <f t="shared" si="7"/>
        <v>0</v>
      </c>
      <c r="BB62" s="105">
        <v>0</v>
      </c>
      <c r="BC62" s="118">
        <f t="shared" si="8"/>
        <v>0</v>
      </c>
      <c r="BD62" s="5">
        <v>0</v>
      </c>
      <c r="BE62" s="123">
        <f t="shared" si="9"/>
        <v>0</v>
      </c>
      <c r="BF62" s="105">
        <v>0</v>
      </c>
      <c r="BG62" s="118">
        <f t="shared" si="10"/>
        <v>0</v>
      </c>
      <c r="BH62" s="5">
        <v>40</v>
      </c>
      <c r="BI62" s="118">
        <f t="shared" si="11"/>
        <v>160</v>
      </c>
      <c r="BJ62" s="5">
        <v>10440</v>
      </c>
      <c r="BK62" s="127">
        <f t="shared" si="12"/>
        <v>41760</v>
      </c>
    </row>
    <row r="63" spans="1:63">
      <c r="A63" s="112" t="s">
        <v>108</v>
      </c>
      <c r="B63" s="106" t="s">
        <v>267</v>
      </c>
      <c r="C63" s="66" t="s">
        <v>175</v>
      </c>
      <c r="D63" s="287"/>
      <c r="E63" s="103" t="s">
        <v>176</v>
      </c>
      <c r="F63" s="281"/>
      <c r="G63" s="71" t="s">
        <v>202</v>
      </c>
      <c r="H63" s="70" t="s">
        <v>271</v>
      </c>
      <c r="I63" s="70" t="s">
        <v>184</v>
      </c>
      <c r="J63" s="71" t="s">
        <v>272</v>
      </c>
      <c r="K63" s="70" t="s">
        <v>275</v>
      </c>
      <c r="L63" s="69" t="s">
        <v>185</v>
      </c>
      <c r="M63" s="68" t="s">
        <v>186</v>
      </c>
      <c r="N63" s="67">
        <v>15.2</v>
      </c>
      <c r="O63" s="67">
        <v>15.2</v>
      </c>
      <c r="P63" s="67">
        <v>15.2</v>
      </c>
      <c r="Q63" s="67">
        <v>15.2</v>
      </c>
      <c r="R63" s="67">
        <v>15.2</v>
      </c>
      <c r="S63" s="67">
        <v>15.2</v>
      </c>
      <c r="T63" s="67">
        <v>15.2</v>
      </c>
      <c r="U63" s="67">
        <v>15.2</v>
      </c>
      <c r="V63" s="67">
        <v>15.2</v>
      </c>
      <c r="W63" s="67">
        <v>15.2</v>
      </c>
      <c r="X63" s="67">
        <v>15.2</v>
      </c>
      <c r="Y63" s="67">
        <v>15.2</v>
      </c>
      <c r="Z63" s="67">
        <v>15.2</v>
      </c>
      <c r="AA63" s="58">
        <v>0</v>
      </c>
      <c r="AB63" s="10">
        <v>0</v>
      </c>
      <c r="AC63" s="10">
        <v>0</v>
      </c>
      <c r="AD63" s="10">
        <v>0</v>
      </c>
      <c r="AE63" s="10">
        <v>2.5</v>
      </c>
      <c r="AF63" s="10">
        <v>2.5</v>
      </c>
      <c r="AG63" s="10">
        <v>2.5</v>
      </c>
      <c r="AH63" s="10">
        <v>2.5</v>
      </c>
      <c r="AI63" s="10">
        <v>2.5</v>
      </c>
      <c r="AJ63" s="10">
        <v>2.5</v>
      </c>
      <c r="AK63" s="10">
        <v>2.5</v>
      </c>
      <c r="AL63" s="10">
        <v>2.5</v>
      </c>
      <c r="AM63" s="81">
        <v>2.5</v>
      </c>
      <c r="AN63" s="5">
        <v>0</v>
      </c>
      <c r="AO63" s="118">
        <f t="shared" si="1"/>
        <v>0</v>
      </c>
      <c r="AP63" s="5">
        <v>0</v>
      </c>
      <c r="AQ63" s="118">
        <f t="shared" si="2"/>
        <v>0</v>
      </c>
      <c r="AR63" s="5">
        <v>0</v>
      </c>
      <c r="AS63" s="123">
        <f t="shared" si="3"/>
        <v>0</v>
      </c>
      <c r="AT63" s="5">
        <v>80</v>
      </c>
      <c r="AU63" s="118">
        <f t="shared" si="4"/>
        <v>200</v>
      </c>
      <c r="AV63" s="5">
        <v>2120</v>
      </c>
      <c r="AW63" s="118">
        <f t="shared" si="5"/>
        <v>5300</v>
      </c>
      <c r="AX63" s="5">
        <v>3360</v>
      </c>
      <c r="AY63" s="123">
        <f t="shared" si="6"/>
        <v>8400</v>
      </c>
      <c r="AZ63" s="105">
        <v>7080</v>
      </c>
      <c r="BA63" s="118">
        <f t="shared" si="7"/>
        <v>17700</v>
      </c>
      <c r="BB63" s="105">
        <v>5240</v>
      </c>
      <c r="BC63" s="118">
        <f t="shared" si="8"/>
        <v>13100</v>
      </c>
      <c r="BD63" s="5">
        <v>3399</v>
      </c>
      <c r="BE63" s="123">
        <f t="shared" si="9"/>
        <v>8497.5</v>
      </c>
      <c r="BF63" s="105">
        <v>5720</v>
      </c>
      <c r="BG63" s="118">
        <f t="shared" si="10"/>
        <v>14300</v>
      </c>
      <c r="BH63" s="5">
        <v>5068</v>
      </c>
      <c r="BI63" s="118">
        <f t="shared" si="11"/>
        <v>12670</v>
      </c>
      <c r="BJ63" s="5">
        <v>0</v>
      </c>
      <c r="BK63" s="127">
        <f t="shared" si="12"/>
        <v>0</v>
      </c>
    </row>
    <row r="64" spans="1:63">
      <c r="A64" s="112" t="s">
        <v>108</v>
      </c>
      <c r="B64" s="106" t="s">
        <v>267</v>
      </c>
      <c r="C64" s="66" t="s">
        <v>175</v>
      </c>
      <c r="D64" s="287"/>
      <c r="E64" s="103" t="s">
        <v>176</v>
      </c>
      <c r="F64" s="281"/>
      <c r="G64" s="71" t="s">
        <v>202</v>
      </c>
      <c r="H64" s="70" t="s">
        <v>276</v>
      </c>
      <c r="I64" s="70" t="s">
        <v>180</v>
      </c>
      <c r="J64" s="71" t="s">
        <v>193</v>
      </c>
      <c r="K64" s="70" t="s">
        <v>275</v>
      </c>
      <c r="L64" s="69" t="s">
        <v>185</v>
      </c>
      <c r="M64" s="68" t="s">
        <v>204</v>
      </c>
      <c r="N64" s="67">
        <v>4.6500000000000004</v>
      </c>
      <c r="O64" s="67">
        <v>4.6500000000000004</v>
      </c>
      <c r="P64" s="67">
        <v>4.6500000000000004</v>
      </c>
      <c r="Q64" s="67">
        <v>4.6500000000000004</v>
      </c>
      <c r="R64" s="67">
        <v>4.6500000000000004</v>
      </c>
      <c r="S64" s="67">
        <v>4.6500000000000004</v>
      </c>
      <c r="T64" s="67">
        <v>4.6500000000000004</v>
      </c>
      <c r="U64" s="67">
        <v>4.6500000000000004</v>
      </c>
      <c r="V64" s="67">
        <v>4.6500000000000004</v>
      </c>
      <c r="W64" s="67">
        <v>4.6500000000000004</v>
      </c>
      <c r="X64" s="67">
        <v>4.6500000000000004</v>
      </c>
      <c r="Y64" s="67">
        <v>4.6500000000000004</v>
      </c>
      <c r="Z64" s="67">
        <v>4.6500000000000004</v>
      </c>
      <c r="AA64" s="58">
        <v>0</v>
      </c>
      <c r="AB64" s="10">
        <v>0</v>
      </c>
      <c r="AC64" s="10">
        <v>0</v>
      </c>
      <c r="AD64" s="10">
        <v>0</v>
      </c>
      <c r="AE64" s="10">
        <v>0.5</v>
      </c>
      <c r="AF64" s="10">
        <v>0.5</v>
      </c>
      <c r="AG64" s="10">
        <v>0.5</v>
      </c>
      <c r="AH64" s="10">
        <v>0.5</v>
      </c>
      <c r="AI64" s="10">
        <v>0.5</v>
      </c>
      <c r="AJ64" s="10">
        <v>0.5</v>
      </c>
      <c r="AK64" s="10">
        <v>0.5</v>
      </c>
      <c r="AL64" s="10">
        <v>0.5</v>
      </c>
      <c r="AM64" s="81">
        <v>0.5</v>
      </c>
      <c r="AN64" s="5">
        <v>0</v>
      </c>
      <c r="AO64" s="118">
        <f t="shared" si="1"/>
        <v>0</v>
      </c>
      <c r="AP64" s="5">
        <v>0</v>
      </c>
      <c r="AQ64" s="118">
        <f t="shared" si="2"/>
        <v>0</v>
      </c>
      <c r="AR64" s="5">
        <v>0</v>
      </c>
      <c r="AS64" s="123">
        <f t="shared" si="3"/>
        <v>0</v>
      </c>
      <c r="AT64" s="5">
        <v>79</v>
      </c>
      <c r="AU64" s="118">
        <f t="shared" si="4"/>
        <v>39.5</v>
      </c>
      <c r="AV64" s="5">
        <v>2954</v>
      </c>
      <c r="AW64" s="118">
        <f t="shared" si="5"/>
        <v>1477</v>
      </c>
      <c r="AX64" s="5">
        <v>21720</v>
      </c>
      <c r="AY64" s="123">
        <f t="shared" si="6"/>
        <v>10860</v>
      </c>
      <c r="AZ64" s="105">
        <v>22198</v>
      </c>
      <c r="BA64" s="118">
        <f t="shared" si="7"/>
        <v>11099</v>
      </c>
      <c r="BB64" s="105">
        <v>23432</v>
      </c>
      <c r="BC64" s="118">
        <f t="shared" si="8"/>
        <v>11716</v>
      </c>
      <c r="BD64" s="5">
        <v>26001</v>
      </c>
      <c r="BE64" s="123">
        <f t="shared" si="9"/>
        <v>13000.5</v>
      </c>
      <c r="BF64" s="105">
        <v>45142</v>
      </c>
      <c r="BG64" s="118">
        <f t="shared" si="10"/>
        <v>22571</v>
      </c>
      <c r="BH64" s="5">
        <v>36049</v>
      </c>
      <c r="BI64" s="118">
        <f t="shared" si="11"/>
        <v>18024.5</v>
      </c>
      <c r="BJ64" s="5">
        <v>22280</v>
      </c>
      <c r="BK64" s="127">
        <f t="shared" si="12"/>
        <v>11140</v>
      </c>
    </row>
    <row r="65" spans="1:63">
      <c r="A65" s="112" t="s">
        <v>108</v>
      </c>
      <c r="B65" s="106" t="s">
        <v>267</v>
      </c>
      <c r="C65" s="66" t="s">
        <v>175</v>
      </c>
      <c r="D65" s="287"/>
      <c r="E65" s="103" t="s">
        <v>176</v>
      </c>
      <c r="F65" s="281"/>
      <c r="G65" s="71" t="s">
        <v>202</v>
      </c>
      <c r="H65" s="70" t="s">
        <v>276</v>
      </c>
      <c r="I65" s="70" t="s">
        <v>180</v>
      </c>
      <c r="J65" s="71" t="s">
        <v>193</v>
      </c>
      <c r="K65" s="70" t="s">
        <v>181</v>
      </c>
      <c r="L65" s="69" t="s">
        <v>185</v>
      </c>
      <c r="M65" s="68" t="s">
        <v>204</v>
      </c>
      <c r="N65" s="67">
        <v>6.65</v>
      </c>
      <c r="O65" s="67">
        <v>6.65</v>
      </c>
      <c r="P65" s="67">
        <v>6.65</v>
      </c>
      <c r="Q65" s="67">
        <v>6.65</v>
      </c>
      <c r="R65" s="67">
        <v>6.65</v>
      </c>
      <c r="S65" s="67">
        <v>6.65</v>
      </c>
      <c r="T65" s="67">
        <v>6.65</v>
      </c>
      <c r="U65" s="67">
        <v>6.65</v>
      </c>
      <c r="V65" s="67">
        <v>6.65</v>
      </c>
      <c r="W65" s="67">
        <v>6.65</v>
      </c>
      <c r="X65" s="67">
        <v>6.65</v>
      </c>
      <c r="Y65" s="67">
        <v>6.65</v>
      </c>
      <c r="Z65" s="67">
        <v>6.65</v>
      </c>
      <c r="AA65" s="58">
        <v>0</v>
      </c>
      <c r="AB65" s="10">
        <v>0</v>
      </c>
      <c r="AC65" s="10">
        <v>0</v>
      </c>
      <c r="AD65" s="10">
        <v>0</v>
      </c>
      <c r="AE65" s="10">
        <v>0.7</v>
      </c>
      <c r="AF65" s="10">
        <v>0.7</v>
      </c>
      <c r="AG65" s="10">
        <v>0.7</v>
      </c>
      <c r="AH65" s="10">
        <v>0.7</v>
      </c>
      <c r="AI65" s="10">
        <v>0.7</v>
      </c>
      <c r="AJ65" s="10">
        <v>0.7</v>
      </c>
      <c r="AK65" s="10">
        <v>0.7</v>
      </c>
      <c r="AL65" s="10">
        <v>0.7</v>
      </c>
      <c r="AM65" s="81">
        <v>0.7</v>
      </c>
      <c r="AN65" s="5">
        <v>0</v>
      </c>
      <c r="AO65" s="118">
        <f t="shared" si="1"/>
        <v>0</v>
      </c>
      <c r="AP65" s="5">
        <v>0</v>
      </c>
      <c r="AQ65" s="118">
        <f t="shared" si="2"/>
        <v>0</v>
      </c>
      <c r="AR65" s="5">
        <v>0</v>
      </c>
      <c r="AS65" s="123">
        <f t="shared" si="3"/>
        <v>0</v>
      </c>
      <c r="AT65" s="5">
        <v>80</v>
      </c>
      <c r="AU65" s="118">
        <f t="shared" si="4"/>
        <v>56</v>
      </c>
      <c r="AV65" s="5">
        <v>1720</v>
      </c>
      <c r="AW65" s="118">
        <f t="shared" si="5"/>
        <v>1204</v>
      </c>
      <c r="AX65" s="5">
        <v>2619</v>
      </c>
      <c r="AY65" s="123">
        <f t="shared" si="6"/>
        <v>1833.3</v>
      </c>
      <c r="AZ65" s="105">
        <v>3131</v>
      </c>
      <c r="BA65" s="118">
        <f t="shared" si="7"/>
        <v>2191.6999999999998</v>
      </c>
      <c r="BB65" s="105">
        <v>3924</v>
      </c>
      <c r="BC65" s="118">
        <f t="shared" si="8"/>
        <v>2746.7999999999997</v>
      </c>
      <c r="BD65" s="5">
        <v>1199</v>
      </c>
      <c r="BE65" s="123">
        <f t="shared" si="9"/>
        <v>839.3</v>
      </c>
      <c r="BF65" s="105">
        <v>4914</v>
      </c>
      <c r="BG65" s="118">
        <f t="shared" si="10"/>
        <v>3439.7999999999997</v>
      </c>
      <c r="BH65" s="5">
        <v>8879</v>
      </c>
      <c r="BI65" s="118">
        <f t="shared" si="11"/>
        <v>6215.2999999999993</v>
      </c>
      <c r="BJ65" s="5">
        <v>3525</v>
      </c>
      <c r="BK65" s="127">
        <f t="shared" si="12"/>
        <v>2467.5</v>
      </c>
    </row>
    <row r="66" spans="1:63">
      <c r="A66" s="112" t="s">
        <v>108</v>
      </c>
      <c r="B66" s="106" t="s">
        <v>267</v>
      </c>
      <c r="C66" s="66" t="s">
        <v>175</v>
      </c>
      <c r="D66" s="287"/>
      <c r="E66" s="103" t="s">
        <v>176</v>
      </c>
      <c r="F66" s="281"/>
      <c r="G66" s="71" t="s">
        <v>202</v>
      </c>
      <c r="H66" s="70" t="s">
        <v>276</v>
      </c>
      <c r="I66" s="70" t="s">
        <v>184</v>
      </c>
      <c r="J66" s="71" t="s">
        <v>193</v>
      </c>
      <c r="K66" s="70" t="s">
        <v>181</v>
      </c>
      <c r="L66" s="69" t="s">
        <v>185</v>
      </c>
      <c r="M66" s="68" t="s">
        <v>204</v>
      </c>
      <c r="N66" s="67">
        <v>14.3</v>
      </c>
      <c r="O66" s="67">
        <v>14.3</v>
      </c>
      <c r="P66" s="67">
        <v>14.3</v>
      </c>
      <c r="Q66" s="67">
        <v>14.3</v>
      </c>
      <c r="R66" s="67">
        <v>14.3</v>
      </c>
      <c r="S66" s="67">
        <v>14.3</v>
      </c>
      <c r="T66" s="67">
        <v>14.3</v>
      </c>
      <c r="U66" s="67">
        <v>14.3</v>
      </c>
      <c r="V66" s="67">
        <v>14.3</v>
      </c>
      <c r="W66" s="67">
        <v>14.3</v>
      </c>
      <c r="X66" s="67">
        <v>14.3</v>
      </c>
      <c r="Y66" s="67">
        <v>14.3</v>
      </c>
      <c r="Z66" s="67">
        <v>14.3</v>
      </c>
      <c r="AA66" s="58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1.5</v>
      </c>
      <c r="AH66" s="10">
        <v>1.5</v>
      </c>
      <c r="AI66" s="10">
        <v>1.5</v>
      </c>
      <c r="AJ66" s="10">
        <v>1.5</v>
      </c>
      <c r="AK66" s="10">
        <v>1.5</v>
      </c>
      <c r="AL66" s="10">
        <v>1.5</v>
      </c>
      <c r="AM66" s="81">
        <v>1.5</v>
      </c>
      <c r="AN66" s="5">
        <v>0</v>
      </c>
      <c r="AO66" s="118">
        <f t="shared" si="1"/>
        <v>0</v>
      </c>
      <c r="AP66" s="5">
        <v>0</v>
      </c>
      <c r="AQ66" s="118">
        <f t="shared" si="2"/>
        <v>0</v>
      </c>
      <c r="AR66" s="5">
        <v>0</v>
      </c>
      <c r="AS66" s="123">
        <f t="shared" si="3"/>
        <v>0</v>
      </c>
      <c r="AT66" s="5">
        <v>0</v>
      </c>
      <c r="AU66" s="118">
        <f t="shared" si="4"/>
        <v>0</v>
      </c>
      <c r="AV66" s="5">
        <v>0</v>
      </c>
      <c r="AW66" s="118">
        <f t="shared" si="5"/>
        <v>0</v>
      </c>
      <c r="AX66" s="5">
        <v>1280</v>
      </c>
      <c r="AY66" s="123">
        <f t="shared" si="6"/>
        <v>1920</v>
      </c>
      <c r="AZ66" s="105">
        <v>585</v>
      </c>
      <c r="BA66" s="118">
        <f t="shared" si="7"/>
        <v>877.5</v>
      </c>
      <c r="BB66" s="105">
        <v>2822</v>
      </c>
      <c r="BC66" s="118">
        <f t="shared" si="8"/>
        <v>4233</v>
      </c>
      <c r="BD66" s="5">
        <v>1062</v>
      </c>
      <c r="BE66" s="123">
        <f t="shared" si="9"/>
        <v>1593</v>
      </c>
      <c r="BF66" s="105">
        <v>2828</v>
      </c>
      <c r="BG66" s="118">
        <f t="shared" si="10"/>
        <v>4242</v>
      </c>
      <c r="BH66" s="5">
        <v>0</v>
      </c>
      <c r="BI66" s="118">
        <f t="shared" si="11"/>
        <v>0</v>
      </c>
      <c r="BJ66" s="5">
        <v>1070</v>
      </c>
      <c r="BK66" s="127">
        <f t="shared" si="12"/>
        <v>1605</v>
      </c>
    </row>
    <row r="67" spans="1:63">
      <c r="A67" s="112" t="s">
        <v>108</v>
      </c>
      <c r="B67" s="106" t="s">
        <v>267</v>
      </c>
      <c r="C67" s="66" t="s">
        <v>175</v>
      </c>
      <c r="D67" s="287"/>
      <c r="E67" s="103" t="s">
        <v>176</v>
      </c>
      <c r="F67" s="281"/>
      <c r="G67" s="71" t="s">
        <v>202</v>
      </c>
      <c r="H67" s="70" t="s">
        <v>276</v>
      </c>
      <c r="I67" s="70" t="s">
        <v>180</v>
      </c>
      <c r="J67" s="71" t="s">
        <v>193</v>
      </c>
      <c r="K67" s="70" t="s">
        <v>228</v>
      </c>
      <c r="L67" s="69" t="s">
        <v>185</v>
      </c>
      <c r="M67" s="68" t="s">
        <v>204</v>
      </c>
      <c r="N67" s="67">
        <v>4.6500000000000004</v>
      </c>
      <c r="O67" s="67">
        <v>4.6500000000000004</v>
      </c>
      <c r="P67" s="67">
        <v>4.6500000000000004</v>
      </c>
      <c r="Q67" s="67">
        <v>4.6500000000000004</v>
      </c>
      <c r="R67" s="67">
        <v>4.6500000000000004</v>
      </c>
      <c r="S67" s="67">
        <v>4.6500000000000004</v>
      </c>
      <c r="T67" s="67">
        <v>4.6500000000000004</v>
      </c>
      <c r="U67" s="67">
        <v>4.6500000000000004</v>
      </c>
      <c r="V67" s="67">
        <v>4.6500000000000004</v>
      </c>
      <c r="W67" s="67">
        <v>4.6500000000000004</v>
      </c>
      <c r="X67" s="67">
        <v>4.6500000000000004</v>
      </c>
      <c r="Y67" s="67">
        <v>4.6500000000000004</v>
      </c>
      <c r="Z67" s="67">
        <v>4.6500000000000004</v>
      </c>
      <c r="AA67" s="58">
        <v>0</v>
      </c>
      <c r="AB67" s="10">
        <v>0</v>
      </c>
      <c r="AC67" s="10">
        <v>0</v>
      </c>
      <c r="AD67" s="10">
        <v>0</v>
      </c>
      <c r="AE67" s="10">
        <v>0.5</v>
      </c>
      <c r="AF67" s="10">
        <v>0.5</v>
      </c>
      <c r="AG67" s="10">
        <v>0.5</v>
      </c>
      <c r="AH67" s="10">
        <v>0.5</v>
      </c>
      <c r="AI67" s="10">
        <v>0.5</v>
      </c>
      <c r="AJ67" s="10">
        <v>0.5</v>
      </c>
      <c r="AK67" s="10">
        <v>0.5</v>
      </c>
      <c r="AL67" s="10">
        <v>0.5</v>
      </c>
      <c r="AM67" s="81">
        <v>0.5</v>
      </c>
      <c r="AN67" s="5">
        <v>0</v>
      </c>
      <c r="AO67" s="118">
        <f t="shared" si="1"/>
        <v>0</v>
      </c>
      <c r="AP67" s="5">
        <v>0</v>
      </c>
      <c r="AQ67" s="118">
        <f t="shared" si="2"/>
        <v>0</v>
      </c>
      <c r="AR67" s="5">
        <v>0</v>
      </c>
      <c r="AS67" s="123">
        <f t="shared" si="3"/>
        <v>0</v>
      </c>
      <c r="AT67" s="5">
        <v>1720</v>
      </c>
      <c r="AU67" s="118">
        <f t="shared" si="4"/>
        <v>860</v>
      </c>
      <c r="AV67" s="5">
        <v>1027</v>
      </c>
      <c r="AW67" s="118">
        <f t="shared" si="5"/>
        <v>513.5</v>
      </c>
      <c r="AX67" s="5">
        <v>799</v>
      </c>
      <c r="AY67" s="123">
        <f t="shared" si="6"/>
        <v>399.5</v>
      </c>
      <c r="AZ67" s="105">
        <v>5820</v>
      </c>
      <c r="BA67" s="118">
        <f t="shared" si="7"/>
        <v>2910</v>
      </c>
      <c r="BB67" s="105">
        <v>4159</v>
      </c>
      <c r="BC67" s="118">
        <f t="shared" si="8"/>
        <v>2079.5</v>
      </c>
      <c r="BD67" s="5">
        <v>5557</v>
      </c>
      <c r="BE67" s="123">
        <f t="shared" si="9"/>
        <v>2778.5</v>
      </c>
      <c r="BF67" s="105">
        <v>4399</v>
      </c>
      <c r="BG67" s="118">
        <f t="shared" si="10"/>
        <v>2199.5</v>
      </c>
      <c r="BH67" s="5">
        <v>7637</v>
      </c>
      <c r="BI67" s="118">
        <f t="shared" si="11"/>
        <v>3818.5</v>
      </c>
      <c r="BJ67" s="5">
        <v>2640</v>
      </c>
      <c r="BK67" s="127">
        <f t="shared" si="12"/>
        <v>1320</v>
      </c>
    </row>
    <row r="68" spans="1:63">
      <c r="A68" s="112" t="s">
        <v>108</v>
      </c>
      <c r="B68" s="106" t="s">
        <v>267</v>
      </c>
      <c r="C68" s="66" t="s">
        <v>175</v>
      </c>
      <c r="D68" s="287"/>
      <c r="E68" s="103" t="s">
        <v>176</v>
      </c>
      <c r="F68" s="281"/>
      <c r="G68" s="71" t="s">
        <v>202</v>
      </c>
      <c r="H68" s="70" t="s">
        <v>276</v>
      </c>
      <c r="I68" s="70" t="s">
        <v>184</v>
      </c>
      <c r="J68" s="71" t="s">
        <v>193</v>
      </c>
      <c r="K68" s="70" t="s">
        <v>275</v>
      </c>
      <c r="L68" s="69" t="s">
        <v>185</v>
      </c>
      <c r="M68" s="68" t="s">
        <v>204</v>
      </c>
      <c r="N68" s="67">
        <v>15.2</v>
      </c>
      <c r="O68" s="67">
        <v>15.2</v>
      </c>
      <c r="P68" s="67">
        <v>15.2</v>
      </c>
      <c r="Q68" s="67">
        <v>15.2</v>
      </c>
      <c r="R68" s="67">
        <v>15.2</v>
      </c>
      <c r="S68" s="67">
        <v>15.2</v>
      </c>
      <c r="T68" s="67">
        <v>15.2</v>
      </c>
      <c r="U68" s="67">
        <v>15.2</v>
      </c>
      <c r="V68" s="67">
        <v>15.2</v>
      </c>
      <c r="W68" s="67">
        <v>15.2</v>
      </c>
      <c r="X68" s="67">
        <v>15.2</v>
      </c>
      <c r="Y68" s="67">
        <v>15.2</v>
      </c>
      <c r="Z68" s="67">
        <v>15.2</v>
      </c>
      <c r="AA68" s="58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1.5</v>
      </c>
      <c r="AH68" s="10">
        <v>1.5</v>
      </c>
      <c r="AI68" s="10">
        <v>1.5</v>
      </c>
      <c r="AJ68" s="10">
        <v>1.5</v>
      </c>
      <c r="AK68" s="10">
        <v>1.5</v>
      </c>
      <c r="AL68" s="10">
        <v>1.5</v>
      </c>
      <c r="AM68" s="81">
        <v>1.5</v>
      </c>
      <c r="AN68" s="5">
        <v>0</v>
      </c>
      <c r="AO68" s="118">
        <f t="shared" si="1"/>
        <v>0</v>
      </c>
      <c r="AP68" s="5">
        <v>0</v>
      </c>
      <c r="AQ68" s="118">
        <f t="shared" si="2"/>
        <v>0</v>
      </c>
      <c r="AR68" s="5">
        <v>0</v>
      </c>
      <c r="AS68" s="123">
        <f t="shared" si="3"/>
        <v>0</v>
      </c>
      <c r="AT68" s="5">
        <v>0</v>
      </c>
      <c r="AU68" s="118">
        <f t="shared" si="4"/>
        <v>0</v>
      </c>
      <c r="AV68" s="5">
        <v>0</v>
      </c>
      <c r="AW68" s="118">
        <f t="shared" si="5"/>
        <v>0</v>
      </c>
      <c r="AX68" s="5">
        <v>0</v>
      </c>
      <c r="AY68" s="123">
        <f t="shared" si="6"/>
        <v>0</v>
      </c>
      <c r="AZ68" s="105">
        <v>0</v>
      </c>
      <c r="BA68" s="118">
        <f t="shared" si="7"/>
        <v>0</v>
      </c>
      <c r="BB68" s="105">
        <v>0</v>
      </c>
      <c r="BC68" s="118">
        <f t="shared" si="8"/>
        <v>0</v>
      </c>
      <c r="BD68" s="5">
        <v>0</v>
      </c>
      <c r="BE68" s="123">
        <f t="shared" si="9"/>
        <v>0</v>
      </c>
      <c r="BF68" s="105">
        <v>0</v>
      </c>
      <c r="BG68" s="118">
        <f t="shared" si="10"/>
        <v>0</v>
      </c>
      <c r="BH68" s="5">
        <v>0</v>
      </c>
      <c r="BI68" s="118">
        <f t="shared" si="11"/>
        <v>0</v>
      </c>
      <c r="BJ68" s="5">
        <v>0</v>
      </c>
      <c r="BK68" s="127">
        <f t="shared" si="12"/>
        <v>0</v>
      </c>
    </row>
    <row r="69" spans="1:63">
      <c r="A69" s="112" t="s">
        <v>108</v>
      </c>
      <c r="B69" s="106"/>
      <c r="C69" s="66" t="s">
        <v>175</v>
      </c>
      <c r="D69" s="287"/>
      <c r="E69" s="103" t="s">
        <v>176</v>
      </c>
      <c r="F69" s="280"/>
      <c r="G69" s="72"/>
      <c r="H69" s="54"/>
      <c r="I69" s="54"/>
      <c r="J69" s="55"/>
      <c r="K69" s="54"/>
      <c r="L69" s="53"/>
      <c r="M69" s="52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49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92"/>
      <c r="AN69" s="23"/>
      <c r="AO69" s="118">
        <f t="shared" si="1"/>
        <v>0</v>
      </c>
      <c r="AP69" s="23"/>
      <c r="AQ69" s="118">
        <f t="shared" si="2"/>
        <v>0</v>
      </c>
      <c r="AR69" s="23"/>
      <c r="AS69" s="123">
        <f t="shared" si="3"/>
        <v>0</v>
      </c>
      <c r="AT69" s="23"/>
      <c r="AU69" s="118">
        <f t="shared" si="4"/>
        <v>0</v>
      </c>
      <c r="AV69" s="23"/>
      <c r="AW69" s="118">
        <f t="shared" si="5"/>
        <v>0</v>
      </c>
      <c r="AX69" s="23"/>
      <c r="AY69" s="123">
        <f t="shared" si="6"/>
        <v>0</v>
      </c>
      <c r="AZ69" s="50"/>
      <c r="BA69" s="118">
        <f t="shared" si="7"/>
        <v>0</v>
      </c>
      <c r="BB69" s="50">
        <v>0</v>
      </c>
      <c r="BC69" s="118">
        <f t="shared" si="8"/>
        <v>0</v>
      </c>
      <c r="BD69" s="23"/>
      <c r="BE69" s="123">
        <f t="shared" si="9"/>
        <v>0</v>
      </c>
      <c r="BF69" s="50">
        <v>0</v>
      </c>
      <c r="BG69" s="118">
        <f t="shared" si="10"/>
        <v>0</v>
      </c>
      <c r="BH69" s="23"/>
      <c r="BI69" s="118">
        <f t="shared" si="11"/>
        <v>0</v>
      </c>
      <c r="BJ69" s="23"/>
      <c r="BK69" s="127">
        <f t="shared" si="12"/>
        <v>0</v>
      </c>
    </row>
    <row r="70" spans="1:63">
      <c r="A70" s="112" t="s">
        <v>108</v>
      </c>
      <c r="B70" s="106"/>
      <c r="C70" s="66" t="s">
        <v>175</v>
      </c>
      <c r="D70" s="287"/>
      <c r="E70" s="103" t="s">
        <v>176</v>
      </c>
      <c r="F70" s="279" t="s">
        <v>225</v>
      </c>
      <c r="G70" s="64"/>
      <c r="H70" s="63"/>
      <c r="I70" s="63"/>
      <c r="J70" s="64"/>
      <c r="K70" s="63"/>
      <c r="L70" s="62"/>
      <c r="M70" s="61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59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81"/>
      <c r="AO70" s="117">
        <f t="shared" si="1"/>
        <v>0</v>
      </c>
      <c r="AP70" s="22"/>
      <c r="AQ70" s="117">
        <f t="shared" si="2"/>
        <v>0</v>
      </c>
      <c r="AR70" s="22"/>
      <c r="AS70" s="122">
        <f t="shared" si="3"/>
        <v>0</v>
      </c>
      <c r="AT70" s="22"/>
      <c r="AU70" s="117">
        <f t="shared" si="4"/>
        <v>0</v>
      </c>
      <c r="AV70" s="22"/>
      <c r="AW70" s="117">
        <f t="shared" si="5"/>
        <v>0</v>
      </c>
      <c r="AX70" s="22"/>
      <c r="AY70" s="122">
        <f t="shared" si="6"/>
        <v>0</v>
      </c>
      <c r="AZ70" s="79"/>
      <c r="BA70" s="117">
        <f t="shared" si="7"/>
        <v>0</v>
      </c>
      <c r="BB70" s="79"/>
      <c r="BC70" s="117">
        <f t="shared" si="8"/>
        <v>0</v>
      </c>
      <c r="BD70" s="22"/>
      <c r="BE70" s="122">
        <f t="shared" si="9"/>
        <v>0</v>
      </c>
      <c r="BF70" s="79">
        <v>0</v>
      </c>
      <c r="BG70" s="117">
        <f t="shared" si="10"/>
        <v>0</v>
      </c>
      <c r="BH70" s="22"/>
      <c r="BI70" s="117">
        <f t="shared" si="11"/>
        <v>0</v>
      </c>
      <c r="BJ70" s="22"/>
      <c r="BK70" s="126">
        <f t="shared" si="12"/>
        <v>0</v>
      </c>
    </row>
    <row r="71" spans="1:63">
      <c r="A71" s="112" t="s">
        <v>108</v>
      </c>
      <c r="B71" s="106"/>
      <c r="C71" s="66" t="s">
        <v>175</v>
      </c>
      <c r="D71" s="287"/>
      <c r="E71" s="103" t="s">
        <v>176</v>
      </c>
      <c r="F71" s="280"/>
      <c r="G71" s="72"/>
      <c r="H71" s="54"/>
      <c r="I71" s="54"/>
      <c r="J71" s="55"/>
      <c r="K71" s="54"/>
      <c r="L71" s="53"/>
      <c r="M71" s="52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49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92"/>
      <c r="AN71" s="23"/>
      <c r="AO71" s="118">
        <f t="shared" si="1"/>
        <v>0</v>
      </c>
      <c r="AP71" s="23"/>
      <c r="AQ71" s="118">
        <f t="shared" si="2"/>
        <v>0</v>
      </c>
      <c r="AR71" s="23"/>
      <c r="AS71" s="123">
        <f t="shared" si="3"/>
        <v>0</v>
      </c>
      <c r="AT71" s="23"/>
      <c r="AU71" s="118">
        <f t="shared" si="4"/>
        <v>0</v>
      </c>
      <c r="AV71" s="23"/>
      <c r="AW71" s="118">
        <f t="shared" si="5"/>
        <v>0</v>
      </c>
      <c r="AX71" s="23"/>
      <c r="AY71" s="123">
        <f t="shared" si="6"/>
        <v>0</v>
      </c>
      <c r="AZ71" s="50"/>
      <c r="BA71" s="118">
        <f t="shared" si="7"/>
        <v>0</v>
      </c>
      <c r="BB71" s="50"/>
      <c r="BC71" s="118">
        <f t="shared" si="8"/>
        <v>0</v>
      </c>
      <c r="BD71" s="23"/>
      <c r="BE71" s="123">
        <f t="shared" si="9"/>
        <v>0</v>
      </c>
      <c r="BF71" s="50">
        <v>0</v>
      </c>
      <c r="BG71" s="118">
        <f t="shared" si="10"/>
        <v>0</v>
      </c>
      <c r="BH71" s="23"/>
      <c r="BI71" s="118">
        <f t="shared" si="11"/>
        <v>0</v>
      </c>
      <c r="BJ71" s="23"/>
      <c r="BK71" s="127">
        <f t="shared" si="12"/>
        <v>0</v>
      </c>
    </row>
    <row r="72" spans="1:63">
      <c r="A72" s="112" t="s">
        <v>108</v>
      </c>
      <c r="B72" s="106" t="s">
        <v>267</v>
      </c>
      <c r="C72" s="66" t="s">
        <v>175</v>
      </c>
      <c r="D72" s="287"/>
      <c r="E72" s="103" t="s">
        <v>176</v>
      </c>
      <c r="F72" s="282" t="s">
        <v>277</v>
      </c>
      <c r="G72" s="64" t="s">
        <v>187</v>
      </c>
      <c r="H72" s="63" t="s">
        <v>278</v>
      </c>
      <c r="I72" s="63" t="s">
        <v>180</v>
      </c>
      <c r="J72" s="64" t="s">
        <v>193</v>
      </c>
      <c r="K72" s="63" t="s">
        <v>279</v>
      </c>
      <c r="L72" s="62" t="s">
        <v>185</v>
      </c>
      <c r="M72" s="61" t="s">
        <v>204</v>
      </c>
      <c r="N72" s="60">
        <v>6.4</v>
      </c>
      <c r="O72" s="60">
        <v>6.4</v>
      </c>
      <c r="P72" s="60">
        <v>6.4</v>
      </c>
      <c r="Q72" s="60">
        <v>6.4</v>
      </c>
      <c r="R72" s="60">
        <v>6.4</v>
      </c>
      <c r="S72" s="60">
        <v>6.4</v>
      </c>
      <c r="T72" s="60">
        <v>6.4</v>
      </c>
      <c r="U72" s="60">
        <v>6.4</v>
      </c>
      <c r="V72" s="60">
        <v>6.4</v>
      </c>
      <c r="W72" s="60">
        <v>6.4</v>
      </c>
      <c r="X72" s="60">
        <v>6.4</v>
      </c>
      <c r="Y72" s="60">
        <v>6.4</v>
      </c>
      <c r="Z72" s="60">
        <v>6.4</v>
      </c>
      <c r="AA72" s="59">
        <v>1.5</v>
      </c>
      <c r="AB72" s="10">
        <v>1.5</v>
      </c>
      <c r="AC72" s="10">
        <v>1.5</v>
      </c>
      <c r="AD72" s="10">
        <v>1.5</v>
      </c>
      <c r="AE72" s="10">
        <v>1.5</v>
      </c>
      <c r="AF72" s="10">
        <v>1.5</v>
      </c>
      <c r="AG72" s="10">
        <v>1.5</v>
      </c>
      <c r="AH72" s="10">
        <v>1.5</v>
      </c>
      <c r="AI72" s="10">
        <v>1.5</v>
      </c>
      <c r="AJ72" s="10">
        <v>1.5</v>
      </c>
      <c r="AK72" s="10">
        <v>1.5</v>
      </c>
      <c r="AL72" s="10">
        <v>1.5</v>
      </c>
      <c r="AM72" s="81">
        <v>1.5</v>
      </c>
      <c r="AN72" s="5">
        <v>14107</v>
      </c>
      <c r="AO72" s="117">
        <f t="shared" si="1"/>
        <v>21160.5</v>
      </c>
      <c r="AP72" s="5">
        <v>6096</v>
      </c>
      <c r="AQ72" s="117">
        <f t="shared" si="2"/>
        <v>9144</v>
      </c>
      <c r="AR72" s="5">
        <v>3287</v>
      </c>
      <c r="AS72" s="122">
        <f t="shared" si="3"/>
        <v>4930.5</v>
      </c>
      <c r="AT72" s="5">
        <v>7489</v>
      </c>
      <c r="AU72" s="117">
        <f t="shared" si="4"/>
        <v>11233.5</v>
      </c>
      <c r="AV72" s="5">
        <v>13860</v>
      </c>
      <c r="AW72" s="117">
        <f t="shared" si="5"/>
        <v>20790</v>
      </c>
      <c r="AX72" s="5">
        <v>23299</v>
      </c>
      <c r="AY72" s="122">
        <f t="shared" si="6"/>
        <v>34948.5</v>
      </c>
      <c r="AZ72" s="105">
        <v>15818</v>
      </c>
      <c r="BA72" s="117">
        <f t="shared" si="7"/>
        <v>23727</v>
      </c>
      <c r="BB72" s="105">
        <v>15046</v>
      </c>
      <c r="BC72" s="117">
        <f t="shared" si="8"/>
        <v>22569</v>
      </c>
      <c r="BD72" s="5">
        <v>7344</v>
      </c>
      <c r="BE72" s="122">
        <f t="shared" si="9"/>
        <v>11016</v>
      </c>
      <c r="BF72" s="105">
        <v>20500</v>
      </c>
      <c r="BG72" s="117">
        <f t="shared" si="10"/>
        <v>30750</v>
      </c>
      <c r="BH72" s="5">
        <v>14780</v>
      </c>
      <c r="BI72" s="117">
        <f t="shared" si="11"/>
        <v>22170</v>
      </c>
      <c r="BJ72" s="5">
        <v>7150</v>
      </c>
      <c r="BK72" s="126">
        <f t="shared" si="12"/>
        <v>10725</v>
      </c>
    </row>
    <row r="73" spans="1:63">
      <c r="A73" s="112" t="s">
        <v>108</v>
      </c>
      <c r="B73" s="106" t="s">
        <v>267</v>
      </c>
      <c r="C73" s="66" t="s">
        <v>175</v>
      </c>
      <c r="D73" s="287"/>
      <c r="E73" s="103" t="s">
        <v>176</v>
      </c>
      <c r="F73" s="282"/>
      <c r="G73" s="71" t="s">
        <v>187</v>
      </c>
      <c r="H73" s="70" t="s">
        <v>278</v>
      </c>
      <c r="I73" s="70" t="s">
        <v>184</v>
      </c>
      <c r="J73" s="71" t="s">
        <v>193</v>
      </c>
      <c r="K73" s="70" t="s">
        <v>198</v>
      </c>
      <c r="L73" s="69" t="s">
        <v>185</v>
      </c>
      <c r="M73" s="68" t="s">
        <v>204</v>
      </c>
      <c r="N73" s="67">
        <v>13.6</v>
      </c>
      <c r="O73" s="67">
        <v>13.6</v>
      </c>
      <c r="P73" s="67">
        <v>13.6</v>
      </c>
      <c r="Q73" s="67">
        <v>13.6</v>
      </c>
      <c r="R73" s="67">
        <v>13.6</v>
      </c>
      <c r="S73" s="67">
        <v>13.6</v>
      </c>
      <c r="T73" s="67">
        <v>13.6</v>
      </c>
      <c r="U73" s="67">
        <v>13.6</v>
      </c>
      <c r="V73" s="67">
        <v>13.6</v>
      </c>
      <c r="W73" s="67">
        <v>13.6</v>
      </c>
      <c r="X73" s="67">
        <v>13.6</v>
      </c>
      <c r="Y73" s="67">
        <v>13.6</v>
      </c>
      <c r="Z73" s="67">
        <v>13.6</v>
      </c>
      <c r="AA73" s="58">
        <v>5</v>
      </c>
      <c r="AB73" s="10">
        <v>5</v>
      </c>
      <c r="AC73" s="10">
        <v>5</v>
      </c>
      <c r="AD73" s="10">
        <v>5</v>
      </c>
      <c r="AE73" s="10">
        <v>5</v>
      </c>
      <c r="AF73" s="10">
        <v>5</v>
      </c>
      <c r="AG73" s="10">
        <v>5</v>
      </c>
      <c r="AH73" s="10">
        <v>5</v>
      </c>
      <c r="AI73" s="10">
        <v>5</v>
      </c>
      <c r="AJ73" s="10">
        <v>5</v>
      </c>
      <c r="AK73" s="10">
        <v>5</v>
      </c>
      <c r="AL73" s="10">
        <v>5</v>
      </c>
      <c r="AM73" s="81">
        <v>5</v>
      </c>
      <c r="AN73" s="5">
        <v>746</v>
      </c>
      <c r="AO73" s="118">
        <f t="shared" ref="AO73:AO116" si="25">AB73*AN73</f>
        <v>3730</v>
      </c>
      <c r="AP73" s="5">
        <v>678</v>
      </c>
      <c r="AQ73" s="118">
        <f t="shared" ref="AQ73:AQ116" si="26">AC73*AP73</f>
        <v>3390</v>
      </c>
      <c r="AR73" s="5">
        <v>0</v>
      </c>
      <c r="AS73" s="123">
        <f t="shared" ref="AS73:AS116" si="27">AD73*AR73</f>
        <v>0</v>
      </c>
      <c r="AT73" s="5">
        <v>967</v>
      </c>
      <c r="AU73" s="118">
        <f t="shared" ref="AU73:AU116" si="28">AE73*AT73</f>
        <v>4835</v>
      </c>
      <c r="AV73" s="5"/>
      <c r="AW73" s="118">
        <f t="shared" ref="AW73:AW116" si="29">AF73*AV73</f>
        <v>0</v>
      </c>
      <c r="AX73" s="5">
        <v>0</v>
      </c>
      <c r="AY73" s="123">
        <f t="shared" ref="AY73:AY116" si="30">AG73*AX73</f>
        <v>0</v>
      </c>
      <c r="AZ73" s="105">
        <v>0</v>
      </c>
      <c r="BA73" s="118">
        <f t="shared" ref="BA73:BA116" si="31">AH73*AZ73</f>
        <v>0</v>
      </c>
      <c r="BB73" s="105">
        <v>0</v>
      </c>
      <c r="BC73" s="118">
        <f t="shared" ref="BC73:BC116" si="32">AI73*BB73</f>
        <v>0</v>
      </c>
      <c r="BD73" s="5">
        <v>0</v>
      </c>
      <c r="BE73" s="123">
        <f t="shared" ref="BE73:BE116" si="33">AJ73*BD73</f>
        <v>0</v>
      </c>
      <c r="BF73" s="105">
        <v>0</v>
      </c>
      <c r="BG73" s="118">
        <f t="shared" ref="BG73:BG116" si="34">AK73*BF73</f>
        <v>0</v>
      </c>
      <c r="BH73" s="5">
        <v>0</v>
      </c>
      <c r="BI73" s="118">
        <f t="shared" ref="BI73:BI116" si="35">AL73*BH73</f>
        <v>0</v>
      </c>
      <c r="BJ73" s="5">
        <v>0</v>
      </c>
      <c r="BK73" s="127">
        <f t="shared" ref="BK73:BK116" si="36">AM73*BJ73</f>
        <v>0</v>
      </c>
    </row>
    <row r="74" spans="1:63">
      <c r="A74" s="112" t="s">
        <v>108</v>
      </c>
      <c r="B74" s="106" t="s">
        <v>267</v>
      </c>
      <c r="C74" s="66" t="s">
        <v>175</v>
      </c>
      <c r="D74" s="287"/>
      <c r="E74" s="103" t="s">
        <v>176</v>
      </c>
      <c r="F74" s="282"/>
      <c r="G74" s="71" t="s">
        <v>187</v>
      </c>
      <c r="H74" s="70" t="s">
        <v>278</v>
      </c>
      <c r="I74" s="70" t="s">
        <v>184</v>
      </c>
      <c r="J74" s="71" t="s">
        <v>193</v>
      </c>
      <c r="K74" s="70" t="s">
        <v>280</v>
      </c>
      <c r="L74" s="69" t="s">
        <v>185</v>
      </c>
      <c r="M74" s="68" t="s">
        <v>204</v>
      </c>
      <c r="N74" s="67">
        <v>14.3</v>
      </c>
      <c r="O74" s="67">
        <v>14.3</v>
      </c>
      <c r="P74" s="67">
        <v>14.3</v>
      </c>
      <c r="Q74" s="67">
        <v>14.3</v>
      </c>
      <c r="R74" s="67">
        <v>14.3</v>
      </c>
      <c r="S74" s="67">
        <v>14.3</v>
      </c>
      <c r="T74" s="67">
        <v>14.3</v>
      </c>
      <c r="U74" s="67">
        <v>14.3</v>
      </c>
      <c r="V74" s="67">
        <v>14.3</v>
      </c>
      <c r="W74" s="67">
        <v>14.3</v>
      </c>
      <c r="X74" s="67">
        <v>14.3</v>
      </c>
      <c r="Y74" s="67">
        <v>14.3</v>
      </c>
      <c r="Z74" s="67">
        <v>14.3</v>
      </c>
      <c r="AA74" s="58">
        <v>5.5</v>
      </c>
      <c r="AB74" s="10">
        <v>5.5</v>
      </c>
      <c r="AC74" s="10">
        <v>5.5</v>
      </c>
      <c r="AD74" s="10">
        <v>5.5</v>
      </c>
      <c r="AE74" s="10">
        <v>5.5</v>
      </c>
      <c r="AF74" s="10">
        <v>5.5</v>
      </c>
      <c r="AG74" s="10">
        <v>5.5</v>
      </c>
      <c r="AH74" s="10">
        <v>5.5</v>
      </c>
      <c r="AI74" s="10">
        <v>5.5</v>
      </c>
      <c r="AJ74" s="10">
        <v>5.5</v>
      </c>
      <c r="AK74" s="10">
        <v>5.5</v>
      </c>
      <c r="AL74" s="10">
        <v>5.5</v>
      </c>
      <c r="AM74" s="81">
        <v>5.5</v>
      </c>
      <c r="AN74" s="5">
        <v>28776</v>
      </c>
      <c r="AO74" s="118">
        <f t="shared" si="25"/>
        <v>158268</v>
      </c>
      <c r="AP74" s="5">
        <v>884</v>
      </c>
      <c r="AQ74" s="118">
        <f t="shared" si="26"/>
        <v>4862</v>
      </c>
      <c r="AR74" s="5">
        <v>1256</v>
      </c>
      <c r="AS74" s="123">
        <f t="shared" si="27"/>
        <v>6908</v>
      </c>
      <c r="AT74" s="5">
        <v>4440</v>
      </c>
      <c r="AU74" s="118">
        <f t="shared" si="28"/>
        <v>24420</v>
      </c>
      <c r="AV74" s="5">
        <v>6940</v>
      </c>
      <c r="AW74" s="118">
        <f t="shared" si="29"/>
        <v>38170</v>
      </c>
      <c r="AX74" s="5">
        <v>7635</v>
      </c>
      <c r="AY74" s="123">
        <f t="shared" si="30"/>
        <v>41992.5</v>
      </c>
      <c r="AZ74" s="105">
        <v>4690</v>
      </c>
      <c r="BA74" s="118">
        <f t="shared" si="31"/>
        <v>25795</v>
      </c>
      <c r="BB74" s="105">
        <v>5099</v>
      </c>
      <c r="BC74" s="118">
        <f t="shared" si="32"/>
        <v>28044.5</v>
      </c>
      <c r="BD74" s="5">
        <v>2418</v>
      </c>
      <c r="BE74" s="123">
        <f t="shared" si="33"/>
        <v>13299</v>
      </c>
      <c r="BF74" s="105">
        <v>3531</v>
      </c>
      <c r="BG74" s="118">
        <f t="shared" si="34"/>
        <v>19420.5</v>
      </c>
      <c r="BH74" s="5">
        <v>2718</v>
      </c>
      <c r="BI74" s="118">
        <f t="shared" si="35"/>
        <v>14949</v>
      </c>
      <c r="BJ74" s="5">
        <v>2551</v>
      </c>
      <c r="BK74" s="127">
        <f t="shared" si="36"/>
        <v>14030.5</v>
      </c>
    </row>
    <row r="75" spans="1:63">
      <c r="A75" s="112" t="s">
        <v>108</v>
      </c>
      <c r="B75" s="106" t="s">
        <v>267</v>
      </c>
      <c r="C75" s="66" t="s">
        <v>175</v>
      </c>
      <c r="D75" s="287"/>
      <c r="E75" s="103" t="s">
        <v>176</v>
      </c>
      <c r="F75" s="282"/>
      <c r="G75" s="71" t="s">
        <v>187</v>
      </c>
      <c r="H75" s="70" t="s">
        <v>278</v>
      </c>
      <c r="I75" s="70" t="s">
        <v>184</v>
      </c>
      <c r="J75" s="71" t="s">
        <v>193</v>
      </c>
      <c r="K75" s="70" t="s">
        <v>281</v>
      </c>
      <c r="L75" s="69" t="s">
        <v>185</v>
      </c>
      <c r="M75" s="68" t="s">
        <v>204</v>
      </c>
      <c r="N75" s="67">
        <v>15.2</v>
      </c>
      <c r="O75" s="67">
        <v>15.2</v>
      </c>
      <c r="P75" s="67">
        <v>15.2</v>
      </c>
      <c r="Q75" s="67">
        <v>15.2</v>
      </c>
      <c r="R75" s="67">
        <v>15.2</v>
      </c>
      <c r="S75" s="67">
        <v>15.2</v>
      </c>
      <c r="T75" s="67">
        <v>15.2</v>
      </c>
      <c r="U75" s="67">
        <v>15.2</v>
      </c>
      <c r="V75" s="67">
        <v>15.2</v>
      </c>
      <c r="W75" s="67">
        <v>15.2</v>
      </c>
      <c r="X75" s="67">
        <v>15.2</v>
      </c>
      <c r="Y75" s="67">
        <v>15.2</v>
      </c>
      <c r="Z75" s="67">
        <v>15.2</v>
      </c>
      <c r="AA75" s="58">
        <v>5.5</v>
      </c>
      <c r="AB75" s="10">
        <v>5.5</v>
      </c>
      <c r="AC75" s="10">
        <v>5.5</v>
      </c>
      <c r="AD75" s="10">
        <v>5.5</v>
      </c>
      <c r="AE75" s="10">
        <v>5.5</v>
      </c>
      <c r="AF75" s="10">
        <v>5.5</v>
      </c>
      <c r="AG75" s="10">
        <v>5.5</v>
      </c>
      <c r="AH75" s="10">
        <v>5.5</v>
      </c>
      <c r="AI75" s="10">
        <v>5.5</v>
      </c>
      <c r="AJ75" s="10">
        <v>5.5</v>
      </c>
      <c r="AK75" s="10">
        <v>5.5</v>
      </c>
      <c r="AL75" s="10">
        <v>5.5</v>
      </c>
      <c r="AM75" s="81">
        <v>5.5</v>
      </c>
      <c r="AN75" s="5">
        <v>0</v>
      </c>
      <c r="AO75" s="118">
        <f t="shared" si="25"/>
        <v>0</v>
      </c>
      <c r="AP75" s="5">
        <v>0</v>
      </c>
      <c r="AQ75" s="118">
        <f t="shared" si="26"/>
        <v>0</v>
      </c>
      <c r="AR75" s="5">
        <v>0</v>
      </c>
      <c r="AS75" s="123">
        <f t="shared" si="27"/>
        <v>0</v>
      </c>
      <c r="AT75" s="5">
        <v>0</v>
      </c>
      <c r="AU75" s="118">
        <f t="shared" si="28"/>
        <v>0</v>
      </c>
      <c r="AV75" s="5"/>
      <c r="AW75" s="118">
        <f t="shared" si="29"/>
        <v>0</v>
      </c>
      <c r="AX75" s="5">
        <v>0</v>
      </c>
      <c r="AY75" s="123">
        <f t="shared" si="30"/>
        <v>0</v>
      </c>
      <c r="AZ75" s="105">
        <v>0</v>
      </c>
      <c r="BA75" s="118">
        <f t="shared" si="31"/>
        <v>0</v>
      </c>
      <c r="BB75" s="105">
        <v>0</v>
      </c>
      <c r="BC75" s="118">
        <f t="shared" si="32"/>
        <v>0</v>
      </c>
      <c r="BD75" s="5">
        <v>0</v>
      </c>
      <c r="BE75" s="123">
        <f t="shared" si="33"/>
        <v>0</v>
      </c>
      <c r="BF75" s="105">
        <v>0</v>
      </c>
      <c r="BG75" s="118">
        <f t="shared" si="34"/>
        <v>0</v>
      </c>
      <c r="BH75" s="5">
        <v>0</v>
      </c>
      <c r="BI75" s="118">
        <f t="shared" si="35"/>
        <v>0</v>
      </c>
      <c r="BJ75" s="5">
        <v>0</v>
      </c>
      <c r="BK75" s="127">
        <f t="shared" si="36"/>
        <v>0</v>
      </c>
    </row>
    <row r="76" spans="1:63">
      <c r="A76" s="112" t="s">
        <v>108</v>
      </c>
      <c r="B76" s="106" t="s">
        <v>267</v>
      </c>
      <c r="C76" s="66" t="s">
        <v>175</v>
      </c>
      <c r="D76" s="287"/>
      <c r="E76" s="103" t="s">
        <v>176</v>
      </c>
      <c r="F76" s="282"/>
      <c r="G76" s="71" t="s">
        <v>200</v>
      </c>
      <c r="H76" s="70" t="s">
        <v>282</v>
      </c>
      <c r="I76" s="70" t="s">
        <v>184</v>
      </c>
      <c r="J76" s="71" t="s">
        <v>283</v>
      </c>
      <c r="K76" s="70" t="s">
        <v>284</v>
      </c>
      <c r="L76" s="69" t="s">
        <v>185</v>
      </c>
      <c r="M76" s="68" t="s">
        <v>204</v>
      </c>
      <c r="N76" s="67">
        <v>15.4</v>
      </c>
      <c r="O76" s="67">
        <v>15.4</v>
      </c>
      <c r="P76" s="67">
        <v>15.4</v>
      </c>
      <c r="Q76" s="67">
        <v>15.4</v>
      </c>
      <c r="R76" s="67">
        <v>15.4</v>
      </c>
      <c r="S76" s="67">
        <v>15.4</v>
      </c>
      <c r="T76" s="67">
        <v>15.4</v>
      </c>
      <c r="U76" s="67">
        <v>15.4</v>
      </c>
      <c r="V76" s="67">
        <v>15.4</v>
      </c>
      <c r="W76" s="67">
        <v>15.4</v>
      </c>
      <c r="X76" s="67">
        <v>15.4</v>
      </c>
      <c r="Y76" s="67">
        <v>15.4</v>
      </c>
      <c r="Z76" s="67">
        <v>15.4</v>
      </c>
      <c r="AA76" s="58">
        <v>1.85</v>
      </c>
      <c r="AB76" s="10">
        <v>1.85</v>
      </c>
      <c r="AC76" s="10">
        <v>1.85</v>
      </c>
      <c r="AD76" s="10">
        <v>3.5</v>
      </c>
      <c r="AE76" s="10">
        <v>3.5</v>
      </c>
      <c r="AF76" s="10">
        <v>3.5</v>
      </c>
      <c r="AG76" s="10">
        <v>3.5</v>
      </c>
      <c r="AH76" s="10">
        <v>4.5</v>
      </c>
      <c r="AI76" s="10">
        <v>4.5</v>
      </c>
      <c r="AJ76" s="10">
        <v>4.5</v>
      </c>
      <c r="AK76" s="10">
        <v>4.5</v>
      </c>
      <c r="AL76" s="10">
        <v>4.5</v>
      </c>
      <c r="AM76" s="81">
        <v>4.5</v>
      </c>
      <c r="AN76" s="5">
        <v>18920</v>
      </c>
      <c r="AO76" s="118">
        <f t="shared" si="25"/>
        <v>35002</v>
      </c>
      <c r="AP76" s="5">
        <v>13051</v>
      </c>
      <c r="AQ76" s="118">
        <f t="shared" si="26"/>
        <v>24144.350000000002</v>
      </c>
      <c r="AR76" s="5">
        <f>6864+109</f>
        <v>6973</v>
      </c>
      <c r="AS76" s="123">
        <f t="shared" si="27"/>
        <v>24405.5</v>
      </c>
      <c r="AT76" s="5">
        <v>11928</v>
      </c>
      <c r="AU76" s="118">
        <f t="shared" si="28"/>
        <v>41748</v>
      </c>
      <c r="AV76" s="5">
        <v>23720</v>
      </c>
      <c r="AW76" s="118">
        <f t="shared" si="29"/>
        <v>83020</v>
      </c>
      <c r="AX76" s="5">
        <v>18568</v>
      </c>
      <c r="AY76" s="123">
        <f t="shared" si="30"/>
        <v>64988</v>
      </c>
      <c r="AZ76" s="105">
        <v>12986</v>
      </c>
      <c r="BA76" s="118">
        <f t="shared" si="31"/>
        <v>58437</v>
      </c>
      <c r="BB76" s="105">
        <v>28886</v>
      </c>
      <c r="BC76" s="118">
        <f t="shared" si="32"/>
        <v>129987</v>
      </c>
      <c r="BD76" s="5">
        <v>27144</v>
      </c>
      <c r="BE76" s="123">
        <f t="shared" si="33"/>
        <v>122148</v>
      </c>
      <c r="BF76" s="105">
        <v>24238</v>
      </c>
      <c r="BG76" s="118">
        <f t="shared" si="34"/>
        <v>109071</v>
      </c>
      <c r="BH76" s="5">
        <v>45781</v>
      </c>
      <c r="BI76" s="118">
        <f t="shared" si="35"/>
        <v>206014.5</v>
      </c>
      <c r="BJ76" s="5">
        <v>34104</v>
      </c>
      <c r="BK76" s="127">
        <f t="shared" si="36"/>
        <v>153468</v>
      </c>
    </row>
    <row r="77" spans="1:63">
      <c r="A77" s="112" t="s">
        <v>108</v>
      </c>
      <c r="B77" s="106" t="s">
        <v>267</v>
      </c>
      <c r="C77" s="66" t="s">
        <v>175</v>
      </c>
      <c r="D77" s="287"/>
      <c r="E77" s="103" t="s">
        <v>176</v>
      </c>
      <c r="F77" s="282"/>
      <c r="G77" s="71" t="s">
        <v>200</v>
      </c>
      <c r="H77" s="70" t="s">
        <v>282</v>
      </c>
      <c r="I77" s="70" t="s">
        <v>184</v>
      </c>
      <c r="J77" s="71" t="s">
        <v>283</v>
      </c>
      <c r="K77" s="70" t="s">
        <v>285</v>
      </c>
      <c r="L77" s="69" t="s">
        <v>185</v>
      </c>
      <c r="M77" s="68" t="s">
        <v>204</v>
      </c>
      <c r="N77" s="67">
        <v>16.399999999999999</v>
      </c>
      <c r="O77" s="67">
        <v>16.399999999999999</v>
      </c>
      <c r="P77" s="67">
        <v>16.399999999999999</v>
      </c>
      <c r="Q77" s="67">
        <v>16.399999999999999</v>
      </c>
      <c r="R77" s="67">
        <v>16.399999999999999</v>
      </c>
      <c r="S77" s="67">
        <v>16.399999999999999</v>
      </c>
      <c r="T77" s="67">
        <v>16.399999999999999</v>
      </c>
      <c r="U77" s="67">
        <v>16.399999999999999</v>
      </c>
      <c r="V77" s="67">
        <v>16.399999999999999</v>
      </c>
      <c r="W77" s="67">
        <v>16.399999999999999</v>
      </c>
      <c r="X77" s="67">
        <v>16.399999999999999</v>
      </c>
      <c r="Y77" s="67">
        <v>16.399999999999999</v>
      </c>
      <c r="Z77" s="67">
        <v>16.399999999999999</v>
      </c>
      <c r="AA77" s="58">
        <v>1.85</v>
      </c>
      <c r="AB77" s="10">
        <v>1.85</v>
      </c>
      <c r="AC77" s="10">
        <v>1.85</v>
      </c>
      <c r="AD77" s="10">
        <v>3.5</v>
      </c>
      <c r="AE77" s="10">
        <v>3.5</v>
      </c>
      <c r="AF77" s="10">
        <v>3.5</v>
      </c>
      <c r="AG77" s="10">
        <v>3.5</v>
      </c>
      <c r="AH77" s="10">
        <v>4.5</v>
      </c>
      <c r="AI77" s="10">
        <v>4.5</v>
      </c>
      <c r="AJ77" s="10">
        <v>4.5</v>
      </c>
      <c r="AK77" s="10">
        <v>4.5</v>
      </c>
      <c r="AL77" s="10">
        <v>4.5</v>
      </c>
      <c r="AM77" s="81">
        <v>4.5</v>
      </c>
      <c r="AN77" s="5">
        <v>1352</v>
      </c>
      <c r="AO77" s="118">
        <f t="shared" si="25"/>
        <v>2501.2000000000003</v>
      </c>
      <c r="AP77" s="5">
        <v>1729</v>
      </c>
      <c r="AQ77" s="118">
        <f t="shared" si="26"/>
        <v>3198.65</v>
      </c>
      <c r="AR77" s="5">
        <v>2313</v>
      </c>
      <c r="AS77" s="123">
        <f t="shared" si="27"/>
        <v>8095.5</v>
      </c>
      <c r="AT77" s="5">
        <v>0</v>
      </c>
      <c r="AU77" s="118">
        <f t="shared" si="28"/>
        <v>0</v>
      </c>
      <c r="AV77" s="5">
        <v>2320</v>
      </c>
      <c r="AW77" s="118">
        <f t="shared" si="29"/>
        <v>8120</v>
      </c>
      <c r="AX77" s="5">
        <v>429</v>
      </c>
      <c r="AY77" s="123">
        <f t="shared" si="30"/>
        <v>1501.5</v>
      </c>
      <c r="AZ77" s="105">
        <v>0</v>
      </c>
      <c r="BA77" s="118">
        <f t="shared" si="31"/>
        <v>0</v>
      </c>
      <c r="BB77" s="105">
        <v>66</v>
      </c>
      <c r="BC77" s="118">
        <f t="shared" si="32"/>
        <v>297</v>
      </c>
      <c r="BD77" s="5">
        <v>0</v>
      </c>
      <c r="BE77" s="123">
        <f t="shared" si="33"/>
        <v>0</v>
      </c>
      <c r="BF77" s="105">
        <v>0</v>
      </c>
      <c r="BG77" s="118">
        <f t="shared" si="34"/>
        <v>0</v>
      </c>
      <c r="BH77" s="5">
        <v>158</v>
      </c>
      <c r="BI77" s="118">
        <f t="shared" si="35"/>
        <v>711</v>
      </c>
      <c r="BJ77" s="5">
        <v>0</v>
      </c>
      <c r="BK77" s="127">
        <f t="shared" si="36"/>
        <v>0</v>
      </c>
    </row>
    <row r="78" spans="1:63">
      <c r="A78" s="112" t="s">
        <v>108</v>
      </c>
      <c r="B78" s="106" t="s">
        <v>267</v>
      </c>
      <c r="C78" s="66" t="s">
        <v>175</v>
      </c>
      <c r="D78" s="287"/>
      <c r="E78" s="103" t="s">
        <v>176</v>
      </c>
      <c r="F78" s="282"/>
      <c r="G78" s="71" t="s">
        <v>202</v>
      </c>
      <c r="H78" s="70" t="s">
        <v>286</v>
      </c>
      <c r="I78" s="70" t="s">
        <v>184</v>
      </c>
      <c r="J78" s="71" t="s">
        <v>193</v>
      </c>
      <c r="K78" s="70" t="s">
        <v>287</v>
      </c>
      <c r="L78" s="69" t="s">
        <v>185</v>
      </c>
      <c r="M78" s="68" t="s">
        <v>204</v>
      </c>
      <c r="N78" s="67">
        <v>15.4</v>
      </c>
      <c r="O78" s="67">
        <v>15.4</v>
      </c>
      <c r="P78" s="67">
        <v>15.4</v>
      </c>
      <c r="Q78" s="67">
        <v>15.4</v>
      </c>
      <c r="R78" s="67">
        <v>15.4</v>
      </c>
      <c r="S78" s="67">
        <v>15.4</v>
      </c>
      <c r="T78" s="67">
        <v>15.4</v>
      </c>
      <c r="U78" s="67">
        <v>15.4</v>
      </c>
      <c r="V78" s="67">
        <v>15.4</v>
      </c>
      <c r="W78" s="67">
        <v>15.4</v>
      </c>
      <c r="X78" s="67">
        <v>15.4</v>
      </c>
      <c r="Y78" s="67">
        <v>15.4</v>
      </c>
      <c r="Z78" s="67">
        <v>15.4</v>
      </c>
      <c r="AA78" s="58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3.5</v>
      </c>
      <c r="AH78" s="10">
        <v>3.5</v>
      </c>
      <c r="AI78" s="10">
        <v>3.5</v>
      </c>
      <c r="AJ78" s="10">
        <v>3.5</v>
      </c>
      <c r="AK78" s="10">
        <v>3.5</v>
      </c>
      <c r="AL78" s="10">
        <v>3.5</v>
      </c>
      <c r="AM78" s="81">
        <v>3.5</v>
      </c>
      <c r="AN78" s="5">
        <v>0</v>
      </c>
      <c r="AO78" s="118">
        <f t="shared" si="25"/>
        <v>0</v>
      </c>
      <c r="AP78" s="5">
        <v>0</v>
      </c>
      <c r="AQ78" s="118">
        <f t="shared" si="26"/>
        <v>0</v>
      </c>
      <c r="AR78" s="5">
        <v>0</v>
      </c>
      <c r="AS78" s="123">
        <f t="shared" si="27"/>
        <v>0</v>
      </c>
      <c r="AT78" s="5">
        <v>0</v>
      </c>
      <c r="AU78" s="118">
        <f t="shared" si="28"/>
        <v>0</v>
      </c>
      <c r="AV78" s="5">
        <v>0</v>
      </c>
      <c r="AW78" s="118">
        <f t="shared" si="29"/>
        <v>0</v>
      </c>
      <c r="AX78" s="5">
        <v>0</v>
      </c>
      <c r="AY78" s="123">
        <f t="shared" si="30"/>
        <v>0</v>
      </c>
      <c r="AZ78" s="105">
        <v>0</v>
      </c>
      <c r="BA78" s="118">
        <f t="shared" si="31"/>
        <v>0</v>
      </c>
      <c r="BB78" s="105">
        <v>280</v>
      </c>
      <c r="BC78" s="118">
        <f t="shared" si="32"/>
        <v>980</v>
      </c>
      <c r="BD78" s="5">
        <v>160</v>
      </c>
      <c r="BE78" s="123">
        <f t="shared" si="33"/>
        <v>560</v>
      </c>
      <c r="BF78" s="105">
        <v>356</v>
      </c>
      <c r="BG78" s="118">
        <f t="shared" si="34"/>
        <v>1246</v>
      </c>
      <c r="BH78" s="5">
        <v>480</v>
      </c>
      <c r="BI78" s="118">
        <f t="shared" si="35"/>
        <v>1680</v>
      </c>
      <c r="BJ78" s="5">
        <v>118</v>
      </c>
      <c r="BK78" s="127">
        <f t="shared" si="36"/>
        <v>413</v>
      </c>
    </row>
    <row r="79" spans="1:63">
      <c r="A79" s="112" t="s">
        <v>108</v>
      </c>
      <c r="B79" s="106" t="s">
        <v>267</v>
      </c>
      <c r="C79" s="66" t="s">
        <v>175</v>
      </c>
      <c r="D79" s="287"/>
      <c r="E79" s="103" t="s">
        <v>176</v>
      </c>
      <c r="F79" s="282"/>
      <c r="G79" s="71" t="s">
        <v>202</v>
      </c>
      <c r="H79" s="70" t="s">
        <v>286</v>
      </c>
      <c r="I79" s="70" t="s">
        <v>184</v>
      </c>
      <c r="J79" s="71" t="s">
        <v>193</v>
      </c>
      <c r="K79" s="70" t="s">
        <v>288</v>
      </c>
      <c r="L79" s="69" t="s">
        <v>213</v>
      </c>
      <c r="M79" s="68" t="s">
        <v>214</v>
      </c>
      <c r="N79" s="67">
        <v>15.4</v>
      </c>
      <c r="O79" s="67">
        <v>15.4</v>
      </c>
      <c r="P79" s="67">
        <v>15.4</v>
      </c>
      <c r="Q79" s="67">
        <v>15.4</v>
      </c>
      <c r="R79" s="67">
        <v>15.4</v>
      </c>
      <c r="S79" s="67">
        <v>15.4</v>
      </c>
      <c r="T79" s="67">
        <v>15.4</v>
      </c>
      <c r="U79" s="67">
        <v>15.4</v>
      </c>
      <c r="V79" s="67">
        <v>15.4</v>
      </c>
      <c r="W79" s="67">
        <v>15.4</v>
      </c>
      <c r="X79" s="67">
        <v>15.4</v>
      </c>
      <c r="Y79" s="67">
        <v>15.4</v>
      </c>
      <c r="Z79" s="67">
        <v>15.4</v>
      </c>
      <c r="AA79" s="58">
        <v>0</v>
      </c>
      <c r="AB79" s="10">
        <v>0</v>
      </c>
      <c r="AC79" s="10">
        <v>0</v>
      </c>
      <c r="AD79" s="10">
        <v>0</v>
      </c>
      <c r="AE79" s="10">
        <v>3.5</v>
      </c>
      <c r="AF79" s="10">
        <v>3.5</v>
      </c>
      <c r="AG79" s="10">
        <v>3.5</v>
      </c>
      <c r="AH79" s="10">
        <v>3.5</v>
      </c>
      <c r="AI79" s="10">
        <v>3.5</v>
      </c>
      <c r="AJ79" s="10">
        <v>3.5</v>
      </c>
      <c r="AK79" s="10">
        <v>3.5</v>
      </c>
      <c r="AL79" s="10">
        <v>3.5</v>
      </c>
      <c r="AM79" s="81">
        <v>3.5</v>
      </c>
      <c r="AN79" s="5">
        <v>0</v>
      </c>
      <c r="AO79" s="118">
        <f t="shared" si="25"/>
        <v>0</v>
      </c>
      <c r="AP79" s="5">
        <v>0</v>
      </c>
      <c r="AQ79" s="118">
        <f t="shared" si="26"/>
        <v>0</v>
      </c>
      <c r="AR79" s="5">
        <v>0</v>
      </c>
      <c r="AS79" s="123">
        <f t="shared" si="27"/>
        <v>0</v>
      </c>
      <c r="AT79" s="5">
        <v>0</v>
      </c>
      <c r="AU79" s="118">
        <f t="shared" si="28"/>
        <v>0</v>
      </c>
      <c r="AV79" s="5">
        <v>3171</v>
      </c>
      <c r="AW79" s="118">
        <f t="shared" si="29"/>
        <v>11098.5</v>
      </c>
      <c r="AX79" s="5">
        <v>424</v>
      </c>
      <c r="AY79" s="123">
        <f t="shared" si="30"/>
        <v>1484</v>
      </c>
      <c r="AZ79" s="105">
        <v>878</v>
      </c>
      <c r="BA79" s="118">
        <f t="shared" si="31"/>
        <v>3073</v>
      </c>
      <c r="BB79" s="105">
        <v>1920</v>
      </c>
      <c r="BC79" s="118">
        <f t="shared" si="32"/>
        <v>6720</v>
      </c>
      <c r="BD79" s="5">
        <v>672</v>
      </c>
      <c r="BE79" s="123">
        <f t="shared" si="33"/>
        <v>2352</v>
      </c>
      <c r="BF79" s="105">
        <v>766</v>
      </c>
      <c r="BG79" s="118">
        <f t="shared" si="34"/>
        <v>2681</v>
      </c>
      <c r="BH79" s="5">
        <v>1143</v>
      </c>
      <c r="BI79" s="118">
        <f t="shared" si="35"/>
        <v>4000.5</v>
      </c>
      <c r="BJ79" s="5">
        <v>1032</v>
      </c>
      <c r="BK79" s="127">
        <f t="shared" si="36"/>
        <v>3612</v>
      </c>
    </row>
    <row r="80" spans="1:63">
      <c r="A80" s="112" t="s">
        <v>108</v>
      </c>
      <c r="B80" s="106" t="s">
        <v>267</v>
      </c>
      <c r="C80" s="66" t="s">
        <v>175</v>
      </c>
      <c r="D80" s="287"/>
      <c r="E80" s="103" t="s">
        <v>176</v>
      </c>
      <c r="F80" s="282"/>
      <c r="G80" s="71" t="s">
        <v>202</v>
      </c>
      <c r="H80" s="70" t="s">
        <v>286</v>
      </c>
      <c r="I80" s="70" t="s">
        <v>184</v>
      </c>
      <c r="J80" s="71" t="s">
        <v>193</v>
      </c>
      <c r="K80" s="70" t="s">
        <v>289</v>
      </c>
      <c r="L80" s="69" t="s">
        <v>213</v>
      </c>
      <c r="M80" s="68" t="s">
        <v>214</v>
      </c>
      <c r="N80" s="67">
        <v>18.399999999999999</v>
      </c>
      <c r="O80" s="67">
        <v>18.399999999999999</v>
      </c>
      <c r="P80" s="67">
        <v>18.399999999999999</v>
      </c>
      <c r="Q80" s="67">
        <v>18.399999999999999</v>
      </c>
      <c r="R80" s="67">
        <v>18.399999999999999</v>
      </c>
      <c r="S80" s="67">
        <v>18.399999999999999</v>
      </c>
      <c r="T80" s="67">
        <v>18.399999999999999</v>
      </c>
      <c r="U80" s="67">
        <v>18.399999999999999</v>
      </c>
      <c r="V80" s="67">
        <v>18.399999999999999</v>
      </c>
      <c r="W80" s="67">
        <v>18.399999999999999</v>
      </c>
      <c r="X80" s="67">
        <v>18.399999999999999</v>
      </c>
      <c r="Y80" s="67">
        <v>18.399999999999999</v>
      </c>
      <c r="Z80" s="67">
        <v>18.399999999999999</v>
      </c>
      <c r="AA80" s="58">
        <v>0</v>
      </c>
      <c r="AB80" s="10">
        <v>0</v>
      </c>
      <c r="AC80" s="10">
        <v>0</v>
      </c>
      <c r="AD80" s="10">
        <v>0</v>
      </c>
      <c r="AE80" s="10">
        <v>3.5</v>
      </c>
      <c r="AF80" s="10">
        <v>3.5</v>
      </c>
      <c r="AG80" s="10">
        <v>3.5</v>
      </c>
      <c r="AH80" s="10">
        <v>3.5</v>
      </c>
      <c r="AI80" s="10">
        <v>3.5</v>
      </c>
      <c r="AJ80" s="10">
        <v>3.5</v>
      </c>
      <c r="AK80" s="10">
        <v>3.5</v>
      </c>
      <c r="AL80" s="10">
        <v>3.5</v>
      </c>
      <c r="AM80" s="81">
        <v>3.5</v>
      </c>
      <c r="AN80" s="5">
        <v>0</v>
      </c>
      <c r="AO80" s="118">
        <f t="shared" si="25"/>
        <v>0</v>
      </c>
      <c r="AP80" s="5">
        <v>0</v>
      </c>
      <c r="AQ80" s="118">
        <f t="shared" si="26"/>
        <v>0</v>
      </c>
      <c r="AR80" s="5">
        <v>0</v>
      </c>
      <c r="AS80" s="123">
        <f t="shared" si="27"/>
        <v>0</v>
      </c>
      <c r="AT80" s="5">
        <v>0</v>
      </c>
      <c r="AU80" s="118">
        <f t="shared" si="28"/>
        <v>0</v>
      </c>
      <c r="AV80" s="5">
        <v>0</v>
      </c>
      <c r="AW80" s="118">
        <f t="shared" si="29"/>
        <v>0</v>
      </c>
      <c r="AX80" s="5">
        <v>1040</v>
      </c>
      <c r="AY80" s="123">
        <f t="shared" si="30"/>
        <v>3640</v>
      </c>
      <c r="AZ80" s="105">
        <v>636</v>
      </c>
      <c r="BA80" s="118">
        <f t="shared" si="31"/>
        <v>2226</v>
      </c>
      <c r="BB80" s="105">
        <v>1438</v>
      </c>
      <c r="BC80" s="118">
        <f t="shared" si="32"/>
        <v>5033</v>
      </c>
      <c r="BD80" s="5">
        <v>120</v>
      </c>
      <c r="BE80" s="123">
        <f t="shared" si="33"/>
        <v>420</v>
      </c>
      <c r="BF80" s="105">
        <v>1240</v>
      </c>
      <c r="BG80" s="118">
        <f t="shared" si="34"/>
        <v>4340</v>
      </c>
      <c r="BH80" s="5">
        <v>720</v>
      </c>
      <c r="BI80" s="118">
        <f t="shared" si="35"/>
        <v>2520</v>
      </c>
      <c r="BJ80" s="5">
        <v>80</v>
      </c>
      <c r="BK80" s="127">
        <f t="shared" si="36"/>
        <v>280</v>
      </c>
    </row>
    <row r="81" spans="1:63">
      <c r="A81" s="112" t="s">
        <v>108</v>
      </c>
      <c r="B81" s="106" t="s">
        <v>267</v>
      </c>
      <c r="C81" s="66" t="s">
        <v>175</v>
      </c>
      <c r="D81" s="287"/>
      <c r="E81" s="103" t="s">
        <v>176</v>
      </c>
      <c r="F81" s="282"/>
      <c r="G81" s="71" t="s">
        <v>202</v>
      </c>
      <c r="H81" s="70" t="s">
        <v>286</v>
      </c>
      <c r="I81" s="70" t="s">
        <v>184</v>
      </c>
      <c r="J81" s="71" t="s">
        <v>193</v>
      </c>
      <c r="K81" s="70" t="s">
        <v>290</v>
      </c>
      <c r="L81" s="69" t="s">
        <v>213</v>
      </c>
      <c r="M81" s="68" t="s">
        <v>214</v>
      </c>
      <c r="N81" s="67">
        <v>18.399999999999999</v>
      </c>
      <c r="O81" s="67">
        <v>18.399999999999999</v>
      </c>
      <c r="P81" s="67">
        <v>18.399999999999999</v>
      </c>
      <c r="Q81" s="67">
        <v>18.399999999999999</v>
      </c>
      <c r="R81" s="67">
        <v>18.399999999999999</v>
      </c>
      <c r="S81" s="67">
        <v>18.399999999999999</v>
      </c>
      <c r="T81" s="67">
        <v>18.399999999999999</v>
      </c>
      <c r="U81" s="67">
        <v>18.399999999999999</v>
      </c>
      <c r="V81" s="67">
        <v>18.399999999999999</v>
      </c>
      <c r="W81" s="67">
        <v>18.399999999999999</v>
      </c>
      <c r="X81" s="67">
        <v>18.399999999999999</v>
      </c>
      <c r="Y81" s="67">
        <v>18.399999999999999</v>
      </c>
      <c r="Z81" s="67">
        <v>18.399999999999999</v>
      </c>
      <c r="AA81" s="58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3.5</v>
      </c>
      <c r="AH81" s="10">
        <v>3.5</v>
      </c>
      <c r="AI81" s="10">
        <v>3.5</v>
      </c>
      <c r="AJ81" s="10">
        <v>3.5</v>
      </c>
      <c r="AK81" s="10">
        <v>3.5</v>
      </c>
      <c r="AL81" s="10">
        <v>3.5</v>
      </c>
      <c r="AM81" s="81">
        <v>3.5</v>
      </c>
      <c r="AN81" s="5">
        <v>0</v>
      </c>
      <c r="AO81" s="118">
        <f t="shared" si="25"/>
        <v>0</v>
      </c>
      <c r="AP81" s="5">
        <v>0</v>
      </c>
      <c r="AQ81" s="118">
        <f t="shared" si="26"/>
        <v>0</v>
      </c>
      <c r="AR81" s="5">
        <v>0</v>
      </c>
      <c r="AS81" s="123">
        <f t="shared" si="27"/>
        <v>0</v>
      </c>
      <c r="AT81" s="5">
        <v>0</v>
      </c>
      <c r="AU81" s="118">
        <f t="shared" si="28"/>
        <v>0</v>
      </c>
      <c r="AV81" s="5">
        <v>0</v>
      </c>
      <c r="AW81" s="118">
        <f t="shared" si="29"/>
        <v>0</v>
      </c>
      <c r="AX81" s="5">
        <v>0</v>
      </c>
      <c r="AY81" s="123">
        <f t="shared" si="30"/>
        <v>0</v>
      </c>
      <c r="AZ81" s="105">
        <v>0</v>
      </c>
      <c r="BA81" s="118">
        <f t="shared" si="31"/>
        <v>0</v>
      </c>
      <c r="BB81" s="105">
        <v>0</v>
      </c>
      <c r="BC81" s="118">
        <f t="shared" si="32"/>
        <v>0</v>
      </c>
      <c r="BD81" s="5">
        <v>0</v>
      </c>
      <c r="BE81" s="123">
        <f t="shared" si="33"/>
        <v>0</v>
      </c>
      <c r="BF81" s="105">
        <v>0</v>
      </c>
      <c r="BG81" s="118">
        <f t="shared" si="34"/>
        <v>0</v>
      </c>
      <c r="BH81" s="5">
        <v>0</v>
      </c>
      <c r="BI81" s="118">
        <f t="shared" si="35"/>
        <v>0</v>
      </c>
      <c r="BJ81" s="5">
        <v>0</v>
      </c>
      <c r="BK81" s="127">
        <f t="shared" si="36"/>
        <v>0</v>
      </c>
    </row>
    <row r="82" spans="1:63">
      <c r="A82" s="112" t="s">
        <v>108</v>
      </c>
      <c r="B82" s="106" t="s">
        <v>267</v>
      </c>
      <c r="C82" s="66" t="s">
        <v>175</v>
      </c>
      <c r="D82" s="287"/>
      <c r="E82" s="103" t="s">
        <v>176</v>
      </c>
      <c r="F82" s="282"/>
      <c r="G82" s="71" t="s">
        <v>202</v>
      </c>
      <c r="H82" s="70" t="s">
        <v>286</v>
      </c>
      <c r="I82" s="70" t="s">
        <v>184</v>
      </c>
      <c r="J82" s="71" t="s">
        <v>193</v>
      </c>
      <c r="K82" s="70" t="s">
        <v>291</v>
      </c>
      <c r="L82" s="69" t="s">
        <v>213</v>
      </c>
      <c r="M82" s="68" t="s">
        <v>214</v>
      </c>
      <c r="N82" s="67">
        <v>18.399999999999999</v>
      </c>
      <c r="O82" s="67">
        <v>18.399999999999999</v>
      </c>
      <c r="P82" s="67">
        <v>18.399999999999999</v>
      </c>
      <c r="Q82" s="67">
        <v>18.399999999999999</v>
      </c>
      <c r="R82" s="67">
        <v>18.399999999999999</v>
      </c>
      <c r="S82" s="67">
        <v>18.399999999999999</v>
      </c>
      <c r="T82" s="67">
        <v>18.399999999999999</v>
      </c>
      <c r="U82" s="67">
        <v>18.399999999999999</v>
      </c>
      <c r="V82" s="67">
        <v>18.399999999999999</v>
      </c>
      <c r="W82" s="67">
        <v>18.399999999999999</v>
      </c>
      <c r="X82" s="67">
        <v>18.399999999999999</v>
      </c>
      <c r="Y82" s="67">
        <v>18.399999999999999</v>
      </c>
      <c r="Z82" s="67">
        <v>18.399999999999999</v>
      </c>
      <c r="AA82" s="58">
        <v>0</v>
      </c>
      <c r="AB82" s="10">
        <v>0</v>
      </c>
      <c r="AC82" s="10">
        <v>0</v>
      </c>
      <c r="AD82" s="10">
        <v>0</v>
      </c>
      <c r="AE82" s="10">
        <v>3.5</v>
      </c>
      <c r="AF82" s="10">
        <v>3.5</v>
      </c>
      <c r="AG82" s="10">
        <v>3.5</v>
      </c>
      <c r="AH82" s="10">
        <v>3.5</v>
      </c>
      <c r="AI82" s="10">
        <v>3.5</v>
      </c>
      <c r="AJ82" s="10">
        <v>3.5</v>
      </c>
      <c r="AK82" s="10">
        <v>3.5</v>
      </c>
      <c r="AL82" s="10">
        <v>3.5</v>
      </c>
      <c r="AM82" s="81">
        <v>3.5</v>
      </c>
      <c r="AN82" s="5">
        <v>0</v>
      </c>
      <c r="AO82" s="118">
        <f t="shared" si="25"/>
        <v>0</v>
      </c>
      <c r="AP82" s="5">
        <v>0</v>
      </c>
      <c r="AQ82" s="118">
        <f t="shared" si="26"/>
        <v>0</v>
      </c>
      <c r="AR82" s="5">
        <v>0</v>
      </c>
      <c r="AS82" s="123">
        <f t="shared" si="27"/>
        <v>0</v>
      </c>
      <c r="AT82" s="5">
        <v>0</v>
      </c>
      <c r="AU82" s="118">
        <f t="shared" si="28"/>
        <v>0</v>
      </c>
      <c r="AV82" s="5">
        <v>4839</v>
      </c>
      <c r="AW82" s="118">
        <f t="shared" si="29"/>
        <v>16936.5</v>
      </c>
      <c r="AX82" s="5">
        <v>2151</v>
      </c>
      <c r="AY82" s="123">
        <f t="shared" si="30"/>
        <v>7528.5</v>
      </c>
      <c r="AZ82" s="105">
        <v>6027</v>
      </c>
      <c r="BA82" s="118">
        <f t="shared" si="31"/>
        <v>21094.5</v>
      </c>
      <c r="BB82" s="105">
        <v>5517</v>
      </c>
      <c r="BC82" s="118">
        <f t="shared" si="32"/>
        <v>19309.5</v>
      </c>
      <c r="BD82" s="5">
        <v>5681</v>
      </c>
      <c r="BE82" s="123">
        <f t="shared" si="33"/>
        <v>19883.5</v>
      </c>
      <c r="BF82" s="105">
        <v>13506</v>
      </c>
      <c r="BG82" s="118">
        <f t="shared" si="34"/>
        <v>47271</v>
      </c>
      <c r="BH82" s="5">
        <v>3575</v>
      </c>
      <c r="BI82" s="118">
        <f t="shared" si="35"/>
        <v>12512.5</v>
      </c>
      <c r="BJ82" s="5">
        <v>1079</v>
      </c>
      <c r="BK82" s="127">
        <f t="shared" si="36"/>
        <v>3776.5</v>
      </c>
    </row>
    <row r="83" spans="1:63">
      <c r="A83" s="112" t="s">
        <v>108</v>
      </c>
      <c r="B83" s="106" t="s">
        <v>267</v>
      </c>
      <c r="C83" s="66" t="s">
        <v>175</v>
      </c>
      <c r="D83" s="287"/>
      <c r="E83" s="103" t="s">
        <v>176</v>
      </c>
      <c r="F83" s="282"/>
      <c r="G83" s="71" t="s">
        <v>202</v>
      </c>
      <c r="H83" s="70" t="s">
        <v>292</v>
      </c>
      <c r="I83" s="70" t="s">
        <v>184</v>
      </c>
      <c r="J83" s="71" t="s">
        <v>283</v>
      </c>
      <c r="K83" s="70" t="s">
        <v>275</v>
      </c>
      <c r="L83" s="69" t="s">
        <v>185</v>
      </c>
      <c r="M83" s="68" t="s">
        <v>293</v>
      </c>
      <c r="N83" s="67">
        <v>15.2</v>
      </c>
      <c r="O83" s="67">
        <v>15.2</v>
      </c>
      <c r="P83" s="67">
        <v>15.2</v>
      </c>
      <c r="Q83" s="67">
        <v>15.2</v>
      </c>
      <c r="R83" s="67">
        <v>15.2</v>
      </c>
      <c r="S83" s="67">
        <v>15.2</v>
      </c>
      <c r="T83" s="67">
        <v>15.2</v>
      </c>
      <c r="U83" s="67">
        <v>15.2</v>
      </c>
      <c r="V83" s="67">
        <v>15.2</v>
      </c>
      <c r="W83" s="67">
        <v>15.2</v>
      </c>
      <c r="X83" s="67">
        <v>15.2</v>
      </c>
      <c r="Y83" s="67">
        <v>15.2</v>
      </c>
      <c r="Z83" s="67">
        <v>15.2</v>
      </c>
      <c r="AA83" s="58">
        <v>0</v>
      </c>
      <c r="AB83" s="10">
        <v>0</v>
      </c>
      <c r="AC83" s="10">
        <v>0</v>
      </c>
      <c r="AD83" s="10">
        <v>0</v>
      </c>
      <c r="AE83" s="10">
        <v>1.5</v>
      </c>
      <c r="AF83" s="10">
        <v>1.5</v>
      </c>
      <c r="AG83" s="10">
        <v>1.5</v>
      </c>
      <c r="AH83" s="10">
        <v>1.5</v>
      </c>
      <c r="AI83" s="10">
        <v>1.5</v>
      </c>
      <c r="AJ83" s="10">
        <v>1.5</v>
      </c>
      <c r="AK83" s="10">
        <v>1.5</v>
      </c>
      <c r="AL83" s="10">
        <v>1.5</v>
      </c>
      <c r="AM83" s="81">
        <v>1.5</v>
      </c>
      <c r="AN83" s="5">
        <v>0</v>
      </c>
      <c r="AO83" s="118">
        <f t="shared" si="25"/>
        <v>0</v>
      </c>
      <c r="AP83" s="5">
        <v>0</v>
      </c>
      <c r="AQ83" s="118">
        <f t="shared" si="26"/>
        <v>0</v>
      </c>
      <c r="AR83" s="5">
        <v>0</v>
      </c>
      <c r="AS83" s="123">
        <f t="shared" si="27"/>
        <v>0</v>
      </c>
      <c r="AT83" s="5">
        <v>0</v>
      </c>
      <c r="AU83" s="118">
        <f t="shared" si="28"/>
        <v>0</v>
      </c>
      <c r="AV83" s="5">
        <v>0</v>
      </c>
      <c r="AW83" s="118">
        <f t="shared" si="29"/>
        <v>0</v>
      </c>
      <c r="AX83" s="5">
        <v>0</v>
      </c>
      <c r="AY83" s="123">
        <f t="shared" si="30"/>
        <v>0</v>
      </c>
      <c r="AZ83" s="5">
        <v>0</v>
      </c>
      <c r="BA83" s="118">
        <f t="shared" si="31"/>
        <v>0</v>
      </c>
      <c r="BB83" s="5">
        <v>0</v>
      </c>
      <c r="BC83" s="118">
        <f t="shared" si="32"/>
        <v>0</v>
      </c>
      <c r="BD83" s="5">
        <v>0</v>
      </c>
      <c r="BE83" s="123">
        <f t="shared" si="33"/>
        <v>0</v>
      </c>
      <c r="BF83" s="5">
        <v>0</v>
      </c>
      <c r="BG83" s="118">
        <f t="shared" si="34"/>
        <v>0</v>
      </c>
      <c r="BH83" s="5">
        <v>0</v>
      </c>
      <c r="BI83" s="118">
        <f t="shared" si="35"/>
        <v>0</v>
      </c>
      <c r="BJ83" s="5">
        <v>0</v>
      </c>
      <c r="BK83" s="127">
        <f t="shared" si="36"/>
        <v>0</v>
      </c>
    </row>
    <row r="84" spans="1:63">
      <c r="A84" s="112" t="s">
        <v>108</v>
      </c>
      <c r="B84" s="106" t="s">
        <v>267</v>
      </c>
      <c r="C84" s="66" t="s">
        <v>175</v>
      </c>
      <c r="D84" s="287"/>
      <c r="E84" s="103" t="s">
        <v>176</v>
      </c>
      <c r="F84" s="282"/>
      <c r="G84" s="71" t="s">
        <v>202</v>
      </c>
      <c r="H84" s="70" t="s">
        <v>292</v>
      </c>
      <c r="I84" s="70" t="s">
        <v>184</v>
      </c>
      <c r="J84" s="71" t="s">
        <v>283</v>
      </c>
      <c r="K84" s="70" t="s">
        <v>294</v>
      </c>
      <c r="L84" s="69" t="s">
        <v>185</v>
      </c>
      <c r="M84" s="68" t="s">
        <v>293</v>
      </c>
      <c r="N84" s="67">
        <v>15.2</v>
      </c>
      <c r="O84" s="67">
        <v>15.2</v>
      </c>
      <c r="P84" s="67">
        <v>15.2</v>
      </c>
      <c r="Q84" s="67">
        <v>15.2</v>
      </c>
      <c r="R84" s="67">
        <v>15.2</v>
      </c>
      <c r="S84" s="67">
        <v>15.2</v>
      </c>
      <c r="T84" s="67">
        <v>15.2</v>
      </c>
      <c r="U84" s="67">
        <v>15.2</v>
      </c>
      <c r="V84" s="67">
        <v>15.2</v>
      </c>
      <c r="W84" s="67">
        <v>15.2</v>
      </c>
      <c r="X84" s="67">
        <v>15.2</v>
      </c>
      <c r="Y84" s="67">
        <v>15.2</v>
      </c>
      <c r="Z84" s="67">
        <v>15.2</v>
      </c>
      <c r="AA84" s="58">
        <v>0</v>
      </c>
      <c r="AB84" s="10">
        <v>0</v>
      </c>
      <c r="AC84" s="10">
        <v>0</v>
      </c>
      <c r="AD84" s="10">
        <v>0</v>
      </c>
      <c r="AE84" s="10">
        <v>1.5</v>
      </c>
      <c r="AF84" s="10">
        <v>1.5</v>
      </c>
      <c r="AG84" s="10">
        <v>1.5</v>
      </c>
      <c r="AH84" s="10">
        <v>1.5</v>
      </c>
      <c r="AI84" s="10">
        <v>1.5</v>
      </c>
      <c r="AJ84" s="10">
        <v>1.5</v>
      </c>
      <c r="AK84" s="10">
        <v>1.5</v>
      </c>
      <c r="AL84" s="10">
        <v>1.5</v>
      </c>
      <c r="AM84" s="81">
        <v>1.5</v>
      </c>
      <c r="AN84" s="5">
        <v>0</v>
      </c>
      <c r="AO84" s="118">
        <f t="shared" si="25"/>
        <v>0</v>
      </c>
      <c r="AP84" s="5">
        <v>0</v>
      </c>
      <c r="AQ84" s="118">
        <f t="shared" si="26"/>
        <v>0</v>
      </c>
      <c r="AR84" s="5">
        <v>0</v>
      </c>
      <c r="AS84" s="123">
        <f t="shared" si="27"/>
        <v>0</v>
      </c>
      <c r="AT84" s="5">
        <v>0</v>
      </c>
      <c r="AU84" s="118">
        <f t="shared" si="28"/>
        <v>0</v>
      </c>
      <c r="AV84" s="5">
        <v>0</v>
      </c>
      <c r="AW84" s="118">
        <f t="shared" si="29"/>
        <v>0</v>
      </c>
      <c r="AX84" s="5">
        <v>0</v>
      </c>
      <c r="AY84" s="123">
        <f t="shared" si="30"/>
        <v>0</v>
      </c>
      <c r="AZ84" s="5">
        <v>0</v>
      </c>
      <c r="BA84" s="118">
        <f t="shared" si="31"/>
        <v>0</v>
      </c>
      <c r="BB84" s="5">
        <v>0</v>
      </c>
      <c r="BC84" s="118">
        <f t="shared" si="32"/>
        <v>0</v>
      </c>
      <c r="BD84" s="5">
        <v>0</v>
      </c>
      <c r="BE84" s="123">
        <f t="shared" si="33"/>
        <v>0</v>
      </c>
      <c r="BF84" s="5">
        <v>0</v>
      </c>
      <c r="BG84" s="118">
        <f t="shared" si="34"/>
        <v>0</v>
      </c>
      <c r="BH84" s="5">
        <v>0</v>
      </c>
      <c r="BI84" s="118">
        <f t="shared" si="35"/>
        <v>0</v>
      </c>
      <c r="BJ84" s="5">
        <v>0</v>
      </c>
      <c r="BK84" s="127">
        <f t="shared" si="36"/>
        <v>0</v>
      </c>
    </row>
    <row r="85" spans="1:63">
      <c r="A85" s="112" t="s">
        <v>108</v>
      </c>
      <c r="B85" s="106"/>
      <c r="C85" s="66" t="s">
        <v>175</v>
      </c>
      <c r="D85" s="287"/>
      <c r="E85" s="103" t="s">
        <v>176</v>
      </c>
      <c r="F85" s="282"/>
      <c r="G85" s="72"/>
      <c r="H85" s="54"/>
      <c r="I85" s="54"/>
      <c r="J85" s="55"/>
      <c r="K85" s="54"/>
      <c r="L85" s="53"/>
      <c r="M85" s="52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49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92"/>
      <c r="AN85" s="23"/>
      <c r="AO85" s="118">
        <f t="shared" si="25"/>
        <v>0</v>
      </c>
      <c r="AP85" s="23"/>
      <c r="AQ85" s="118">
        <f t="shared" si="26"/>
        <v>0</v>
      </c>
      <c r="AR85" s="23"/>
      <c r="AS85" s="123">
        <f t="shared" si="27"/>
        <v>0</v>
      </c>
      <c r="AT85" s="23"/>
      <c r="AU85" s="118">
        <f t="shared" si="28"/>
        <v>0</v>
      </c>
      <c r="AV85" s="23"/>
      <c r="AW85" s="118">
        <f t="shared" si="29"/>
        <v>0</v>
      </c>
      <c r="AX85" s="23"/>
      <c r="AY85" s="123">
        <f t="shared" si="30"/>
        <v>0</v>
      </c>
      <c r="AZ85" s="50"/>
      <c r="BA85" s="118">
        <f t="shared" si="31"/>
        <v>0</v>
      </c>
      <c r="BB85" s="50">
        <v>0</v>
      </c>
      <c r="BC85" s="118">
        <f t="shared" si="32"/>
        <v>0</v>
      </c>
      <c r="BD85" s="23"/>
      <c r="BE85" s="123">
        <f t="shared" si="33"/>
        <v>0</v>
      </c>
      <c r="BF85" s="50">
        <v>0</v>
      </c>
      <c r="BG85" s="118">
        <f t="shared" si="34"/>
        <v>0</v>
      </c>
      <c r="BH85" s="23"/>
      <c r="BI85" s="118">
        <f t="shared" si="35"/>
        <v>0</v>
      </c>
      <c r="BJ85" s="23"/>
      <c r="BK85" s="127">
        <f t="shared" si="36"/>
        <v>0</v>
      </c>
    </row>
    <row r="86" spans="1:63">
      <c r="A86" s="112" t="s">
        <v>108</v>
      </c>
      <c r="B86" s="106"/>
      <c r="C86" s="66" t="s">
        <v>175</v>
      </c>
      <c r="D86" s="287"/>
      <c r="E86" s="103" t="s">
        <v>176</v>
      </c>
      <c r="F86" s="282" t="s">
        <v>77</v>
      </c>
      <c r="G86" s="64"/>
      <c r="H86" s="63"/>
      <c r="I86" s="63"/>
      <c r="J86" s="64"/>
      <c r="K86" s="63"/>
      <c r="L86" s="62"/>
      <c r="M86" s="61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59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81"/>
      <c r="AO86" s="117">
        <f t="shared" si="25"/>
        <v>0</v>
      </c>
      <c r="AP86" s="22"/>
      <c r="AQ86" s="117">
        <f t="shared" si="26"/>
        <v>0</v>
      </c>
      <c r="AR86" s="22"/>
      <c r="AS86" s="122">
        <f t="shared" si="27"/>
        <v>0</v>
      </c>
      <c r="AT86" s="22"/>
      <c r="AU86" s="117">
        <f t="shared" si="28"/>
        <v>0</v>
      </c>
      <c r="AV86" s="22"/>
      <c r="AW86" s="117">
        <f t="shared" si="29"/>
        <v>0</v>
      </c>
      <c r="AX86" s="22"/>
      <c r="AY86" s="122">
        <f t="shared" si="30"/>
        <v>0</v>
      </c>
      <c r="AZ86" s="79"/>
      <c r="BA86" s="117">
        <f t="shared" si="31"/>
        <v>0</v>
      </c>
      <c r="BB86" s="79"/>
      <c r="BC86" s="117">
        <f t="shared" si="32"/>
        <v>0</v>
      </c>
      <c r="BD86" s="22"/>
      <c r="BE86" s="122">
        <f t="shared" si="33"/>
        <v>0</v>
      </c>
      <c r="BF86" s="79">
        <v>0</v>
      </c>
      <c r="BG86" s="117">
        <f t="shared" si="34"/>
        <v>0</v>
      </c>
      <c r="BH86" s="22"/>
      <c r="BI86" s="117">
        <f t="shared" si="35"/>
        <v>0</v>
      </c>
      <c r="BJ86" s="22"/>
      <c r="BK86" s="126">
        <f t="shared" si="36"/>
        <v>0</v>
      </c>
    </row>
    <row r="87" spans="1:63">
      <c r="A87" s="112" t="s">
        <v>108</v>
      </c>
      <c r="B87" s="106"/>
      <c r="C87" s="66" t="s">
        <v>175</v>
      </c>
      <c r="D87" s="287"/>
      <c r="E87" s="103" t="s">
        <v>176</v>
      </c>
      <c r="F87" s="282"/>
      <c r="G87" s="72"/>
      <c r="H87" s="54"/>
      <c r="I87" s="54"/>
      <c r="J87" s="55"/>
      <c r="K87" s="54"/>
      <c r="L87" s="53"/>
      <c r="M87" s="52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49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92"/>
      <c r="AN87" s="23"/>
      <c r="AO87" s="118">
        <f t="shared" si="25"/>
        <v>0</v>
      </c>
      <c r="AP87" s="23"/>
      <c r="AQ87" s="118">
        <f t="shared" si="26"/>
        <v>0</v>
      </c>
      <c r="AR87" s="23"/>
      <c r="AS87" s="123">
        <f t="shared" si="27"/>
        <v>0</v>
      </c>
      <c r="AT87" s="23"/>
      <c r="AU87" s="118">
        <f t="shared" si="28"/>
        <v>0</v>
      </c>
      <c r="AV87" s="23"/>
      <c r="AW87" s="118">
        <f t="shared" si="29"/>
        <v>0</v>
      </c>
      <c r="AX87" s="23"/>
      <c r="AY87" s="123">
        <f t="shared" si="30"/>
        <v>0</v>
      </c>
      <c r="AZ87" s="50"/>
      <c r="BA87" s="118">
        <f t="shared" si="31"/>
        <v>0</v>
      </c>
      <c r="BB87" s="50"/>
      <c r="BC87" s="118">
        <f t="shared" si="32"/>
        <v>0</v>
      </c>
      <c r="BD87" s="23"/>
      <c r="BE87" s="123">
        <f t="shared" si="33"/>
        <v>0</v>
      </c>
      <c r="BF87" s="50">
        <v>0</v>
      </c>
      <c r="BG87" s="118">
        <f t="shared" si="34"/>
        <v>0</v>
      </c>
      <c r="BH87" s="23"/>
      <c r="BI87" s="118">
        <f t="shared" si="35"/>
        <v>0</v>
      </c>
      <c r="BJ87" s="23"/>
      <c r="BK87" s="127">
        <f t="shared" si="36"/>
        <v>0</v>
      </c>
    </row>
    <row r="88" spans="1:63">
      <c r="A88" s="112" t="s">
        <v>108</v>
      </c>
      <c r="B88" s="106" t="s">
        <v>267</v>
      </c>
      <c r="C88" s="66" t="s">
        <v>175</v>
      </c>
      <c r="D88" s="287"/>
      <c r="E88" s="103" t="s">
        <v>176</v>
      </c>
      <c r="F88" s="282" t="s">
        <v>295</v>
      </c>
      <c r="G88" s="64" t="s">
        <v>200</v>
      </c>
      <c r="H88" s="63" t="s">
        <v>296</v>
      </c>
      <c r="I88" s="63" t="s">
        <v>184</v>
      </c>
      <c r="J88" s="64" t="s">
        <v>193</v>
      </c>
      <c r="K88" s="63" t="s">
        <v>297</v>
      </c>
      <c r="L88" s="62" t="s">
        <v>213</v>
      </c>
      <c r="M88" s="61" t="s">
        <v>214</v>
      </c>
      <c r="N88" s="60">
        <v>14.4</v>
      </c>
      <c r="O88" s="60">
        <v>14.4</v>
      </c>
      <c r="P88" s="60">
        <v>14.4</v>
      </c>
      <c r="Q88" s="60">
        <v>14.4</v>
      </c>
      <c r="R88" s="60">
        <v>14.4</v>
      </c>
      <c r="S88" s="60">
        <v>14.4</v>
      </c>
      <c r="T88" s="60">
        <v>14.4</v>
      </c>
      <c r="U88" s="60">
        <v>14.4</v>
      </c>
      <c r="V88" s="60">
        <v>14.4</v>
      </c>
      <c r="W88" s="60">
        <v>14.4</v>
      </c>
      <c r="X88" s="60">
        <v>14.4</v>
      </c>
      <c r="Y88" s="60">
        <v>14.4</v>
      </c>
      <c r="Z88" s="60">
        <v>14.4</v>
      </c>
      <c r="AA88" s="59">
        <v>2.2000000000000002</v>
      </c>
      <c r="AB88" s="10">
        <v>2.2000000000000002</v>
      </c>
      <c r="AC88" s="10">
        <v>2.2000000000000002</v>
      </c>
      <c r="AD88" s="10">
        <v>3.5</v>
      </c>
      <c r="AE88" s="10">
        <v>3.5</v>
      </c>
      <c r="AF88" s="10">
        <v>3.5</v>
      </c>
      <c r="AG88" s="10">
        <v>3.5</v>
      </c>
      <c r="AH88" s="10">
        <v>4</v>
      </c>
      <c r="AI88" s="10">
        <v>4</v>
      </c>
      <c r="AJ88" s="10">
        <v>4</v>
      </c>
      <c r="AK88" s="10">
        <v>4</v>
      </c>
      <c r="AL88" s="10">
        <v>4</v>
      </c>
      <c r="AM88" s="81">
        <v>4</v>
      </c>
      <c r="AN88" s="5">
        <v>0</v>
      </c>
      <c r="AO88" s="117">
        <f t="shared" si="25"/>
        <v>0</v>
      </c>
      <c r="AP88" s="5">
        <v>0</v>
      </c>
      <c r="AQ88" s="117">
        <f t="shared" si="26"/>
        <v>0</v>
      </c>
      <c r="AR88" s="5">
        <v>0</v>
      </c>
      <c r="AS88" s="122">
        <f t="shared" si="27"/>
        <v>0</v>
      </c>
      <c r="AT88" s="5">
        <v>0</v>
      </c>
      <c r="AU88" s="117">
        <f t="shared" si="28"/>
        <v>0</v>
      </c>
      <c r="AV88" s="5">
        <v>0</v>
      </c>
      <c r="AW88" s="117">
        <f t="shared" si="29"/>
        <v>0</v>
      </c>
      <c r="AX88" s="5">
        <v>0</v>
      </c>
      <c r="AY88" s="122">
        <f t="shared" si="30"/>
        <v>0</v>
      </c>
      <c r="AZ88" s="105">
        <v>0</v>
      </c>
      <c r="BA88" s="117">
        <f t="shared" si="31"/>
        <v>0</v>
      </c>
      <c r="BB88" s="105">
        <v>0</v>
      </c>
      <c r="BC88" s="117">
        <f t="shared" si="32"/>
        <v>0</v>
      </c>
      <c r="BD88" s="5">
        <v>0</v>
      </c>
      <c r="BE88" s="122">
        <f t="shared" si="33"/>
        <v>0</v>
      </c>
      <c r="BF88" s="105">
        <v>0</v>
      </c>
      <c r="BG88" s="117">
        <f t="shared" si="34"/>
        <v>0</v>
      </c>
      <c r="BH88" s="5">
        <v>0</v>
      </c>
      <c r="BI88" s="117">
        <f t="shared" si="35"/>
        <v>0</v>
      </c>
      <c r="BJ88" s="5">
        <v>0</v>
      </c>
      <c r="BK88" s="126">
        <f t="shared" si="36"/>
        <v>0</v>
      </c>
    </row>
    <row r="89" spans="1:63">
      <c r="A89" s="112" t="s">
        <v>108</v>
      </c>
      <c r="B89" s="106" t="s">
        <v>267</v>
      </c>
      <c r="C89" s="66" t="s">
        <v>175</v>
      </c>
      <c r="D89" s="287"/>
      <c r="E89" s="103" t="s">
        <v>176</v>
      </c>
      <c r="F89" s="282"/>
      <c r="G89" s="71" t="s">
        <v>200</v>
      </c>
      <c r="H89" s="70" t="s">
        <v>296</v>
      </c>
      <c r="I89" s="70" t="s">
        <v>184</v>
      </c>
      <c r="J89" s="71" t="s">
        <v>193</v>
      </c>
      <c r="K89" s="70" t="s">
        <v>298</v>
      </c>
      <c r="L89" s="69" t="s">
        <v>213</v>
      </c>
      <c r="M89" s="68" t="s">
        <v>214</v>
      </c>
      <c r="N89" s="67">
        <v>15.1</v>
      </c>
      <c r="O89" s="67">
        <v>15.1</v>
      </c>
      <c r="P89" s="67">
        <v>15.1</v>
      </c>
      <c r="Q89" s="67">
        <v>15.1</v>
      </c>
      <c r="R89" s="67">
        <v>15.1</v>
      </c>
      <c r="S89" s="67">
        <v>15.1</v>
      </c>
      <c r="T89" s="67">
        <v>15.1</v>
      </c>
      <c r="U89" s="67">
        <v>15.1</v>
      </c>
      <c r="V89" s="67">
        <v>15.1</v>
      </c>
      <c r="W89" s="67">
        <v>15.1</v>
      </c>
      <c r="X89" s="67">
        <v>15.1</v>
      </c>
      <c r="Y89" s="67">
        <v>15.1</v>
      </c>
      <c r="Z89" s="67">
        <v>15.1</v>
      </c>
      <c r="AA89" s="58">
        <v>2.2000000000000002</v>
      </c>
      <c r="AB89" s="10">
        <v>2.2000000000000002</v>
      </c>
      <c r="AC89" s="10">
        <v>2.2000000000000002</v>
      </c>
      <c r="AD89" s="10">
        <v>3.5</v>
      </c>
      <c r="AE89" s="10">
        <v>3.5</v>
      </c>
      <c r="AF89" s="10">
        <v>3.5</v>
      </c>
      <c r="AG89" s="10">
        <v>3.5</v>
      </c>
      <c r="AH89" s="10">
        <v>4</v>
      </c>
      <c r="AI89" s="10">
        <v>4</v>
      </c>
      <c r="AJ89" s="10">
        <v>4</v>
      </c>
      <c r="AK89" s="10">
        <v>4</v>
      </c>
      <c r="AL89" s="10">
        <v>4</v>
      </c>
      <c r="AM89" s="81">
        <v>4</v>
      </c>
      <c r="AN89" s="5">
        <v>12393</v>
      </c>
      <c r="AO89" s="118">
        <f t="shared" si="25"/>
        <v>27264.600000000002</v>
      </c>
      <c r="AP89" s="5">
        <v>4765</v>
      </c>
      <c r="AQ89" s="118">
        <f t="shared" si="26"/>
        <v>10483</v>
      </c>
      <c r="AR89" s="5">
        <v>4682</v>
      </c>
      <c r="AS89" s="123">
        <f t="shared" si="27"/>
        <v>16387</v>
      </c>
      <c r="AT89" s="5">
        <v>1714</v>
      </c>
      <c r="AU89" s="118">
        <f t="shared" si="28"/>
        <v>5999</v>
      </c>
      <c r="AV89" s="5">
        <v>973</v>
      </c>
      <c r="AW89" s="118">
        <f t="shared" si="29"/>
        <v>3405.5</v>
      </c>
      <c r="AX89" s="5">
        <v>0</v>
      </c>
      <c r="AY89" s="123">
        <f t="shared" si="30"/>
        <v>0</v>
      </c>
      <c r="AZ89" s="105">
        <v>0</v>
      </c>
      <c r="BA89" s="118">
        <f t="shared" si="31"/>
        <v>0</v>
      </c>
      <c r="BB89" s="105">
        <v>0</v>
      </c>
      <c r="BC89" s="118">
        <f t="shared" si="32"/>
        <v>0</v>
      </c>
      <c r="BD89" s="5">
        <v>0</v>
      </c>
      <c r="BE89" s="123">
        <f t="shared" si="33"/>
        <v>0</v>
      </c>
      <c r="BF89" s="105">
        <v>0</v>
      </c>
      <c r="BG89" s="118">
        <f t="shared" si="34"/>
        <v>0</v>
      </c>
      <c r="BH89" s="5">
        <v>0</v>
      </c>
      <c r="BI89" s="118">
        <f t="shared" si="35"/>
        <v>0</v>
      </c>
      <c r="BJ89" s="5">
        <v>0</v>
      </c>
      <c r="BK89" s="127">
        <f t="shared" si="36"/>
        <v>0</v>
      </c>
    </row>
    <row r="90" spans="1:63">
      <c r="A90" s="112" t="s">
        <v>108</v>
      </c>
      <c r="B90" s="106" t="s">
        <v>267</v>
      </c>
      <c r="C90" s="66" t="s">
        <v>175</v>
      </c>
      <c r="D90" s="287"/>
      <c r="E90" s="103" t="s">
        <v>176</v>
      </c>
      <c r="F90" s="282"/>
      <c r="G90" s="71" t="s">
        <v>200</v>
      </c>
      <c r="H90" s="70" t="s">
        <v>296</v>
      </c>
      <c r="I90" s="70" t="s">
        <v>184</v>
      </c>
      <c r="J90" s="71" t="s">
        <v>193</v>
      </c>
      <c r="K90" s="70" t="s">
        <v>288</v>
      </c>
      <c r="L90" s="69" t="s">
        <v>213</v>
      </c>
      <c r="M90" s="68" t="s">
        <v>214</v>
      </c>
      <c r="N90" s="67">
        <v>15.1</v>
      </c>
      <c r="O90" s="67">
        <v>15.1</v>
      </c>
      <c r="P90" s="67">
        <v>15.1</v>
      </c>
      <c r="Q90" s="67">
        <v>15.1</v>
      </c>
      <c r="R90" s="67">
        <v>15.1</v>
      </c>
      <c r="S90" s="67">
        <v>15.1</v>
      </c>
      <c r="T90" s="67">
        <v>15.1</v>
      </c>
      <c r="U90" s="67">
        <v>15.1</v>
      </c>
      <c r="V90" s="67">
        <v>15.1</v>
      </c>
      <c r="W90" s="67">
        <v>15.1</v>
      </c>
      <c r="X90" s="67">
        <v>15.1</v>
      </c>
      <c r="Y90" s="67">
        <v>15.1</v>
      </c>
      <c r="Z90" s="67">
        <v>15.1</v>
      </c>
      <c r="AA90" s="58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3.5</v>
      </c>
      <c r="AG90" s="10">
        <v>3.5</v>
      </c>
      <c r="AH90" s="10">
        <v>4</v>
      </c>
      <c r="AI90" s="10">
        <v>4</v>
      </c>
      <c r="AJ90" s="10">
        <v>4</v>
      </c>
      <c r="AK90" s="10">
        <v>4</v>
      </c>
      <c r="AL90" s="10">
        <v>4</v>
      </c>
      <c r="AM90" s="81">
        <v>4</v>
      </c>
      <c r="AN90" s="5">
        <v>0</v>
      </c>
      <c r="AO90" s="118">
        <f t="shared" si="25"/>
        <v>0</v>
      </c>
      <c r="AP90" s="5">
        <v>0</v>
      </c>
      <c r="AQ90" s="118">
        <f t="shared" si="26"/>
        <v>0</v>
      </c>
      <c r="AR90" s="5">
        <v>0</v>
      </c>
      <c r="AS90" s="123">
        <f t="shared" si="27"/>
        <v>0</v>
      </c>
      <c r="AT90" s="5">
        <v>0</v>
      </c>
      <c r="AU90" s="118">
        <f t="shared" si="28"/>
        <v>0</v>
      </c>
      <c r="AV90" s="5">
        <v>840</v>
      </c>
      <c r="AW90" s="118">
        <f t="shared" si="29"/>
        <v>2940</v>
      </c>
      <c r="AX90" s="5">
        <v>590</v>
      </c>
      <c r="AY90" s="123">
        <f t="shared" si="30"/>
        <v>2065</v>
      </c>
      <c r="AZ90" s="5">
        <v>1773</v>
      </c>
      <c r="BA90" s="118">
        <f t="shared" si="31"/>
        <v>7092</v>
      </c>
      <c r="BB90" s="5">
        <v>1355</v>
      </c>
      <c r="BC90" s="118">
        <f t="shared" si="32"/>
        <v>5420</v>
      </c>
      <c r="BD90" s="5">
        <v>909</v>
      </c>
      <c r="BE90" s="123">
        <f t="shared" si="33"/>
        <v>3636</v>
      </c>
      <c r="BF90" s="5">
        <v>2090</v>
      </c>
      <c r="BG90" s="118">
        <f t="shared" si="34"/>
        <v>8360</v>
      </c>
      <c r="BH90" s="5">
        <v>2420</v>
      </c>
      <c r="BI90" s="118">
        <f t="shared" si="35"/>
        <v>9680</v>
      </c>
      <c r="BJ90" s="5">
        <v>1453</v>
      </c>
      <c r="BK90" s="127">
        <f t="shared" si="36"/>
        <v>5812</v>
      </c>
    </row>
    <row r="91" spans="1:63">
      <c r="A91" s="112" t="s">
        <v>108</v>
      </c>
      <c r="B91" s="106" t="s">
        <v>267</v>
      </c>
      <c r="C91" s="66" t="s">
        <v>175</v>
      </c>
      <c r="D91" s="287"/>
      <c r="E91" s="103" t="s">
        <v>176</v>
      </c>
      <c r="F91" s="282"/>
      <c r="G91" s="71" t="s">
        <v>202</v>
      </c>
      <c r="H91" s="70" t="s">
        <v>299</v>
      </c>
      <c r="I91" s="70" t="s">
        <v>184</v>
      </c>
      <c r="J91" s="71" t="s">
        <v>193</v>
      </c>
      <c r="K91" s="70" t="s">
        <v>300</v>
      </c>
      <c r="L91" s="69" t="s">
        <v>213</v>
      </c>
      <c r="M91" s="68" t="s">
        <v>214</v>
      </c>
      <c r="N91" s="67">
        <v>15.1</v>
      </c>
      <c r="O91" s="67">
        <v>15.1</v>
      </c>
      <c r="P91" s="67">
        <v>15.1</v>
      </c>
      <c r="Q91" s="67">
        <v>15.1</v>
      </c>
      <c r="R91" s="67">
        <v>15.1</v>
      </c>
      <c r="S91" s="67">
        <v>15.1</v>
      </c>
      <c r="T91" s="67">
        <v>15.1</v>
      </c>
      <c r="U91" s="67">
        <v>15.1</v>
      </c>
      <c r="V91" s="67">
        <v>15.1</v>
      </c>
      <c r="W91" s="67">
        <v>15.1</v>
      </c>
      <c r="X91" s="67">
        <v>15.1</v>
      </c>
      <c r="Y91" s="67">
        <v>15.1</v>
      </c>
      <c r="Z91" s="67">
        <v>15.1</v>
      </c>
      <c r="AA91" s="58">
        <v>0</v>
      </c>
      <c r="AB91" s="10">
        <v>0</v>
      </c>
      <c r="AC91" s="10">
        <v>0</v>
      </c>
      <c r="AD91" s="10">
        <v>0</v>
      </c>
      <c r="AE91" s="10">
        <v>1.5</v>
      </c>
      <c r="AF91" s="10">
        <v>1.5</v>
      </c>
      <c r="AG91" s="10">
        <v>1.5</v>
      </c>
      <c r="AH91" s="10">
        <v>1.5</v>
      </c>
      <c r="AI91" s="10">
        <v>1.5</v>
      </c>
      <c r="AJ91" s="10">
        <v>1.5</v>
      </c>
      <c r="AK91" s="10">
        <v>1.5</v>
      </c>
      <c r="AL91" s="10">
        <v>1.5</v>
      </c>
      <c r="AM91" s="81">
        <v>1.5</v>
      </c>
      <c r="AN91" s="5">
        <v>0</v>
      </c>
      <c r="AO91" s="118">
        <f t="shared" si="25"/>
        <v>0</v>
      </c>
      <c r="AP91" s="5">
        <v>0</v>
      </c>
      <c r="AQ91" s="118">
        <f t="shared" si="26"/>
        <v>0</v>
      </c>
      <c r="AR91" s="5">
        <v>0</v>
      </c>
      <c r="AS91" s="123">
        <f t="shared" si="27"/>
        <v>0</v>
      </c>
      <c r="AT91" s="5">
        <v>0</v>
      </c>
      <c r="AU91" s="118">
        <f t="shared" si="28"/>
        <v>0</v>
      </c>
      <c r="AV91" s="5">
        <v>0</v>
      </c>
      <c r="AW91" s="118">
        <f t="shared" si="29"/>
        <v>0</v>
      </c>
      <c r="AX91" s="5">
        <v>5420</v>
      </c>
      <c r="AY91" s="123">
        <f t="shared" si="30"/>
        <v>8130</v>
      </c>
      <c r="AZ91" s="105">
        <v>8200</v>
      </c>
      <c r="BA91" s="118">
        <f t="shared" si="31"/>
        <v>12300</v>
      </c>
      <c r="BB91" s="105">
        <v>3875</v>
      </c>
      <c r="BC91" s="118">
        <f t="shared" si="32"/>
        <v>5812.5</v>
      </c>
      <c r="BD91" s="5">
        <v>10430</v>
      </c>
      <c r="BE91" s="123">
        <f t="shared" si="33"/>
        <v>15645</v>
      </c>
      <c r="BF91" s="105">
        <v>4965</v>
      </c>
      <c r="BG91" s="118">
        <f t="shared" si="34"/>
        <v>7447.5</v>
      </c>
      <c r="BH91" s="5">
        <v>10519</v>
      </c>
      <c r="BI91" s="118">
        <f t="shared" si="35"/>
        <v>15778.5</v>
      </c>
      <c r="BJ91" s="5">
        <v>2592</v>
      </c>
      <c r="BK91" s="127">
        <f t="shared" si="36"/>
        <v>3888</v>
      </c>
    </row>
    <row r="92" spans="1:63">
      <c r="A92" s="112" t="s">
        <v>108</v>
      </c>
      <c r="B92" s="106"/>
      <c r="C92" s="66" t="s">
        <v>175</v>
      </c>
      <c r="D92" s="287"/>
      <c r="E92" s="103" t="s">
        <v>176</v>
      </c>
      <c r="F92" s="282"/>
      <c r="G92" s="72"/>
      <c r="H92" s="54"/>
      <c r="I92" s="54"/>
      <c r="J92" s="55"/>
      <c r="K92" s="54"/>
      <c r="L92" s="53"/>
      <c r="M92" s="52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49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92"/>
      <c r="AN92" s="23"/>
      <c r="AO92" s="118">
        <f t="shared" si="25"/>
        <v>0</v>
      </c>
      <c r="AP92" s="23"/>
      <c r="AQ92" s="118">
        <f t="shared" si="26"/>
        <v>0</v>
      </c>
      <c r="AR92" s="23"/>
      <c r="AS92" s="123">
        <f t="shared" si="27"/>
        <v>0</v>
      </c>
      <c r="AT92" s="23"/>
      <c r="AU92" s="118">
        <f t="shared" si="28"/>
        <v>0</v>
      </c>
      <c r="AV92" s="23"/>
      <c r="AW92" s="118">
        <f t="shared" si="29"/>
        <v>0</v>
      </c>
      <c r="AX92" s="23"/>
      <c r="AY92" s="123">
        <f t="shared" si="30"/>
        <v>0</v>
      </c>
      <c r="AZ92" s="50"/>
      <c r="BA92" s="118">
        <f t="shared" si="31"/>
        <v>0</v>
      </c>
      <c r="BB92" s="50">
        <v>0</v>
      </c>
      <c r="BC92" s="118">
        <f t="shared" si="32"/>
        <v>0</v>
      </c>
      <c r="BD92" s="23"/>
      <c r="BE92" s="123">
        <f t="shared" si="33"/>
        <v>0</v>
      </c>
      <c r="BF92" s="50">
        <v>0</v>
      </c>
      <c r="BG92" s="118">
        <f t="shared" si="34"/>
        <v>0</v>
      </c>
      <c r="BH92" s="23"/>
      <c r="BI92" s="118">
        <f t="shared" si="35"/>
        <v>0</v>
      </c>
      <c r="BJ92" s="23"/>
      <c r="BK92" s="127">
        <f t="shared" si="36"/>
        <v>0</v>
      </c>
    </row>
    <row r="93" spans="1:63">
      <c r="A93" s="112" t="s">
        <v>108</v>
      </c>
      <c r="B93" s="106"/>
      <c r="C93" s="66" t="s">
        <v>175</v>
      </c>
      <c r="D93" s="287"/>
      <c r="E93" s="103" t="s">
        <v>176</v>
      </c>
      <c r="F93" s="282" t="s">
        <v>79</v>
      </c>
      <c r="G93" s="64"/>
      <c r="H93" s="63"/>
      <c r="I93" s="63"/>
      <c r="J93" s="64"/>
      <c r="K93" s="63"/>
      <c r="L93" s="62"/>
      <c r="M93" s="61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59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81"/>
      <c r="AO93" s="117">
        <f t="shared" si="25"/>
        <v>0</v>
      </c>
      <c r="AP93" s="22"/>
      <c r="AQ93" s="117">
        <f t="shared" si="26"/>
        <v>0</v>
      </c>
      <c r="AR93" s="22"/>
      <c r="AS93" s="122">
        <f t="shared" si="27"/>
        <v>0</v>
      </c>
      <c r="AT93" s="22"/>
      <c r="AU93" s="117">
        <f t="shared" si="28"/>
        <v>0</v>
      </c>
      <c r="AV93" s="22"/>
      <c r="AW93" s="117">
        <f t="shared" si="29"/>
        <v>0</v>
      </c>
      <c r="AX93" s="22"/>
      <c r="AY93" s="122">
        <f t="shared" si="30"/>
        <v>0</v>
      </c>
      <c r="AZ93" s="79"/>
      <c r="BA93" s="117">
        <f t="shared" si="31"/>
        <v>0</v>
      </c>
      <c r="BB93" s="79"/>
      <c r="BC93" s="117">
        <f t="shared" si="32"/>
        <v>0</v>
      </c>
      <c r="BD93" s="22"/>
      <c r="BE93" s="122">
        <f t="shared" si="33"/>
        <v>0</v>
      </c>
      <c r="BF93" s="79">
        <v>0</v>
      </c>
      <c r="BG93" s="117">
        <f t="shared" si="34"/>
        <v>0</v>
      </c>
      <c r="BH93" s="22"/>
      <c r="BI93" s="117">
        <f t="shared" si="35"/>
        <v>0</v>
      </c>
      <c r="BJ93" s="22"/>
      <c r="BK93" s="126">
        <f t="shared" si="36"/>
        <v>0</v>
      </c>
    </row>
    <row r="94" spans="1:63">
      <c r="A94" s="112" t="s">
        <v>108</v>
      </c>
      <c r="B94" s="106"/>
      <c r="C94" s="66" t="s">
        <v>175</v>
      </c>
      <c r="D94" s="287"/>
      <c r="E94" s="103" t="s">
        <v>176</v>
      </c>
      <c r="F94" s="282"/>
      <c r="G94" s="72"/>
      <c r="H94" s="54"/>
      <c r="I94" s="54"/>
      <c r="J94" s="55"/>
      <c r="K94" s="54"/>
      <c r="L94" s="53"/>
      <c r="M94" s="52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49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92"/>
      <c r="AN94" s="23"/>
      <c r="AO94" s="118">
        <f t="shared" si="25"/>
        <v>0</v>
      </c>
      <c r="AP94" s="23"/>
      <c r="AQ94" s="118">
        <f t="shared" si="26"/>
        <v>0</v>
      </c>
      <c r="AR94" s="23"/>
      <c r="AS94" s="123">
        <f t="shared" si="27"/>
        <v>0</v>
      </c>
      <c r="AT94" s="23"/>
      <c r="AU94" s="118">
        <f t="shared" si="28"/>
        <v>0</v>
      </c>
      <c r="AV94" s="23"/>
      <c r="AW94" s="118">
        <f t="shared" si="29"/>
        <v>0</v>
      </c>
      <c r="AX94" s="23"/>
      <c r="AY94" s="123">
        <f t="shared" si="30"/>
        <v>0</v>
      </c>
      <c r="AZ94" s="50"/>
      <c r="BA94" s="118">
        <f t="shared" si="31"/>
        <v>0</v>
      </c>
      <c r="BB94" s="50"/>
      <c r="BC94" s="118">
        <f t="shared" si="32"/>
        <v>0</v>
      </c>
      <c r="BD94" s="23"/>
      <c r="BE94" s="123">
        <f t="shared" si="33"/>
        <v>0</v>
      </c>
      <c r="BF94" s="50">
        <v>0</v>
      </c>
      <c r="BG94" s="118">
        <f t="shared" si="34"/>
        <v>0</v>
      </c>
      <c r="BH94" s="23"/>
      <c r="BI94" s="118">
        <f t="shared" si="35"/>
        <v>0</v>
      </c>
      <c r="BJ94" s="23"/>
      <c r="BK94" s="127">
        <f t="shared" si="36"/>
        <v>0</v>
      </c>
    </row>
    <row r="95" spans="1:63">
      <c r="A95" s="112" t="s">
        <v>108</v>
      </c>
      <c r="B95" s="106" t="s">
        <v>267</v>
      </c>
      <c r="C95" s="66" t="s">
        <v>175</v>
      </c>
      <c r="D95" s="287"/>
      <c r="E95" s="103" t="s">
        <v>176</v>
      </c>
      <c r="F95" s="282" t="s">
        <v>301</v>
      </c>
      <c r="G95" s="64" t="s">
        <v>187</v>
      </c>
      <c r="H95" s="63" t="s">
        <v>302</v>
      </c>
      <c r="I95" s="63" t="s">
        <v>184</v>
      </c>
      <c r="J95" s="64" t="s">
        <v>193</v>
      </c>
      <c r="K95" s="63" t="s">
        <v>303</v>
      </c>
      <c r="L95" s="62" t="s">
        <v>185</v>
      </c>
      <c r="M95" s="61" t="s">
        <v>204</v>
      </c>
      <c r="N95" s="60">
        <v>17.8</v>
      </c>
      <c r="O95" s="60">
        <v>17.8</v>
      </c>
      <c r="P95" s="60">
        <v>17.8</v>
      </c>
      <c r="Q95" s="60">
        <v>17.8</v>
      </c>
      <c r="R95" s="60">
        <v>17.8</v>
      </c>
      <c r="S95" s="60">
        <v>17.8</v>
      </c>
      <c r="T95" s="60">
        <v>17.8</v>
      </c>
      <c r="U95" s="60">
        <v>17.8</v>
      </c>
      <c r="V95" s="60">
        <v>17.8</v>
      </c>
      <c r="W95" s="60">
        <v>17.8</v>
      </c>
      <c r="X95" s="60">
        <v>17.8</v>
      </c>
      <c r="Y95" s="60">
        <v>17.8</v>
      </c>
      <c r="Z95" s="60">
        <v>17.8</v>
      </c>
      <c r="AA95" s="59">
        <v>8</v>
      </c>
      <c r="AB95" s="10">
        <v>8</v>
      </c>
      <c r="AC95" s="10">
        <v>8</v>
      </c>
      <c r="AD95" s="10">
        <v>8</v>
      </c>
      <c r="AE95" s="10">
        <v>8</v>
      </c>
      <c r="AF95" s="10">
        <v>8</v>
      </c>
      <c r="AG95" s="10">
        <v>8</v>
      </c>
      <c r="AH95" s="10">
        <v>8</v>
      </c>
      <c r="AI95" s="10">
        <v>8</v>
      </c>
      <c r="AJ95" s="10">
        <v>8</v>
      </c>
      <c r="AK95" s="10">
        <v>8</v>
      </c>
      <c r="AL95" s="10">
        <v>8</v>
      </c>
      <c r="AM95" s="81">
        <v>8</v>
      </c>
      <c r="AN95" s="5">
        <v>0</v>
      </c>
      <c r="AO95" s="117">
        <f t="shared" si="25"/>
        <v>0</v>
      </c>
      <c r="AP95" s="5">
        <v>0</v>
      </c>
      <c r="AQ95" s="117">
        <f t="shared" si="26"/>
        <v>0</v>
      </c>
      <c r="AR95" s="5">
        <v>0</v>
      </c>
      <c r="AS95" s="122">
        <f t="shared" si="27"/>
        <v>0</v>
      </c>
      <c r="AT95" s="5">
        <v>0</v>
      </c>
      <c r="AU95" s="117">
        <f t="shared" si="28"/>
        <v>0</v>
      </c>
      <c r="AV95" s="5">
        <v>0</v>
      </c>
      <c r="AW95" s="117">
        <f t="shared" si="29"/>
        <v>0</v>
      </c>
      <c r="AX95" s="5">
        <v>0</v>
      </c>
      <c r="AY95" s="122">
        <f t="shared" si="30"/>
        <v>0</v>
      </c>
      <c r="AZ95" s="105">
        <v>0</v>
      </c>
      <c r="BA95" s="117">
        <f t="shared" si="31"/>
        <v>0</v>
      </c>
      <c r="BB95" s="105">
        <v>0</v>
      </c>
      <c r="BC95" s="117">
        <f t="shared" si="32"/>
        <v>0</v>
      </c>
      <c r="BD95" s="5">
        <v>0</v>
      </c>
      <c r="BE95" s="122">
        <f t="shared" si="33"/>
        <v>0</v>
      </c>
      <c r="BF95" s="105">
        <v>0</v>
      </c>
      <c r="BG95" s="117">
        <f t="shared" si="34"/>
        <v>0</v>
      </c>
      <c r="BH95" s="5">
        <v>0</v>
      </c>
      <c r="BI95" s="117">
        <f t="shared" si="35"/>
        <v>0</v>
      </c>
      <c r="BJ95" s="5">
        <v>0</v>
      </c>
      <c r="BK95" s="126">
        <f t="shared" si="36"/>
        <v>0</v>
      </c>
    </row>
    <row r="96" spans="1:63">
      <c r="A96" s="112" t="s">
        <v>108</v>
      </c>
      <c r="B96" s="106" t="s">
        <v>267</v>
      </c>
      <c r="C96" s="66" t="s">
        <v>175</v>
      </c>
      <c r="D96" s="287"/>
      <c r="E96" s="103" t="s">
        <v>176</v>
      </c>
      <c r="F96" s="282"/>
      <c r="G96" s="71" t="s">
        <v>187</v>
      </c>
      <c r="H96" s="70" t="s">
        <v>304</v>
      </c>
      <c r="I96" s="70" t="s">
        <v>184</v>
      </c>
      <c r="J96" s="71" t="s">
        <v>193</v>
      </c>
      <c r="K96" s="70" t="s">
        <v>305</v>
      </c>
      <c r="L96" s="69" t="s">
        <v>185</v>
      </c>
      <c r="M96" s="68" t="s">
        <v>204</v>
      </c>
      <c r="N96" s="67">
        <v>17.8</v>
      </c>
      <c r="O96" s="67">
        <v>17.8</v>
      </c>
      <c r="P96" s="67">
        <v>17.8</v>
      </c>
      <c r="Q96" s="67">
        <v>17.8</v>
      </c>
      <c r="R96" s="67">
        <v>17.8</v>
      </c>
      <c r="S96" s="67">
        <v>17.8</v>
      </c>
      <c r="T96" s="67">
        <v>17.8</v>
      </c>
      <c r="U96" s="67">
        <v>17.8</v>
      </c>
      <c r="V96" s="67">
        <v>17.8</v>
      </c>
      <c r="W96" s="67">
        <v>17.8</v>
      </c>
      <c r="X96" s="67">
        <v>17.8</v>
      </c>
      <c r="Y96" s="67">
        <v>17.8</v>
      </c>
      <c r="Z96" s="67">
        <v>17.8</v>
      </c>
      <c r="AA96" s="58">
        <v>8</v>
      </c>
      <c r="AB96" s="10">
        <v>8</v>
      </c>
      <c r="AC96" s="10">
        <v>8</v>
      </c>
      <c r="AD96" s="10">
        <v>8</v>
      </c>
      <c r="AE96" s="10">
        <v>8</v>
      </c>
      <c r="AF96" s="10">
        <v>8</v>
      </c>
      <c r="AG96" s="10">
        <v>8</v>
      </c>
      <c r="AH96" s="10">
        <v>8</v>
      </c>
      <c r="AI96" s="10">
        <v>8</v>
      </c>
      <c r="AJ96" s="10">
        <v>8</v>
      </c>
      <c r="AK96" s="10">
        <v>8</v>
      </c>
      <c r="AL96" s="10">
        <v>8</v>
      </c>
      <c r="AM96" s="81">
        <v>8</v>
      </c>
      <c r="AN96" s="5">
        <v>0</v>
      </c>
      <c r="AO96" s="118">
        <f t="shared" si="25"/>
        <v>0</v>
      </c>
      <c r="AP96" s="5">
        <v>0</v>
      </c>
      <c r="AQ96" s="118">
        <f t="shared" si="26"/>
        <v>0</v>
      </c>
      <c r="AR96" s="5">
        <v>0</v>
      </c>
      <c r="AS96" s="123">
        <f t="shared" si="27"/>
        <v>0</v>
      </c>
      <c r="AT96" s="5">
        <v>0</v>
      </c>
      <c r="AU96" s="118">
        <f t="shared" si="28"/>
        <v>0</v>
      </c>
      <c r="AV96" s="5">
        <v>0</v>
      </c>
      <c r="AW96" s="118">
        <f t="shared" si="29"/>
        <v>0</v>
      </c>
      <c r="AX96" s="5">
        <v>0</v>
      </c>
      <c r="AY96" s="123">
        <f t="shared" si="30"/>
        <v>0</v>
      </c>
      <c r="AZ96" s="105">
        <v>0</v>
      </c>
      <c r="BA96" s="118">
        <f t="shared" si="31"/>
        <v>0</v>
      </c>
      <c r="BB96" s="105">
        <v>0</v>
      </c>
      <c r="BC96" s="118">
        <f t="shared" si="32"/>
        <v>0</v>
      </c>
      <c r="BD96" s="5">
        <v>0</v>
      </c>
      <c r="BE96" s="123">
        <f t="shared" si="33"/>
        <v>0</v>
      </c>
      <c r="BF96" s="105">
        <v>0</v>
      </c>
      <c r="BG96" s="118">
        <f t="shared" si="34"/>
        <v>0</v>
      </c>
      <c r="BH96" s="5">
        <v>0</v>
      </c>
      <c r="BI96" s="118">
        <f t="shared" si="35"/>
        <v>0</v>
      </c>
      <c r="BJ96" s="5">
        <v>0</v>
      </c>
      <c r="BK96" s="127">
        <f t="shared" si="36"/>
        <v>0</v>
      </c>
    </row>
    <row r="97" spans="1:63">
      <c r="A97" s="112" t="s">
        <v>108</v>
      </c>
      <c r="B97" s="106" t="s">
        <v>267</v>
      </c>
      <c r="C97" s="66" t="s">
        <v>175</v>
      </c>
      <c r="D97" s="287"/>
      <c r="E97" s="103" t="s">
        <v>176</v>
      </c>
      <c r="F97" s="282"/>
      <c r="G97" s="71" t="s">
        <v>187</v>
      </c>
      <c r="H97" s="70" t="s">
        <v>302</v>
      </c>
      <c r="I97" s="70" t="s">
        <v>184</v>
      </c>
      <c r="J97" s="71" t="s">
        <v>193</v>
      </c>
      <c r="K97" s="70" t="s">
        <v>306</v>
      </c>
      <c r="L97" s="69" t="s">
        <v>185</v>
      </c>
      <c r="M97" s="68" t="s">
        <v>204</v>
      </c>
      <c r="N97" s="67">
        <v>26.2</v>
      </c>
      <c r="O97" s="67">
        <v>26.2</v>
      </c>
      <c r="P97" s="67">
        <v>26.2</v>
      </c>
      <c r="Q97" s="67">
        <v>26.2</v>
      </c>
      <c r="R97" s="67">
        <v>26.2</v>
      </c>
      <c r="S97" s="67">
        <v>26.2</v>
      </c>
      <c r="T97" s="67">
        <v>26.2</v>
      </c>
      <c r="U97" s="67">
        <v>26.2</v>
      </c>
      <c r="V97" s="67">
        <v>26.2</v>
      </c>
      <c r="W97" s="67">
        <v>26.2</v>
      </c>
      <c r="X97" s="67">
        <v>26.2</v>
      </c>
      <c r="Y97" s="67">
        <v>26.2</v>
      </c>
      <c r="Z97" s="67">
        <v>26.2</v>
      </c>
      <c r="AA97" s="58">
        <v>10.86</v>
      </c>
      <c r="AB97" s="10">
        <v>10.86</v>
      </c>
      <c r="AC97" s="10">
        <v>10.86</v>
      </c>
      <c r="AD97" s="10">
        <v>10.86</v>
      </c>
      <c r="AE97" s="10">
        <v>10.86</v>
      </c>
      <c r="AF97" s="10">
        <v>10.86</v>
      </c>
      <c r="AG97" s="10">
        <v>10.86</v>
      </c>
      <c r="AH97" s="10">
        <v>10.86</v>
      </c>
      <c r="AI97" s="10">
        <v>10.86</v>
      </c>
      <c r="AJ97" s="10">
        <v>10.86</v>
      </c>
      <c r="AK97" s="10">
        <v>10.86</v>
      </c>
      <c r="AL97" s="10">
        <v>10.86</v>
      </c>
      <c r="AM97" s="81">
        <v>10.86</v>
      </c>
      <c r="AN97" s="5">
        <v>0</v>
      </c>
      <c r="AO97" s="118">
        <f t="shared" si="25"/>
        <v>0</v>
      </c>
      <c r="AP97" s="5">
        <v>0</v>
      </c>
      <c r="AQ97" s="118">
        <f t="shared" si="26"/>
        <v>0</v>
      </c>
      <c r="AR97" s="5">
        <v>0</v>
      </c>
      <c r="AS97" s="123">
        <f t="shared" si="27"/>
        <v>0</v>
      </c>
      <c r="AT97" s="5">
        <v>0</v>
      </c>
      <c r="AU97" s="118">
        <f t="shared" si="28"/>
        <v>0</v>
      </c>
      <c r="AV97" s="5">
        <v>0</v>
      </c>
      <c r="AW97" s="118">
        <f t="shared" si="29"/>
        <v>0</v>
      </c>
      <c r="AX97" s="5">
        <v>0</v>
      </c>
      <c r="AY97" s="123">
        <f t="shared" si="30"/>
        <v>0</v>
      </c>
      <c r="AZ97" s="105">
        <v>0</v>
      </c>
      <c r="BA97" s="118">
        <f t="shared" si="31"/>
        <v>0</v>
      </c>
      <c r="BB97" s="105">
        <v>0</v>
      </c>
      <c r="BC97" s="118">
        <f t="shared" si="32"/>
        <v>0</v>
      </c>
      <c r="BD97" s="5">
        <v>0</v>
      </c>
      <c r="BE97" s="123">
        <f t="shared" si="33"/>
        <v>0</v>
      </c>
      <c r="BF97" s="105">
        <v>0</v>
      </c>
      <c r="BG97" s="118">
        <f t="shared" si="34"/>
        <v>0</v>
      </c>
      <c r="BH97" s="5">
        <v>0</v>
      </c>
      <c r="BI97" s="118">
        <f t="shared" si="35"/>
        <v>0</v>
      </c>
      <c r="BJ97" s="5">
        <v>0</v>
      </c>
      <c r="BK97" s="127">
        <f t="shared" si="36"/>
        <v>0</v>
      </c>
    </row>
    <row r="98" spans="1:63">
      <c r="A98" s="112" t="s">
        <v>108</v>
      </c>
      <c r="B98" s="106" t="s">
        <v>267</v>
      </c>
      <c r="C98" s="66" t="s">
        <v>175</v>
      </c>
      <c r="D98" s="287"/>
      <c r="E98" s="103" t="s">
        <v>176</v>
      </c>
      <c r="F98" s="282"/>
      <c r="G98" s="71" t="s">
        <v>187</v>
      </c>
      <c r="H98" s="70" t="s">
        <v>304</v>
      </c>
      <c r="I98" s="70" t="s">
        <v>184</v>
      </c>
      <c r="J98" s="71" t="s">
        <v>193</v>
      </c>
      <c r="K98" s="70" t="s">
        <v>307</v>
      </c>
      <c r="L98" s="69" t="s">
        <v>185</v>
      </c>
      <c r="M98" s="68" t="s">
        <v>204</v>
      </c>
      <c r="N98" s="67">
        <v>26.2</v>
      </c>
      <c r="O98" s="67">
        <v>26.2</v>
      </c>
      <c r="P98" s="67">
        <v>26.2</v>
      </c>
      <c r="Q98" s="67">
        <v>26.2</v>
      </c>
      <c r="R98" s="67">
        <v>26.2</v>
      </c>
      <c r="S98" s="67">
        <v>26.2</v>
      </c>
      <c r="T98" s="67">
        <v>26.2</v>
      </c>
      <c r="U98" s="67">
        <v>26.2</v>
      </c>
      <c r="V98" s="67">
        <v>26.2</v>
      </c>
      <c r="W98" s="67">
        <v>26.2</v>
      </c>
      <c r="X98" s="67">
        <v>26.2</v>
      </c>
      <c r="Y98" s="67">
        <v>26.2</v>
      </c>
      <c r="Z98" s="67">
        <v>26.2</v>
      </c>
      <c r="AA98" s="58">
        <v>10.86</v>
      </c>
      <c r="AB98" s="10">
        <v>10.86</v>
      </c>
      <c r="AC98" s="10">
        <v>10.86</v>
      </c>
      <c r="AD98" s="10">
        <v>10.86</v>
      </c>
      <c r="AE98" s="10">
        <v>10.86</v>
      </c>
      <c r="AF98" s="10">
        <v>10.86</v>
      </c>
      <c r="AG98" s="10">
        <v>10.86</v>
      </c>
      <c r="AH98" s="10">
        <v>10.86</v>
      </c>
      <c r="AI98" s="10">
        <v>10.86</v>
      </c>
      <c r="AJ98" s="10">
        <v>10.86</v>
      </c>
      <c r="AK98" s="10">
        <v>10.86</v>
      </c>
      <c r="AL98" s="10">
        <v>10.86</v>
      </c>
      <c r="AM98" s="81">
        <v>10.86</v>
      </c>
      <c r="AN98" s="5">
        <v>0</v>
      </c>
      <c r="AO98" s="118">
        <f t="shared" si="25"/>
        <v>0</v>
      </c>
      <c r="AP98" s="5">
        <v>0</v>
      </c>
      <c r="AQ98" s="118">
        <f t="shared" si="26"/>
        <v>0</v>
      </c>
      <c r="AR98" s="5">
        <v>0</v>
      </c>
      <c r="AS98" s="123">
        <f t="shared" si="27"/>
        <v>0</v>
      </c>
      <c r="AT98" s="5">
        <v>0</v>
      </c>
      <c r="AU98" s="118">
        <f t="shared" si="28"/>
        <v>0</v>
      </c>
      <c r="AV98" s="5">
        <v>0</v>
      </c>
      <c r="AW98" s="118">
        <f t="shared" si="29"/>
        <v>0</v>
      </c>
      <c r="AX98" s="5">
        <v>0</v>
      </c>
      <c r="AY98" s="123">
        <f t="shared" si="30"/>
        <v>0</v>
      </c>
      <c r="AZ98" s="105">
        <v>0</v>
      </c>
      <c r="BA98" s="118">
        <f t="shared" si="31"/>
        <v>0</v>
      </c>
      <c r="BB98" s="105">
        <v>0</v>
      </c>
      <c r="BC98" s="118">
        <f t="shared" si="32"/>
        <v>0</v>
      </c>
      <c r="BD98" s="5">
        <v>0</v>
      </c>
      <c r="BE98" s="123">
        <f t="shared" si="33"/>
        <v>0</v>
      </c>
      <c r="BF98" s="105">
        <v>0</v>
      </c>
      <c r="BG98" s="118">
        <f t="shared" si="34"/>
        <v>0</v>
      </c>
      <c r="BH98" s="5">
        <v>0</v>
      </c>
      <c r="BI98" s="118">
        <f t="shared" si="35"/>
        <v>0</v>
      </c>
      <c r="BJ98" s="5">
        <v>0</v>
      </c>
      <c r="BK98" s="127">
        <f t="shared" si="36"/>
        <v>0</v>
      </c>
    </row>
    <row r="99" spans="1:63">
      <c r="A99" s="112" t="s">
        <v>108</v>
      </c>
      <c r="B99" s="106" t="s">
        <v>267</v>
      </c>
      <c r="C99" s="66" t="s">
        <v>175</v>
      </c>
      <c r="D99" s="287"/>
      <c r="E99" s="103" t="s">
        <v>176</v>
      </c>
      <c r="F99" s="282"/>
      <c r="G99" s="71" t="s">
        <v>178</v>
      </c>
      <c r="H99" s="70" t="s">
        <v>308</v>
      </c>
      <c r="I99" s="70" t="s">
        <v>184</v>
      </c>
      <c r="J99" s="71" t="s">
        <v>283</v>
      </c>
      <c r="K99" s="70" t="s">
        <v>303</v>
      </c>
      <c r="L99" s="69" t="s">
        <v>185</v>
      </c>
      <c r="M99" s="68" t="s">
        <v>204</v>
      </c>
      <c r="N99" s="67">
        <v>17.2</v>
      </c>
      <c r="O99" s="67">
        <v>17.2</v>
      </c>
      <c r="P99" s="67">
        <v>17.2</v>
      </c>
      <c r="Q99" s="67">
        <v>17.2</v>
      </c>
      <c r="R99" s="67">
        <v>17.2</v>
      </c>
      <c r="S99" s="67">
        <v>17.2</v>
      </c>
      <c r="T99" s="67">
        <v>17.2</v>
      </c>
      <c r="U99" s="67">
        <v>17.2</v>
      </c>
      <c r="V99" s="67">
        <v>17.2</v>
      </c>
      <c r="W99" s="67">
        <v>17.2</v>
      </c>
      <c r="X99" s="67">
        <v>17.2</v>
      </c>
      <c r="Y99" s="67">
        <v>17.2</v>
      </c>
      <c r="Z99" s="67">
        <v>17.2</v>
      </c>
      <c r="AA99" s="58">
        <v>7.2</v>
      </c>
      <c r="AB99" s="10">
        <v>7.2</v>
      </c>
      <c r="AC99" s="10">
        <v>7.2</v>
      </c>
      <c r="AD99" s="10">
        <v>7.2</v>
      </c>
      <c r="AE99" s="10">
        <v>7.2</v>
      </c>
      <c r="AF99" s="10">
        <v>7.2</v>
      </c>
      <c r="AG99" s="10">
        <v>7.2</v>
      </c>
      <c r="AH99" s="10">
        <v>7.2</v>
      </c>
      <c r="AI99" s="10">
        <v>7.2</v>
      </c>
      <c r="AJ99" s="10">
        <v>7.2</v>
      </c>
      <c r="AK99" s="10">
        <v>7.2</v>
      </c>
      <c r="AL99" s="10">
        <v>7.2</v>
      </c>
      <c r="AM99" s="81">
        <v>7.2</v>
      </c>
      <c r="AN99" s="5">
        <v>0</v>
      </c>
      <c r="AO99" s="118">
        <f t="shared" si="25"/>
        <v>0</v>
      </c>
      <c r="AP99" s="5">
        <v>0</v>
      </c>
      <c r="AQ99" s="118">
        <f t="shared" si="26"/>
        <v>0</v>
      </c>
      <c r="AR99" s="5">
        <v>0</v>
      </c>
      <c r="AS99" s="123">
        <f t="shared" si="27"/>
        <v>0</v>
      </c>
      <c r="AT99" s="5">
        <v>0</v>
      </c>
      <c r="AU99" s="118">
        <f t="shared" si="28"/>
        <v>0</v>
      </c>
      <c r="AV99" s="5">
        <v>0</v>
      </c>
      <c r="AW99" s="118">
        <f t="shared" si="29"/>
        <v>0</v>
      </c>
      <c r="AX99" s="5">
        <v>0</v>
      </c>
      <c r="AY99" s="123">
        <f t="shared" si="30"/>
        <v>0</v>
      </c>
      <c r="AZ99" s="105">
        <v>0</v>
      </c>
      <c r="BA99" s="118">
        <f t="shared" si="31"/>
        <v>0</v>
      </c>
      <c r="BB99" s="105">
        <v>0</v>
      </c>
      <c r="BC99" s="118">
        <f t="shared" si="32"/>
        <v>0</v>
      </c>
      <c r="BD99" s="5">
        <v>0</v>
      </c>
      <c r="BE99" s="123">
        <f t="shared" si="33"/>
        <v>0</v>
      </c>
      <c r="BF99" s="105">
        <v>0</v>
      </c>
      <c r="BG99" s="118">
        <f t="shared" si="34"/>
        <v>0</v>
      </c>
      <c r="BH99" s="5">
        <v>0</v>
      </c>
      <c r="BI99" s="118">
        <f t="shared" si="35"/>
        <v>0</v>
      </c>
      <c r="BJ99" s="5">
        <v>0</v>
      </c>
      <c r="BK99" s="127">
        <f t="shared" si="36"/>
        <v>0</v>
      </c>
    </row>
    <row r="100" spans="1:63">
      <c r="A100" s="112" t="s">
        <v>108</v>
      </c>
      <c r="B100" s="106" t="s">
        <v>267</v>
      </c>
      <c r="C100" s="66" t="s">
        <v>175</v>
      </c>
      <c r="D100" s="287"/>
      <c r="E100" s="103" t="s">
        <v>176</v>
      </c>
      <c r="F100" s="282"/>
      <c r="G100" s="71" t="s">
        <v>178</v>
      </c>
      <c r="H100" s="70" t="s">
        <v>309</v>
      </c>
      <c r="I100" s="70" t="s">
        <v>184</v>
      </c>
      <c r="J100" s="71" t="s">
        <v>283</v>
      </c>
      <c r="K100" s="70" t="s">
        <v>305</v>
      </c>
      <c r="L100" s="69" t="s">
        <v>185</v>
      </c>
      <c r="M100" s="68" t="s">
        <v>204</v>
      </c>
      <c r="N100" s="67">
        <v>25.35</v>
      </c>
      <c r="O100" s="67">
        <v>25.35</v>
      </c>
      <c r="P100" s="67">
        <v>25.35</v>
      </c>
      <c r="Q100" s="67">
        <v>25.35</v>
      </c>
      <c r="R100" s="67">
        <v>25.35</v>
      </c>
      <c r="S100" s="67">
        <v>25.35</v>
      </c>
      <c r="T100" s="67">
        <v>25.35</v>
      </c>
      <c r="U100" s="67">
        <v>25.35</v>
      </c>
      <c r="V100" s="67">
        <v>25.35</v>
      </c>
      <c r="W100" s="67">
        <v>25.35</v>
      </c>
      <c r="X100" s="67">
        <v>25.35</v>
      </c>
      <c r="Y100" s="67">
        <v>25.35</v>
      </c>
      <c r="Z100" s="67">
        <v>25.35</v>
      </c>
      <c r="AA100" s="58">
        <v>7.2</v>
      </c>
      <c r="AB100" s="10">
        <v>7.2</v>
      </c>
      <c r="AC100" s="10">
        <v>7.2</v>
      </c>
      <c r="AD100" s="10">
        <v>7.2</v>
      </c>
      <c r="AE100" s="10">
        <v>7.2</v>
      </c>
      <c r="AF100" s="10">
        <v>7.2</v>
      </c>
      <c r="AG100" s="10">
        <v>7.2</v>
      </c>
      <c r="AH100" s="10">
        <v>7.2</v>
      </c>
      <c r="AI100" s="10">
        <v>7.2</v>
      </c>
      <c r="AJ100" s="10">
        <v>7.2</v>
      </c>
      <c r="AK100" s="10">
        <v>7.2</v>
      </c>
      <c r="AL100" s="10">
        <v>7.2</v>
      </c>
      <c r="AM100" s="81">
        <v>7.2</v>
      </c>
      <c r="AN100" s="5">
        <v>0</v>
      </c>
      <c r="AO100" s="118">
        <f t="shared" si="25"/>
        <v>0</v>
      </c>
      <c r="AP100" s="5">
        <v>0</v>
      </c>
      <c r="AQ100" s="118">
        <f t="shared" si="26"/>
        <v>0</v>
      </c>
      <c r="AR100" s="5">
        <v>0</v>
      </c>
      <c r="AS100" s="123">
        <f t="shared" si="27"/>
        <v>0</v>
      </c>
      <c r="AT100" s="5">
        <v>0</v>
      </c>
      <c r="AU100" s="118">
        <f t="shared" si="28"/>
        <v>0</v>
      </c>
      <c r="AV100" s="5">
        <v>0</v>
      </c>
      <c r="AW100" s="118">
        <f t="shared" si="29"/>
        <v>0</v>
      </c>
      <c r="AX100" s="5">
        <v>0</v>
      </c>
      <c r="AY100" s="123">
        <f t="shared" si="30"/>
        <v>0</v>
      </c>
      <c r="AZ100" s="105">
        <v>0</v>
      </c>
      <c r="BA100" s="118">
        <f t="shared" si="31"/>
        <v>0</v>
      </c>
      <c r="BB100" s="105">
        <v>0</v>
      </c>
      <c r="BC100" s="118">
        <f t="shared" si="32"/>
        <v>0</v>
      </c>
      <c r="BD100" s="5">
        <v>0</v>
      </c>
      <c r="BE100" s="123">
        <f t="shared" si="33"/>
        <v>0</v>
      </c>
      <c r="BF100" s="105">
        <v>0</v>
      </c>
      <c r="BG100" s="118">
        <f t="shared" si="34"/>
        <v>0</v>
      </c>
      <c r="BH100" s="5">
        <v>0</v>
      </c>
      <c r="BI100" s="118">
        <f t="shared" si="35"/>
        <v>0</v>
      </c>
      <c r="BJ100" s="5">
        <v>0</v>
      </c>
      <c r="BK100" s="127">
        <f t="shared" si="36"/>
        <v>0</v>
      </c>
    </row>
    <row r="101" spans="1:63">
      <c r="A101" s="112" t="s">
        <v>108</v>
      </c>
      <c r="B101" s="106" t="s">
        <v>267</v>
      </c>
      <c r="C101" s="66" t="s">
        <v>175</v>
      </c>
      <c r="D101" s="287"/>
      <c r="E101" s="103" t="s">
        <v>176</v>
      </c>
      <c r="F101" s="282"/>
      <c r="G101" s="71" t="s">
        <v>178</v>
      </c>
      <c r="H101" s="70" t="s">
        <v>308</v>
      </c>
      <c r="I101" s="70" t="s">
        <v>184</v>
      </c>
      <c r="J101" s="71" t="s">
        <v>283</v>
      </c>
      <c r="K101" s="70" t="s">
        <v>306</v>
      </c>
      <c r="L101" s="69" t="s">
        <v>185</v>
      </c>
      <c r="M101" s="68" t="s">
        <v>204</v>
      </c>
      <c r="N101" s="67">
        <v>17.2</v>
      </c>
      <c r="O101" s="67">
        <v>17.2</v>
      </c>
      <c r="P101" s="67">
        <v>17.2</v>
      </c>
      <c r="Q101" s="67">
        <v>17.2</v>
      </c>
      <c r="R101" s="67">
        <v>17.2</v>
      </c>
      <c r="S101" s="67">
        <v>17.2</v>
      </c>
      <c r="T101" s="67">
        <v>17.2</v>
      </c>
      <c r="U101" s="67">
        <v>17.2</v>
      </c>
      <c r="V101" s="67">
        <v>17.2</v>
      </c>
      <c r="W101" s="67">
        <v>17.2</v>
      </c>
      <c r="X101" s="67">
        <v>17.2</v>
      </c>
      <c r="Y101" s="67">
        <v>17.2</v>
      </c>
      <c r="Z101" s="67">
        <v>17.2</v>
      </c>
      <c r="AA101" s="58">
        <v>9.77</v>
      </c>
      <c r="AB101" s="10">
        <v>9.77</v>
      </c>
      <c r="AC101" s="10">
        <v>9.77</v>
      </c>
      <c r="AD101" s="10">
        <v>9.77</v>
      </c>
      <c r="AE101" s="10">
        <v>9.77</v>
      </c>
      <c r="AF101" s="10">
        <v>9.77</v>
      </c>
      <c r="AG101" s="10">
        <v>9.77</v>
      </c>
      <c r="AH101" s="10">
        <v>9.77</v>
      </c>
      <c r="AI101" s="10">
        <v>9.77</v>
      </c>
      <c r="AJ101" s="10">
        <v>9.77</v>
      </c>
      <c r="AK101" s="10">
        <v>9.77</v>
      </c>
      <c r="AL101" s="10">
        <v>9.77</v>
      </c>
      <c r="AM101" s="81">
        <v>9.77</v>
      </c>
      <c r="AN101" s="5">
        <v>0</v>
      </c>
      <c r="AO101" s="118">
        <f t="shared" si="25"/>
        <v>0</v>
      </c>
      <c r="AP101" s="5">
        <v>0</v>
      </c>
      <c r="AQ101" s="118">
        <f t="shared" si="26"/>
        <v>0</v>
      </c>
      <c r="AR101" s="5">
        <v>0</v>
      </c>
      <c r="AS101" s="123">
        <f t="shared" si="27"/>
        <v>0</v>
      </c>
      <c r="AT101" s="5">
        <v>0</v>
      </c>
      <c r="AU101" s="118">
        <f t="shared" si="28"/>
        <v>0</v>
      </c>
      <c r="AV101" s="5">
        <v>0</v>
      </c>
      <c r="AW101" s="118">
        <f t="shared" si="29"/>
        <v>0</v>
      </c>
      <c r="AX101" s="5">
        <v>0</v>
      </c>
      <c r="AY101" s="123">
        <f t="shared" si="30"/>
        <v>0</v>
      </c>
      <c r="AZ101" s="105">
        <v>0</v>
      </c>
      <c r="BA101" s="118">
        <f t="shared" si="31"/>
        <v>0</v>
      </c>
      <c r="BB101" s="105">
        <v>0</v>
      </c>
      <c r="BC101" s="118">
        <f t="shared" si="32"/>
        <v>0</v>
      </c>
      <c r="BD101" s="5">
        <v>0</v>
      </c>
      <c r="BE101" s="123">
        <f t="shared" si="33"/>
        <v>0</v>
      </c>
      <c r="BF101" s="105">
        <v>0</v>
      </c>
      <c r="BG101" s="118">
        <f t="shared" si="34"/>
        <v>0</v>
      </c>
      <c r="BH101" s="5">
        <v>0</v>
      </c>
      <c r="BI101" s="118">
        <f t="shared" si="35"/>
        <v>0</v>
      </c>
      <c r="BJ101" s="5">
        <v>0</v>
      </c>
      <c r="BK101" s="127">
        <f t="shared" si="36"/>
        <v>0</v>
      </c>
    </row>
    <row r="102" spans="1:63">
      <c r="A102" s="112" t="s">
        <v>108</v>
      </c>
      <c r="B102" s="106" t="s">
        <v>267</v>
      </c>
      <c r="C102" s="66" t="s">
        <v>175</v>
      </c>
      <c r="D102" s="287"/>
      <c r="E102" s="103" t="s">
        <v>176</v>
      </c>
      <c r="F102" s="282"/>
      <c r="G102" s="71" t="s">
        <v>178</v>
      </c>
      <c r="H102" s="70" t="s">
        <v>309</v>
      </c>
      <c r="I102" s="70" t="s">
        <v>184</v>
      </c>
      <c r="J102" s="71" t="s">
        <v>283</v>
      </c>
      <c r="K102" s="70" t="s">
        <v>307</v>
      </c>
      <c r="L102" s="69" t="s">
        <v>185</v>
      </c>
      <c r="M102" s="68" t="s">
        <v>204</v>
      </c>
      <c r="N102" s="67">
        <v>25.35</v>
      </c>
      <c r="O102" s="67">
        <v>25.35</v>
      </c>
      <c r="P102" s="67">
        <v>25.35</v>
      </c>
      <c r="Q102" s="67">
        <v>25.35</v>
      </c>
      <c r="R102" s="67">
        <v>25.35</v>
      </c>
      <c r="S102" s="67">
        <v>25.35</v>
      </c>
      <c r="T102" s="67">
        <v>25.35</v>
      </c>
      <c r="U102" s="67">
        <v>25.35</v>
      </c>
      <c r="V102" s="67">
        <v>25.35</v>
      </c>
      <c r="W102" s="67">
        <v>25.35</v>
      </c>
      <c r="X102" s="67">
        <v>25.35</v>
      </c>
      <c r="Y102" s="67">
        <v>25.35</v>
      </c>
      <c r="Z102" s="67">
        <v>25.35</v>
      </c>
      <c r="AA102" s="58">
        <v>9.77</v>
      </c>
      <c r="AB102" s="10">
        <v>9.77</v>
      </c>
      <c r="AC102" s="10">
        <v>9.77</v>
      </c>
      <c r="AD102" s="10">
        <v>9.77</v>
      </c>
      <c r="AE102" s="10">
        <v>9.77</v>
      </c>
      <c r="AF102" s="10">
        <v>9.77</v>
      </c>
      <c r="AG102" s="10">
        <v>9.77</v>
      </c>
      <c r="AH102" s="10">
        <v>9.77</v>
      </c>
      <c r="AI102" s="10">
        <v>9.77</v>
      </c>
      <c r="AJ102" s="10">
        <v>9.77</v>
      </c>
      <c r="AK102" s="10">
        <v>9.77</v>
      </c>
      <c r="AL102" s="10">
        <v>9.77</v>
      </c>
      <c r="AM102" s="81">
        <v>9.77</v>
      </c>
      <c r="AN102" s="5">
        <v>0</v>
      </c>
      <c r="AO102" s="118">
        <f t="shared" si="25"/>
        <v>0</v>
      </c>
      <c r="AP102" s="5">
        <v>0</v>
      </c>
      <c r="AQ102" s="118">
        <f t="shared" si="26"/>
        <v>0</v>
      </c>
      <c r="AR102" s="5">
        <v>0</v>
      </c>
      <c r="AS102" s="123">
        <f t="shared" si="27"/>
        <v>0</v>
      </c>
      <c r="AT102" s="5">
        <v>0</v>
      </c>
      <c r="AU102" s="118">
        <f t="shared" si="28"/>
        <v>0</v>
      </c>
      <c r="AV102" s="5">
        <v>0</v>
      </c>
      <c r="AW102" s="118">
        <f t="shared" si="29"/>
        <v>0</v>
      </c>
      <c r="AX102" s="5">
        <v>0</v>
      </c>
      <c r="AY102" s="123">
        <f t="shared" si="30"/>
        <v>0</v>
      </c>
      <c r="AZ102" s="105">
        <v>0</v>
      </c>
      <c r="BA102" s="118">
        <f t="shared" si="31"/>
        <v>0</v>
      </c>
      <c r="BB102" s="105">
        <v>0</v>
      </c>
      <c r="BC102" s="118">
        <f t="shared" si="32"/>
        <v>0</v>
      </c>
      <c r="BD102" s="5">
        <v>0</v>
      </c>
      <c r="BE102" s="123">
        <f t="shared" si="33"/>
        <v>0</v>
      </c>
      <c r="BF102" s="105">
        <v>0</v>
      </c>
      <c r="BG102" s="118">
        <f t="shared" si="34"/>
        <v>0</v>
      </c>
      <c r="BH102" s="5">
        <v>0</v>
      </c>
      <c r="BI102" s="118">
        <f t="shared" si="35"/>
        <v>0</v>
      </c>
      <c r="BJ102" s="5">
        <v>0</v>
      </c>
      <c r="BK102" s="127">
        <f t="shared" si="36"/>
        <v>0</v>
      </c>
    </row>
    <row r="103" spans="1:63">
      <c r="A103" s="112" t="s">
        <v>108</v>
      </c>
      <c r="B103" s="106" t="s">
        <v>267</v>
      </c>
      <c r="C103" s="66" t="s">
        <v>175</v>
      </c>
      <c r="D103" s="287"/>
      <c r="E103" s="103" t="s">
        <v>176</v>
      </c>
      <c r="F103" s="282"/>
      <c r="G103" s="71" t="s">
        <v>200</v>
      </c>
      <c r="H103" s="70" t="s">
        <v>310</v>
      </c>
      <c r="I103" s="70" t="s">
        <v>184</v>
      </c>
      <c r="J103" s="71" t="s">
        <v>283</v>
      </c>
      <c r="K103" s="70" t="s">
        <v>303</v>
      </c>
      <c r="L103" s="69" t="s">
        <v>185</v>
      </c>
      <c r="M103" s="68" t="s">
        <v>204</v>
      </c>
      <c r="N103" s="67">
        <v>17.2</v>
      </c>
      <c r="O103" s="67">
        <v>17.2</v>
      </c>
      <c r="P103" s="67">
        <v>17.2</v>
      </c>
      <c r="Q103" s="67">
        <v>17.2</v>
      </c>
      <c r="R103" s="67">
        <v>17.2</v>
      </c>
      <c r="S103" s="67">
        <v>17.2</v>
      </c>
      <c r="T103" s="67">
        <v>17.2</v>
      </c>
      <c r="U103" s="67">
        <v>17.2</v>
      </c>
      <c r="V103" s="67">
        <v>17.2</v>
      </c>
      <c r="W103" s="67">
        <v>17.2</v>
      </c>
      <c r="X103" s="67">
        <v>17.2</v>
      </c>
      <c r="Y103" s="67">
        <v>17.2</v>
      </c>
      <c r="Z103" s="67">
        <v>17.2</v>
      </c>
      <c r="AA103" s="58">
        <v>2.5</v>
      </c>
      <c r="AB103" s="10">
        <v>2.5</v>
      </c>
      <c r="AC103" s="10">
        <v>2.5</v>
      </c>
      <c r="AD103" s="10">
        <v>4</v>
      </c>
      <c r="AE103" s="10">
        <v>4</v>
      </c>
      <c r="AF103" s="10">
        <v>4</v>
      </c>
      <c r="AG103" s="10">
        <v>4</v>
      </c>
      <c r="AH103" s="10">
        <v>6.87</v>
      </c>
      <c r="AI103" s="10">
        <v>6.87</v>
      </c>
      <c r="AJ103" s="10">
        <v>6.87</v>
      </c>
      <c r="AK103" s="10">
        <v>6.87</v>
      </c>
      <c r="AL103" s="10">
        <v>6.87</v>
      </c>
      <c r="AM103" s="81">
        <v>6.87</v>
      </c>
      <c r="AN103" s="5">
        <v>0</v>
      </c>
      <c r="AO103" s="118">
        <f t="shared" si="25"/>
        <v>0</v>
      </c>
      <c r="AP103" s="5">
        <v>0</v>
      </c>
      <c r="AQ103" s="118">
        <f t="shared" si="26"/>
        <v>0</v>
      </c>
      <c r="AR103" s="5">
        <v>0</v>
      </c>
      <c r="AS103" s="123">
        <f t="shared" si="27"/>
        <v>0</v>
      </c>
      <c r="AT103" s="5">
        <v>0</v>
      </c>
      <c r="AU103" s="118">
        <f t="shared" si="28"/>
        <v>0</v>
      </c>
      <c r="AV103" s="5">
        <v>0</v>
      </c>
      <c r="AW103" s="118">
        <f t="shared" si="29"/>
        <v>0</v>
      </c>
      <c r="AX103" s="5">
        <v>0</v>
      </c>
      <c r="AY103" s="123">
        <f t="shared" si="30"/>
        <v>0</v>
      </c>
      <c r="AZ103" s="105">
        <v>0</v>
      </c>
      <c r="BA103" s="118">
        <f t="shared" si="31"/>
        <v>0</v>
      </c>
      <c r="BB103" s="105">
        <v>0</v>
      </c>
      <c r="BC103" s="118">
        <f t="shared" si="32"/>
        <v>0</v>
      </c>
      <c r="BD103" s="5">
        <v>0</v>
      </c>
      <c r="BE103" s="123">
        <f t="shared" si="33"/>
        <v>0</v>
      </c>
      <c r="BF103" s="105">
        <v>0</v>
      </c>
      <c r="BG103" s="118">
        <f t="shared" si="34"/>
        <v>0</v>
      </c>
      <c r="BH103" s="5">
        <v>0</v>
      </c>
      <c r="BI103" s="118">
        <f t="shared" si="35"/>
        <v>0</v>
      </c>
      <c r="BJ103" s="5">
        <v>0</v>
      </c>
      <c r="BK103" s="127">
        <f t="shared" si="36"/>
        <v>0</v>
      </c>
    </row>
    <row r="104" spans="1:63">
      <c r="A104" s="112" t="s">
        <v>108</v>
      </c>
      <c r="B104" s="106" t="s">
        <v>267</v>
      </c>
      <c r="C104" s="66" t="s">
        <v>175</v>
      </c>
      <c r="D104" s="287"/>
      <c r="E104" s="103" t="s">
        <v>176</v>
      </c>
      <c r="F104" s="282"/>
      <c r="G104" s="71" t="s">
        <v>200</v>
      </c>
      <c r="H104" s="70" t="s">
        <v>311</v>
      </c>
      <c r="I104" s="70" t="s">
        <v>184</v>
      </c>
      <c r="J104" s="71" t="s">
        <v>283</v>
      </c>
      <c r="K104" s="70" t="s">
        <v>305</v>
      </c>
      <c r="L104" s="69" t="s">
        <v>185</v>
      </c>
      <c r="M104" s="68" t="s">
        <v>204</v>
      </c>
      <c r="N104" s="67">
        <v>25.35</v>
      </c>
      <c r="O104" s="67">
        <v>25.35</v>
      </c>
      <c r="P104" s="67">
        <v>25.35</v>
      </c>
      <c r="Q104" s="67">
        <v>25.35</v>
      </c>
      <c r="R104" s="67">
        <v>25.35</v>
      </c>
      <c r="S104" s="67">
        <v>25.35</v>
      </c>
      <c r="T104" s="67">
        <v>25.35</v>
      </c>
      <c r="U104" s="67">
        <v>25.35</v>
      </c>
      <c r="V104" s="67">
        <v>25.35</v>
      </c>
      <c r="W104" s="67">
        <v>25.35</v>
      </c>
      <c r="X104" s="67">
        <v>25.35</v>
      </c>
      <c r="Y104" s="67">
        <v>25.35</v>
      </c>
      <c r="Z104" s="67">
        <v>25.35</v>
      </c>
      <c r="AA104" s="58">
        <v>3.5</v>
      </c>
      <c r="AB104" s="10">
        <v>3.5</v>
      </c>
      <c r="AC104" s="10">
        <v>3.5</v>
      </c>
      <c r="AD104" s="10">
        <v>3.5</v>
      </c>
      <c r="AE104" s="10">
        <v>3.5</v>
      </c>
      <c r="AF104" s="10">
        <v>3.5</v>
      </c>
      <c r="AG104" s="10">
        <v>3.5</v>
      </c>
      <c r="AH104" s="10">
        <v>9.5399999999999991</v>
      </c>
      <c r="AI104" s="10">
        <v>9.5399999999999991</v>
      </c>
      <c r="AJ104" s="10">
        <v>9.5399999999999991</v>
      </c>
      <c r="AK104" s="10">
        <v>9.5399999999999991</v>
      </c>
      <c r="AL104" s="10">
        <v>9.5399999999999991</v>
      </c>
      <c r="AM104" s="81">
        <v>9.5399999999999991</v>
      </c>
      <c r="AN104" s="5">
        <v>2993</v>
      </c>
      <c r="AO104" s="118">
        <f t="shared" si="25"/>
        <v>10475.5</v>
      </c>
      <c r="AP104" s="5">
        <v>160</v>
      </c>
      <c r="AQ104" s="118">
        <f t="shared" si="26"/>
        <v>560</v>
      </c>
      <c r="AR104" s="5">
        <v>160</v>
      </c>
      <c r="AS104" s="123">
        <f t="shared" si="27"/>
        <v>560</v>
      </c>
      <c r="AT104" s="5">
        <v>32</v>
      </c>
      <c r="AU104" s="118">
        <f t="shared" si="28"/>
        <v>112</v>
      </c>
      <c r="AV104" s="5">
        <v>1273</v>
      </c>
      <c r="AW104" s="118">
        <f t="shared" si="29"/>
        <v>4455.5</v>
      </c>
      <c r="AX104" s="5">
        <v>0</v>
      </c>
      <c r="AY104" s="123">
        <f t="shared" si="30"/>
        <v>0</v>
      </c>
      <c r="AZ104" s="105">
        <v>0</v>
      </c>
      <c r="BA104" s="118">
        <f t="shared" si="31"/>
        <v>0</v>
      </c>
      <c r="BB104" s="105">
        <v>0</v>
      </c>
      <c r="BC104" s="118">
        <f t="shared" si="32"/>
        <v>0</v>
      </c>
      <c r="BD104" s="5">
        <v>0</v>
      </c>
      <c r="BE104" s="123">
        <f t="shared" si="33"/>
        <v>0</v>
      </c>
      <c r="BF104" s="105">
        <v>0</v>
      </c>
      <c r="BG104" s="118">
        <f t="shared" si="34"/>
        <v>0</v>
      </c>
      <c r="BH104" s="5">
        <v>0</v>
      </c>
      <c r="BI104" s="118">
        <f t="shared" si="35"/>
        <v>0</v>
      </c>
      <c r="BJ104" s="5">
        <v>0</v>
      </c>
      <c r="BK104" s="127">
        <f t="shared" si="36"/>
        <v>0</v>
      </c>
    </row>
    <row r="105" spans="1:63">
      <c r="A105" s="112" t="s">
        <v>108</v>
      </c>
      <c r="B105" s="106" t="s">
        <v>267</v>
      </c>
      <c r="C105" s="66" t="s">
        <v>175</v>
      </c>
      <c r="D105" s="287"/>
      <c r="E105" s="103" t="s">
        <v>176</v>
      </c>
      <c r="F105" s="282"/>
      <c r="G105" s="71" t="s">
        <v>200</v>
      </c>
      <c r="H105" s="70" t="s">
        <v>310</v>
      </c>
      <c r="I105" s="70" t="s">
        <v>184</v>
      </c>
      <c r="J105" s="71" t="s">
        <v>283</v>
      </c>
      <c r="K105" s="70" t="s">
        <v>306</v>
      </c>
      <c r="L105" s="69" t="s">
        <v>185</v>
      </c>
      <c r="M105" s="68" t="s">
        <v>204</v>
      </c>
      <c r="N105" s="67">
        <v>17.2</v>
      </c>
      <c r="O105" s="67">
        <v>17.2</v>
      </c>
      <c r="P105" s="67">
        <v>17.2</v>
      </c>
      <c r="Q105" s="67">
        <v>17.2</v>
      </c>
      <c r="R105" s="67">
        <v>17.2</v>
      </c>
      <c r="S105" s="67">
        <v>17.2</v>
      </c>
      <c r="T105" s="67">
        <v>17.2</v>
      </c>
      <c r="U105" s="67">
        <v>17.2</v>
      </c>
      <c r="V105" s="67">
        <v>17.2</v>
      </c>
      <c r="W105" s="67">
        <v>17.2</v>
      </c>
      <c r="X105" s="67">
        <v>17.2</v>
      </c>
      <c r="Y105" s="67">
        <v>17.2</v>
      </c>
      <c r="Z105" s="67">
        <v>17.2</v>
      </c>
      <c r="AA105" s="58">
        <v>2.5</v>
      </c>
      <c r="AB105" s="10">
        <v>2.5</v>
      </c>
      <c r="AC105" s="10">
        <v>2.5</v>
      </c>
      <c r="AD105" s="10">
        <v>4</v>
      </c>
      <c r="AE105" s="10">
        <v>4</v>
      </c>
      <c r="AF105" s="10">
        <v>4</v>
      </c>
      <c r="AG105" s="10">
        <v>4</v>
      </c>
      <c r="AH105" s="10">
        <v>6.87</v>
      </c>
      <c r="AI105" s="10">
        <v>6.87</v>
      </c>
      <c r="AJ105" s="10">
        <v>6.87</v>
      </c>
      <c r="AK105" s="10">
        <v>6.87</v>
      </c>
      <c r="AL105" s="10">
        <v>6.87</v>
      </c>
      <c r="AM105" s="81">
        <v>6.87</v>
      </c>
      <c r="AN105" s="5">
        <v>1870</v>
      </c>
      <c r="AO105" s="118">
        <f t="shared" si="25"/>
        <v>4675</v>
      </c>
      <c r="AP105" s="5">
        <v>4640</v>
      </c>
      <c r="AQ105" s="118">
        <f t="shared" si="26"/>
        <v>11600</v>
      </c>
      <c r="AR105" s="5">
        <v>1236</v>
      </c>
      <c r="AS105" s="123">
        <f t="shared" si="27"/>
        <v>4944</v>
      </c>
      <c r="AT105" s="5">
        <v>1776</v>
      </c>
      <c r="AU105" s="118">
        <f t="shared" si="28"/>
        <v>7104</v>
      </c>
      <c r="AV105" s="5">
        <v>1029</v>
      </c>
      <c r="AW105" s="118">
        <f t="shared" si="29"/>
        <v>4116</v>
      </c>
      <c r="AX105" s="5">
        <v>76</v>
      </c>
      <c r="AY105" s="123">
        <f t="shared" si="30"/>
        <v>304</v>
      </c>
      <c r="AZ105" s="105">
        <v>0</v>
      </c>
      <c r="BA105" s="118">
        <f t="shared" si="31"/>
        <v>0</v>
      </c>
      <c r="BB105" s="105">
        <v>0</v>
      </c>
      <c r="BC105" s="118">
        <f t="shared" si="32"/>
        <v>0</v>
      </c>
      <c r="BD105" s="5">
        <v>0</v>
      </c>
      <c r="BE105" s="123">
        <f t="shared" si="33"/>
        <v>0</v>
      </c>
      <c r="BF105" s="105">
        <v>0</v>
      </c>
      <c r="BG105" s="118">
        <f t="shared" si="34"/>
        <v>0</v>
      </c>
      <c r="BH105" s="5">
        <v>0</v>
      </c>
      <c r="BI105" s="118">
        <f t="shared" si="35"/>
        <v>0</v>
      </c>
      <c r="BJ105" s="5">
        <v>0</v>
      </c>
      <c r="BK105" s="127">
        <f t="shared" si="36"/>
        <v>0</v>
      </c>
    </row>
    <row r="106" spans="1:63">
      <c r="A106" s="112" t="s">
        <v>108</v>
      </c>
      <c r="B106" s="106" t="s">
        <v>267</v>
      </c>
      <c r="C106" s="66" t="s">
        <v>175</v>
      </c>
      <c r="D106" s="287"/>
      <c r="E106" s="103" t="s">
        <v>176</v>
      </c>
      <c r="F106" s="282"/>
      <c r="G106" s="71" t="s">
        <v>200</v>
      </c>
      <c r="H106" s="70" t="s">
        <v>311</v>
      </c>
      <c r="I106" s="70" t="s">
        <v>184</v>
      </c>
      <c r="J106" s="71" t="s">
        <v>283</v>
      </c>
      <c r="K106" s="70" t="s">
        <v>307</v>
      </c>
      <c r="L106" s="69" t="s">
        <v>185</v>
      </c>
      <c r="M106" s="68" t="s">
        <v>204</v>
      </c>
      <c r="N106" s="67">
        <v>25.35</v>
      </c>
      <c r="O106" s="67">
        <v>25.35</v>
      </c>
      <c r="P106" s="67">
        <v>25.35</v>
      </c>
      <c r="Q106" s="67">
        <v>25.35</v>
      </c>
      <c r="R106" s="67">
        <v>25.35</v>
      </c>
      <c r="S106" s="67">
        <v>25.35</v>
      </c>
      <c r="T106" s="67">
        <v>25.35</v>
      </c>
      <c r="U106" s="67">
        <v>25.35</v>
      </c>
      <c r="V106" s="67">
        <v>25.35</v>
      </c>
      <c r="W106" s="67">
        <v>25.35</v>
      </c>
      <c r="X106" s="67">
        <v>25.35</v>
      </c>
      <c r="Y106" s="67">
        <v>25.35</v>
      </c>
      <c r="Z106" s="67">
        <v>25.35</v>
      </c>
      <c r="AA106" s="58">
        <v>3.5</v>
      </c>
      <c r="AB106" s="10">
        <v>3.5</v>
      </c>
      <c r="AC106" s="10">
        <v>3.5</v>
      </c>
      <c r="AD106" s="10">
        <v>3.5</v>
      </c>
      <c r="AE106" s="10">
        <v>3.5</v>
      </c>
      <c r="AF106" s="10">
        <v>3.5</v>
      </c>
      <c r="AG106" s="10">
        <v>3.5</v>
      </c>
      <c r="AH106" s="10">
        <v>9.5399999999999991</v>
      </c>
      <c r="AI106" s="10">
        <v>9.5399999999999991</v>
      </c>
      <c r="AJ106" s="10">
        <v>9.5399999999999991</v>
      </c>
      <c r="AK106" s="10">
        <v>9.5399999999999991</v>
      </c>
      <c r="AL106" s="10">
        <v>9.5399999999999991</v>
      </c>
      <c r="AM106" s="81">
        <v>9.5399999999999991</v>
      </c>
      <c r="AN106" s="5">
        <v>4664</v>
      </c>
      <c r="AO106" s="118">
        <f t="shared" si="25"/>
        <v>16324</v>
      </c>
      <c r="AP106" s="5">
        <v>360</v>
      </c>
      <c r="AQ106" s="118">
        <f t="shared" si="26"/>
        <v>1260</v>
      </c>
      <c r="AR106" s="5">
        <v>591</v>
      </c>
      <c r="AS106" s="123">
        <f t="shared" si="27"/>
        <v>2068.5</v>
      </c>
      <c r="AT106" s="5">
        <v>756</v>
      </c>
      <c r="AU106" s="118">
        <f t="shared" si="28"/>
        <v>2646</v>
      </c>
      <c r="AV106" s="5">
        <v>2356</v>
      </c>
      <c r="AW106" s="118">
        <f t="shared" si="29"/>
        <v>8246</v>
      </c>
      <c r="AX106" s="5">
        <v>96</v>
      </c>
      <c r="AY106" s="123">
        <f t="shared" si="30"/>
        <v>336</v>
      </c>
      <c r="AZ106" s="105">
        <v>0</v>
      </c>
      <c r="BA106" s="118">
        <f t="shared" si="31"/>
        <v>0</v>
      </c>
      <c r="BB106" s="105">
        <v>0</v>
      </c>
      <c r="BC106" s="118">
        <f t="shared" si="32"/>
        <v>0</v>
      </c>
      <c r="BD106" s="5">
        <v>0</v>
      </c>
      <c r="BE106" s="123">
        <f t="shared" si="33"/>
        <v>0</v>
      </c>
      <c r="BF106" s="105">
        <v>0</v>
      </c>
      <c r="BG106" s="118">
        <f t="shared" si="34"/>
        <v>0</v>
      </c>
      <c r="BH106" s="5">
        <v>0</v>
      </c>
      <c r="BI106" s="118">
        <f t="shared" si="35"/>
        <v>0</v>
      </c>
      <c r="BJ106" s="5">
        <v>0</v>
      </c>
      <c r="BK106" s="127">
        <f t="shared" si="36"/>
        <v>0</v>
      </c>
    </row>
    <row r="107" spans="1:63">
      <c r="A107" s="112" t="s">
        <v>108</v>
      </c>
      <c r="B107" s="106" t="s">
        <v>267</v>
      </c>
      <c r="C107" s="66" t="s">
        <v>175</v>
      </c>
      <c r="D107" s="287"/>
      <c r="E107" s="103" t="s">
        <v>176</v>
      </c>
      <c r="F107" s="282"/>
      <c r="G107" s="71" t="s">
        <v>202</v>
      </c>
      <c r="H107" s="70" t="s">
        <v>312</v>
      </c>
      <c r="I107" s="70" t="s">
        <v>184</v>
      </c>
      <c r="J107" s="71" t="s">
        <v>283</v>
      </c>
      <c r="K107" s="70" t="s">
        <v>313</v>
      </c>
      <c r="L107" s="69" t="s">
        <v>213</v>
      </c>
      <c r="M107" s="68" t="s">
        <v>214</v>
      </c>
      <c r="N107" s="67">
        <v>17.2</v>
      </c>
      <c r="O107" s="67">
        <v>17.2</v>
      </c>
      <c r="P107" s="67">
        <v>17.2</v>
      </c>
      <c r="Q107" s="67">
        <v>17.2</v>
      </c>
      <c r="R107" s="67">
        <v>17.2</v>
      </c>
      <c r="S107" s="67">
        <v>17.2</v>
      </c>
      <c r="T107" s="67">
        <v>17.2</v>
      </c>
      <c r="U107" s="67">
        <v>17.2</v>
      </c>
      <c r="V107" s="67">
        <v>17.2</v>
      </c>
      <c r="W107" s="67">
        <v>17.2</v>
      </c>
      <c r="X107" s="67">
        <v>17.2</v>
      </c>
      <c r="Y107" s="67">
        <v>17.2</v>
      </c>
      <c r="Z107" s="67">
        <v>17.2</v>
      </c>
      <c r="AA107" s="58">
        <v>0</v>
      </c>
      <c r="AB107" s="10">
        <v>0</v>
      </c>
      <c r="AC107" s="10">
        <v>0</v>
      </c>
      <c r="AD107" s="10">
        <v>0</v>
      </c>
      <c r="AE107" s="10">
        <v>2.5</v>
      </c>
      <c r="AF107" s="10">
        <v>2.5</v>
      </c>
      <c r="AG107" s="10">
        <v>2.5</v>
      </c>
      <c r="AH107" s="10">
        <v>2.5</v>
      </c>
      <c r="AI107" s="10">
        <v>2.5</v>
      </c>
      <c r="AJ107" s="10">
        <v>2.5</v>
      </c>
      <c r="AK107" s="10">
        <v>2.5</v>
      </c>
      <c r="AL107" s="10">
        <v>2.5</v>
      </c>
      <c r="AM107" s="81">
        <v>2.5</v>
      </c>
      <c r="AN107" s="5">
        <v>0</v>
      </c>
      <c r="AO107" s="118">
        <f t="shared" si="25"/>
        <v>0</v>
      </c>
      <c r="AP107" s="5">
        <v>0</v>
      </c>
      <c r="AQ107" s="118">
        <f t="shared" si="26"/>
        <v>0</v>
      </c>
      <c r="AR107" s="5">
        <v>0</v>
      </c>
      <c r="AS107" s="123">
        <f t="shared" si="27"/>
        <v>0</v>
      </c>
      <c r="AT107" s="5">
        <v>0</v>
      </c>
      <c r="AU107" s="118">
        <f t="shared" si="28"/>
        <v>0</v>
      </c>
      <c r="AV107" s="5">
        <v>2553</v>
      </c>
      <c r="AW107" s="118">
        <f t="shared" si="29"/>
        <v>6382.5</v>
      </c>
      <c r="AX107" s="5">
        <v>2060</v>
      </c>
      <c r="AY107" s="123">
        <f t="shared" si="30"/>
        <v>5150</v>
      </c>
      <c r="AZ107" s="105">
        <v>4601</v>
      </c>
      <c r="BA107" s="118">
        <f t="shared" si="31"/>
        <v>11502.5</v>
      </c>
      <c r="BB107" s="105">
        <v>5331</v>
      </c>
      <c r="BC107" s="118">
        <f t="shared" si="32"/>
        <v>13327.5</v>
      </c>
      <c r="BD107" s="5">
        <v>560</v>
      </c>
      <c r="BE107" s="123">
        <f t="shared" si="33"/>
        <v>1400</v>
      </c>
      <c r="BF107" s="105">
        <v>2118</v>
      </c>
      <c r="BG107" s="118">
        <f t="shared" si="34"/>
        <v>5295</v>
      </c>
      <c r="BH107" s="5">
        <v>3240</v>
      </c>
      <c r="BI107" s="118">
        <f t="shared" si="35"/>
        <v>8100</v>
      </c>
      <c r="BJ107" s="5">
        <v>171</v>
      </c>
      <c r="BK107" s="127">
        <f t="shared" si="36"/>
        <v>427.5</v>
      </c>
    </row>
    <row r="108" spans="1:63">
      <c r="A108" s="112" t="s">
        <v>108</v>
      </c>
      <c r="B108" s="106" t="s">
        <v>267</v>
      </c>
      <c r="C108" s="66" t="s">
        <v>175</v>
      </c>
      <c r="D108" s="287"/>
      <c r="E108" s="103" t="s">
        <v>176</v>
      </c>
      <c r="F108" s="282"/>
      <c r="G108" s="71" t="s">
        <v>202</v>
      </c>
      <c r="H108" s="70" t="s">
        <v>312</v>
      </c>
      <c r="I108" s="70" t="s">
        <v>184</v>
      </c>
      <c r="J108" s="71" t="s">
        <v>283</v>
      </c>
      <c r="K108" s="70" t="s">
        <v>306</v>
      </c>
      <c r="L108" s="69" t="s">
        <v>213</v>
      </c>
      <c r="M108" s="68" t="s">
        <v>214</v>
      </c>
      <c r="N108" s="67">
        <v>25.35</v>
      </c>
      <c r="O108" s="67">
        <v>25.35</v>
      </c>
      <c r="P108" s="67">
        <v>25.35</v>
      </c>
      <c r="Q108" s="67">
        <v>25.35</v>
      </c>
      <c r="R108" s="67">
        <v>25.35</v>
      </c>
      <c r="S108" s="67">
        <v>25.35</v>
      </c>
      <c r="T108" s="67">
        <v>25.35</v>
      </c>
      <c r="U108" s="67">
        <v>25.35</v>
      </c>
      <c r="V108" s="67">
        <v>25.35</v>
      </c>
      <c r="W108" s="67">
        <v>25.35</v>
      </c>
      <c r="X108" s="67">
        <v>25.35</v>
      </c>
      <c r="Y108" s="67">
        <v>25.35</v>
      </c>
      <c r="Z108" s="67">
        <v>25.35</v>
      </c>
      <c r="AA108" s="58">
        <v>0</v>
      </c>
      <c r="AB108" s="10">
        <v>0</v>
      </c>
      <c r="AC108" s="10">
        <v>0</v>
      </c>
      <c r="AD108" s="10">
        <v>0</v>
      </c>
      <c r="AE108" s="10">
        <v>3.5</v>
      </c>
      <c r="AF108" s="10">
        <v>3.5</v>
      </c>
      <c r="AG108" s="10">
        <v>3.5</v>
      </c>
      <c r="AH108" s="10">
        <v>3.5</v>
      </c>
      <c r="AI108" s="10">
        <v>3.5</v>
      </c>
      <c r="AJ108" s="10">
        <v>3.5</v>
      </c>
      <c r="AK108" s="10">
        <v>3.5</v>
      </c>
      <c r="AL108" s="10">
        <v>3.5</v>
      </c>
      <c r="AM108" s="81">
        <v>3.5</v>
      </c>
      <c r="AN108" s="5">
        <v>0</v>
      </c>
      <c r="AO108" s="118">
        <f t="shared" si="25"/>
        <v>0</v>
      </c>
      <c r="AP108" s="5">
        <v>0</v>
      </c>
      <c r="AQ108" s="118">
        <f t="shared" si="26"/>
        <v>0</v>
      </c>
      <c r="AR108" s="5">
        <v>0</v>
      </c>
      <c r="AS108" s="123">
        <f t="shared" si="27"/>
        <v>0</v>
      </c>
      <c r="AT108" s="5">
        <v>0</v>
      </c>
      <c r="AU108" s="118">
        <f t="shared" si="28"/>
        <v>0</v>
      </c>
      <c r="AV108" s="5">
        <v>101</v>
      </c>
      <c r="AW108" s="118">
        <f t="shared" si="29"/>
        <v>353.5</v>
      </c>
      <c r="AX108" s="5">
        <v>834</v>
      </c>
      <c r="AY108" s="123">
        <f t="shared" si="30"/>
        <v>2919</v>
      </c>
      <c r="AZ108" s="105">
        <v>1911</v>
      </c>
      <c r="BA108" s="118">
        <f t="shared" si="31"/>
        <v>6688.5</v>
      </c>
      <c r="BB108" s="105">
        <v>1545</v>
      </c>
      <c r="BC108" s="118">
        <f t="shared" si="32"/>
        <v>5407.5</v>
      </c>
      <c r="BD108" s="5">
        <v>955</v>
      </c>
      <c r="BE108" s="123">
        <f t="shared" si="33"/>
        <v>3342.5</v>
      </c>
      <c r="BF108" s="105">
        <v>901</v>
      </c>
      <c r="BG108" s="118">
        <f t="shared" si="34"/>
        <v>3153.5</v>
      </c>
      <c r="BH108" s="5">
        <v>1440</v>
      </c>
      <c r="BI108" s="118">
        <f t="shared" si="35"/>
        <v>5040</v>
      </c>
      <c r="BJ108" s="5">
        <v>2753</v>
      </c>
      <c r="BK108" s="127">
        <f t="shared" si="36"/>
        <v>9635.5</v>
      </c>
    </row>
    <row r="109" spans="1:63">
      <c r="A109" s="112" t="s">
        <v>108</v>
      </c>
      <c r="B109" s="106" t="s">
        <v>267</v>
      </c>
      <c r="C109" s="66" t="s">
        <v>175</v>
      </c>
      <c r="D109" s="287"/>
      <c r="E109" s="103" t="s">
        <v>176</v>
      </c>
      <c r="F109" s="282"/>
      <c r="G109" s="71" t="s">
        <v>202</v>
      </c>
      <c r="H109" s="70" t="s">
        <v>314</v>
      </c>
      <c r="I109" s="70" t="s">
        <v>184</v>
      </c>
      <c r="J109" s="71" t="s">
        <v>283</v>
      </c>
      <c r="K109" s="70" t="s">
        <v>315</v>
      </c>
      <c r="L109" s="69" t="s">
        <v>213</v>
      </c>
      <c r="M109" s="68" t="s">
        <v>214</v>
      </c>
      <c r="N109" s="67">
        <v>25.35</v>
      </c>
      <c r="O109" s="67">
        <v>25.35</v>
      </c>
      <c r="P109" s="67">
        <v>25.35</v>
      </c>
      <c r="Q109" s="67">
        <v>25.35</v>
      </c>
      <c r="R109" s="67">
        <v>25.35</v>
      </c>
      <c r="S109" s="67">
        <v>25.35</v>
      </c>
      <c r="T109" s="67">
        <v>25.35</v>
      </c>
      <c r="U109" s="67">
        <v>25.35</v>
      </c>
      <c r="V109" s="67">
        <v>25.35</v>
      </c>
      <c r="W109" s="67">
        <v>25.35</v>
      </c>
      <c r="X109" s="67">
        <v>25.35</v>
      </c>
      <c r="Y109" s="67">
        <v>25.35</v>
      </c>
      <c r="Z109" s="67">
        <v>25.35</v>
      </c>
      <c r="AA109" s="58">
        <v>0</v>
      </c>
      <c r="AB109" s="10">
        <v>0</v>
      </c>
      <c r="AC109" s="10">
        <v>0</v>
      </c>
      <c r="AD109" s="10">
        <v>0</v>
      </c>
      <c r="AE109" s="10">
        <v>3.5</v>
      </c>
      <c r="AF109" s="10">
        <v>3.5</v>
      </c>
      <c r="AG109" s="10">
        <v>3.5</v>
      </c>
      <c r="AH109" s="10">
        <v>3.5</v>
      </c>
      <c r="AI109" s="10">
        <v>3.5</v>
      </c>
      <c r="AJ109" s="10">
        <v>3.5</v>
      </c>
      <c r="AK109" s="10">
        <v>3.5</v>
      </c>
      <c r="AL109" s="10">
        <v>3.5</v>
      </c>
      <c r="AM109" s="81">
        <v>3.5</v>
      </c>
      <c r="AN109" s="5">
        <v>0</v>
      </c>
      <c r="AO109" s="118">
        <f t="shared" si="25"/>
        <v>0</v>
      </c>
      <c r="AP109" s="5">
        <v>0</v>
      </c>
      <c r="AQ109" s="118">
        <f t="shared" si="26"/>
        <v>0</v>
      </c>
      <c r="AR109" s="5">
        <v>0</v>
      </c>
      <c r="AS109" s="123">
        <f t="shared" si="27"/>
        <v>0</v>
      </c>
      <c r="AT109" s="5">
        <v>0</v>
      </c>
      <c r="AU109" s="118">
        <f t="shared" si="28"/>
        <v>0</v>
      </c>
      <c r="AV109" s="5">
        <v>787</v>
      </c>
      <c r="AW109" s="118">
        <f t="shared" si="29"/>
        <v>2754.5</v>
      </c>
      <c r="AX109" s="5">
        <v>40</v>
      </c>
      <c r="AY109" s="123">
        <f t="shared" si="30"/>
        <v>140</v>
      </c>
      <c r="AZ109" s="105">
        <v>389</v>
      </c>
      <c r="BA109" s="118">
        <f t="shared" si="31"/>
        <v>1361.5</v>
      </c>
      <c r="BB109" s="105">
        <v>435</v>
      </c>
      <c r="BC109" s="118">
        <f t="shared" si="32"/>
        <v>1522.5</v>
      </c>
      <c r="BD109" s="5">
        <v>520</v>
      </c>
      <c r="BE109" s="123">
        <f t="shared" si="33"/>
        <v>1820</v>
      </c>
      <c r="BF109" s="105">
        <v>1281</v>
      </c>
      <c r="BG109" s="118">
        <f t="shared" si="34"/>
        <v>4483.5</v>
      </c>
      <c r="BH109" s="5">
        <v>280</v>
      </c>
      <c r="BI109" s="118">
        <f t="shared" si="35"/>
        <v>980</v>
      </c>
      <c r="BJ109" s="5">
        <v>189</v>
      </c>
      <c r="BK109" s="127">
        <f t="shared" si="36"/>
        <v>661.5</v>
      </c>
    </row>
    <row r="110" spans="1:63">
      <c r="A110" s="112" t="s">
        <v>108</v>
      </c>
      <c r="B110" s="106" t="s">
        <v>267</v>
      </c>
      <c r="C110" s="66" t="s">
        <v>175</v>
      </c>
      <c r="D110" s="287"/>
      <c r="E110" s="103" t="s">
        <v>176</v>
      </c>
      <c r="F110" s="282"/>
      <c r="G110" s="71" t="s">
        <v>202</v>
      </c>
      <c r="H110" s="70" t="s">
        <v>314</v>
      </c>
      <c r="I110" s="70" t="s">
        <v>184</v>
      </c>
      <c r="J110" s="71" t="s">
        <v>283</v>
      </c>
      <c r="K110" s="70" t="s">
        <v>306</v>
      </c>
      <c r="L110" s="69" t="s">
        <v>213</v>
      </c>
      <c r="M110" s="68" t="s">
        <v>214</v>
      </c>
      <c r="N110" s="67">
        <v>25.35</v>
      </c>
      <c r="O110" s="67">
        <v>25.35</v>
      </c>
      <c r="P110" s="67">
        <v>25.35</v>
      </c>
      <c r="Q110" s="67">
        <v>25.35</v>
      </c>
      <c r="R110" s="67">
        <v>25.35</v>
      </c>
      <c r="S110" s="67">
        <v>25.35</v>
      </c>
      <c r="T110" s="67">
        <v>25.35</v>
      </c>
      <c r="U110" s="67">
        <v>25.35</v>
      </c>
      <c r="V110" s="67">
        <v>25.35</v>
      </c>
      <c r="W110" s="67">
        <v>25.35</v>
      </c>
      <c r="X110" s="67">
        <v>25.35</v>
      </c>
      <c r="Y110" s="67">
        <v>25.35</v>
      </c>
      <c r="Z110" s="67">
        <v>25.35</v>
      </c>
      <c r="AA110" s="58">
        <v>0</v>
      </c>
      <c r="AB110" s="10">
        <v>0</v>
      </c>
      <c r="AC110" s="10">
        <v>0</v>
      </c>
      <c r="AD110" s="10">
        <v>0</v>
      </c>
      <c r="AE110" s="10">
        <v>3.5</v>
      </c>
      <c r="AF110" s="10">
        <v>3.5</v>
      </c>
      <c r="AG110" s="10">
        <v>3.5</v>
      </c>
      <c r="AH110" s="10">
        <v>3.5</v>
      </c>
      <c r="AI110" s="10">
        <v>3.5</v>
      </c>
      <c r="AJ110" s="10">
        <v>3.5</v>
      </c>
      <c r="AK110" s="10">
        <v>3.5</v>
      </c>
      <c r="AL110" s="10">
        <v>3.5</v>
      </c>
      <c r="AM110" s="81">
        <v>3.5</v>
      </c>
      <c r="AN110" s="5">
        <v>0</v>
      </c>
      <c r="AO110" s="118">
        <f t="shared" si="25"/>
        <v>0</v>
      </c>
      <c r="AP110" s="5">
        <v>0</v>
      </c>
      <c r="AQ110" s="118">
        <f t="shared" si="26"/>
        <v>0</v>
      </c>
      <c r="AR110" s="5">
        <v>0</v>
      </c>
      <c r="AS110" s="123">
        <f t="shared" si="27"/>
        <v>0</v>
      </c>
      <c r="AT110" s="5">
        <v>0</v>
      </c>
      <c r="AU110" s="118">
        <f t="shared" si="28"/>
        <v>0</v>
      </c>
      <c r="AV110" s="5">
        <v>43</v>
      </c>
      <c r="AW110" s="118">
        <f t="shared" si="29"/>
        <v>150.5</v>
      </c>
      <c r="AX110" s="5">
        <v>160</v>
      </c>
      <c r="AY110" s="123">
        <f t="shared" si="30"/>
        <v>560</v>
      </c>
      <c r="AZ110" s="105">
        <v>475</v>
      </c>
      <c r="BA110" s="118">
        <f t="shared" si="31"/>
        <v>1662.5</v>
      </c>
      <c r="BB110" s="105">
        <v>37</v>
      </c>
      <c r="BC110" s="118">
        <f t="shared" si="32"/>
        <v>129.5</v>
      </c>
      <c r="BD110" s="5">
        <v>120</v>
      </c>
      <c r="BE110" s="123">
        <f t="shared" si="33"/>
        <v>420</v>
      </c>
      <c r="BF110" s="105">
        <v>198</v>
      </c>
      <c r="BG110" s="118">
        <f t="shared" si="34"/>
        <v>693</v>
      </c>
      <c r="BH110" s="5">
        <v>240</v>
      </c>
      <c r="BI110" s="118">
        <f t="shared" si="35"/>
        <v>840</v>
      </c>
      <c r="BJ110" s="5">
        <v>159</v>
      </c>
      <c r="BK110" s="127">
        <f t="shared" si="36"/>
        <v>556.5</v>
      </c>
    </row>
    <row r="111" spans="1:63">
      <c r="A111" s="112" t="s">
        <v>108</v>
      </c>
      <c r="B111" s="106"/>
      <c r="C111" s="66" t="s">
        <v>175</v>
      </c>
      <c r="D111" s="287"/>
      <c r="E111" s="103" t="s">
        <v>176</v>
      </c>
      <c r="F111" s="282"/>
      <c r="G111" s="56"/>
      <c r="H111" s="54"/>
      <c r="I111" s="54"/>
      <c r="J111" s="55"/>
      <c r="K111" s="54"/>
      <c r="L111" s="53"/>
      <c r="M111" s="52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49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92"/>
      <c r="AN111" s="23"/>
      <c r="AO111" s="118">
        <f t="shared" si="25"/>
        <v>0</v>
      </c>
      <c r="AP111" s="23"/>
      <c r="AQ111" s="118">
        <f t="shared" si="26"/>
        <v>0</v>
      </c>
      <c r="AR111" s="23"/>
      <c r="AS111" s="123">
        <f t="shared" si="27"/>
        <v>0</v>
      </c>
      <c r="AT111" s="23"/>
      <c r="AU111" s="118">
        <f t="shared" si="28"/>
        <v>0</v>
      </c>
      <c r="AV111" s="23"/>
      <c r="AW111" s="118">
        <f t="shared" si="29"/>
        <v>0</v>
      </c>
      <c r="AX111" s="23"/>
      <c r="AY111" s="123">
        <f t="shared" si="30"/>
        <v>0</v>
      </c>
      <c r="AZ111" s="50"/>
      <c r="BA111" s="118">
        <f t="shared" si="31"/>
        <v>0</v>
      </c>
      <c r="BB111" s="50"/>
      <c r="BC111" s="118">
        <f t="shared" si="32"/>
        <v>0</v>
      </c>
      <c r="BD111" s="23"/>
      <c r="BE111" s="123">
        <f t="shared" si="33"/>
        <v>0</v>
      </c>
      <c r="BF111" s="50"/>
      <c r="BG111" s="118">
        <f t="shared" si="34"/>
        <v>0</v>
      </c>
      <c r="BH111" s="23"/>
      <c r="BI111" s="118">
        <f t="shared" si="35"/>
        <v>0</v>
      </c>
      <c r="BJ111" s="23"/>
      <c r="BK111" s="127">
        <f t="shared" si="36"/>
        <v>0</v>
      </c>
    </row>
    <row r="112" spans="1:63">
      <c r="A112" s="112" t="s">
        <v>108</v>
      </c>
      <c r="B112" s="106"/>
      <c r="C112" s="66" t="s">
        <v>175</v>
      </c>
      <c r="D112" s="287"/>
      <c r="E112" s="103" t="s">
        <v>176</v>
      </c>
      <c r="F112" s="282" t="s">
        <v>316</v>
      </c>
      <c r="G112" s="65"/>
      <c r="H112" s="63"/>
      <c r="I112" s="63"/>
      <c r="J112" s="64"/>
      <c r="K112" s="63"/>
      <c r="L112" s="62"/>
      <c r="M112" s="61"/>
      <c r="N112" s="60"/>
      <c r="O112" s="154"/>
      <c r="P112" s="154"/>
      <c r="Q112" s="154"/>
      <c r="R112" s="154"/>
      <c r="S112" s="154"/>
      <c r="T112" s="154"/>
      <c r="U112" s="154"/>
      <c r="V112" s="154"/>
      <c r="W112" s="154"/>
      <c r="X112" s="154"/>
      <c r="Y112" s="154"/>
      <c r="Z112" s="154"/>
      <c r="AA112" s="59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81"/>
      <c r="AO112" s="117">
        <f t="shared" si="25"/>
        <v>0</v>
      </c>
      <c r="AP112" s="22"/>
      <c r="AQ112" s="117">
        <f t="shared" si="26"/>
        <v>0</v>
      </c>
      <c r="AR112" s="22"/>
      <c r="AS112" s="122">
        <f t="shared" si="27"/>
        <v>0</v>
      </c>
      <c r="AT112" s="22"/>
      <c r="AU112" s="117">
        <f t="shared" si="28"/>
        <v>0</v>
      </c>
      <c r="AV112" s="22"/>
      <c r="AW112" s="117">
        <f t="shared" si="29"/>
        <v>0</v>
      </c>
      <c r="AX112" s="22"/>
      <c r="AY112" s="122">
        <f t="shared" si="30"/>
        <v>0</v>
      </c>
      <c r="AZ112" s="79"/>
      <c r="BA112" s="117">
        <f t="shared" si="31"/>
        <v>0</v>
      </c>
      <c r="BB112" s="79"/>
      <c r="BC112" s="117">
        <f t="shared" si="32"/>
        <v>0</v>
      </c>
      <c r="BD112" s="22"/>
      <c r="BE112" s="122">
        <f t="shared" si="33"/>
        <v>0</v>
      </c>
      <c r="BF112" s="79"/>
      <c r="BG112" s="117">
        <f t="shared" si="34"/>
        <v>0</v>
      </c>
      <c r="BH112" s="22"/>
      <c r="BI112" s="117">
        <f t="shared" si="35"/>
        <v>0</v>
      </c>
      <c r="BJ112" s="22"/>
      <c r="BK112" s="126">
        <f t="shared" si="36"/>
        <v>0</v>
      </c>
    </row>
    <row r="113" spans="1:63">
      <c r="A113" s="112" t="s">
        <v>108</v>
      </c>
      <c r="B113" s="106"/>
      <c r="C113" s="66" t="s">
        <v>175</v>
      </c>
      <c r="D113" s="288"/>
      <c r="E113" s="104" t="s">
        <v>176</v>
      </c>
      <c r="F113" s="282"/>
      <c r="G113" s="56"/>
      <c r="H113" s="54"/>
      <c r="I113" s="54"/>
      <c r="J113" s="55"/>
      <c r="K113" s="54"/>
      <c r="L113" s="53"/>
      <c r="M113" s="52"/>
      <c r="N113" s="51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49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92"/>
      <c r="AN113" s="23"/>
      <c r="AO113" s="118">
        <f t="shared" si="25"/>
        <v>0</v>
      </c>
      <c r="AP113" s="23"/>
      <c r="AQ113" s="118">
        <f t="shared" si="26"/>
        <v>0</v>
      </c>
      <c r="AR113" s="23"/>
      <c r="AS113" s="123">
        <f t="shared" si="27"/>
        <v>0</v>
      </c>
      <c r="AT113" s="23"/>
      <c r="AU113" s="118">
        <f t="shared" si="28"/>
        <v>0</v>
      </c>
      <c r="AV113" s="23"/>
      <c r="AW113" s="118">
        <f t="shared" si="29"/>
        <v>0</v>
      </c>
      <c r="AX113" s="23"/>
      <c r="AY113" s="123">
        <f t="shared" si="30"/>
        <v>0</v>
      </c>
      <c r="AZ113" s="50"/>
      <c r="BA113" s="118">
        <f t="shared" si="31"/>
        <v>0</v>
      </c>
      <c r="BB113" s="50"/>
      <c r="BC113" s="118">
        <f t="shared" si="32"/>
        <v>0</v>
      </c>
      <c r="BD113" s="23"/>
      <c r="BE113" s="123">
        <f t="shared" si="33"/>
        <v>0</v>
      </c>
      <c r="BF113" s="50"/>
      <c r="BG113" s="118">
        <f t="shared" si="34"/>
        <v>0</v>
      </c>
      <c r="BH113" s="23"/>
      <c r="BI113" s="118">
        <f t="shared" si="35"/>
        <v>0</v>
      </c>
      <c r="BJ113" s="23"/>
      <c r="BK113" s="127">
        <f t="shared" si="36"/>
        <v>0</v>
      </c>
    </row>
    <row r="114" spans="1:63">
      <c r="A114" s="112" t="s">
        <v>108</v>
      </c>
      <c r="B114" s="106"/>
      <c r="C114" s="66" t="s">
        <v>175</v>
      </c>
      <c r="D114" s="276" t="s">
        <v>317</v>
      </c>
      <c r="E114" s="276" t="s">
        <v>317</v>
      </c>
      <c r="F114" s="278" t="s">
        <v>318</v>
      </c>
      <c r="G114" s="65"/>
      <c r="H114" s="63"/>
      <c r="I114" s="63"/>
      <c r="J114" s="64"/>
      <c r="K114" s="63"/>
      <c r="L114" s="62"/>
      <c r="M114" s="61"/>
      <c r="N114" s="60"/>
      <c r="O114" s="154"/>
      <c r="P114" s="154"/>
      <c r="Q114" s="154"/>
      <c r="R114" s="154"/>
      <c r="S114" s="154"/>
      <c r="T114" s="154"/>
      <c r="U114" s="154"/>
      <c r="V114" s="154"/>
      <c r="W114" s="154"/>
      <c r="X114" s="154"/>
      <c r="Y114" s="154"/>
      <c r="Z114" s="154"/>
      <c r="AA114" s="59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81"/>
      <c r="AO114" s="117">
        <f t="shared" si="25"/>
        <v>0</v>
      </c>
      <c r="AP114" s="22"/>
      <c r="AQ114" s="117">
        <f t="shared" si="26"/>
        <v>0</v>
      </c>
      <c r="AR114" s="22"/>
      <c r="AS114" s="122">
        <f t="shared" si="27"/>
        <v>0</v>
      </c>
      <c r="AT114" s="22"/>
      <c r="AU114" s="117">
        <f t="shared" si="28"/>
        <v>0</v>
      </c>
      <c r="AV114" s="22"/>
      <c r="AW114" s="117">
        <f t="shared" si="29"/>
        <v>0</v>
      </c>
      <c r="AX114" s="22"/>
      <c r="AY114" s="122">
        <f t="shared" si="30"/>
        <v>0</v>
      </c>
      <c r="AZ114" s="79"/>
      <c r="BA114" s="117">
        <f t="shared" si="31"/>
        <v>0</v>
      </c>
      <c r="BB114" s="79"/>
      <c r="BC114" s="117">
        <f t="shared" si="32"/>
        <v>0</v>
      </c>
      <c r="BD114" s="22"/>
      <c r="BE114" s="122">
        <f t="shared" si="33"/>
        <v>0</v>
      </c>
      <c r="BF114" s="79"/>
      <c r="BG114" s="117">
        <f t="shared" si="34"/>
        <v>0</v>
      </c>
      <c r="BH114" s="22"/>
      <c r="BI114" s="117">
        <f t="shared" si="35"/>
        <v>0</v>
      </c>
      <c r="BJ114" s="22"/>
      <c r="BK114" s="126">
        <f t="shared" si="36"/>
        <v>0</v>
      </c>
    </row>
    <row r="115" spans="1:63">
      <c r="A115" s="112" t="s">
        <v>108</v>
      </c>
      <c r="B115" s="110"/>
      <c r="C115" s="57" t="s">
        <v>175</v>
      </c>
      <c r="D115" s="277"/>
      <c r="E115" s="277"/>
      <c r="F115" s="278"/>
      <c r="G115" s="56"/>
      <c r="H115" s="54"/>
      <c r="I115" s="54"/>
      <c r="J115" s="55"/>
      <c r="K115" s="54"/>
      <c r="L115" s="53"/>
      <c r="M115" s="52"/>
      <c r="N115" s="51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  <c r="AA115" s="49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92"/>
      <c r="AN115" s="23"/>
      <c r="AO115" s="118">
        <f t="shared" si="25"/>
        <v>0</v>
      </c>
      <c r="AP115" s="23"/>
      <c r="AQ115" s="118">
        <f t="shared" si="26"/>
        <v>0</v>
      </c>
      <c r="AR115" s="23"/>
      <c r="AS115" s="123">
        <f t="shared" si="27"/>
        <v>0</v>
      </c>
      <c r="AT115" s="23"/>
      <c r="AU115" s="118">
        <f t="shared" si="28"/>
        <v>0</v>
      </c>
      <c r="AV115" s="23"/>
      <c r="AW115" s="118">
        <f t="shared" si="29"/>
        <v>0</v>
      </c>
      <c r="AX115" s="23"/>
      <c r="AY115" s="123">
        <f t="shared" si="30"/>
        <v>0</v>
      </c>
      <c r="AZ115" s="50"/>
      <c r="BA115" s="118">
        <f t="shared" si="31"/>
        <v>0</v>
      </c>
      <c r="BB115" s="50"/>
      <c r="BC115" s="118">
        <f t="shared" si="32"/>
        <v>0</v>
      </c>
      <c r="BD115" s="23"/>
      <c r="BE115" s="123">
        <f t="shared" si="33"/>
        <v>0</v>
      </c>
      <c r="BF115" s="50"/>
      <c r="BG115" s="118">
        <f t="shared" si="34"/>
        <v>0</v>
      </c>
      <c r="BH115" s="23"/>
      <c r="BI115" s="118">
        <f t="shared" si="35"/>
        <v>0</v>
      </c>
      <c r="BJ115" s="23"/>
      <c r="BK115" s="127">
        <f t="shared" si="36"/>
        <v>0</v>
      </c>
    </row>
    <row r="116" spans="1:63" s="34" customFormat="1" ht="15.75" thickBot="1">
      <c r="A116" s="113" t="s">
        <v>108</v>
      </c>
      <c r="B116" s="111"/>
      <c r="C116" s="47"/>
      <c r="D116" s="47"/>
      <c r="E116" s="47"/>
      <c r="F116" s="46"/>
      <c r="G116" s="45"/>
      <c r="H116" s="44"/>
      <c r="I116" s="42"/>
      <c r="J116" s="43"/>
      <c r="K116" s="42"/>
      <c r="L116" s="41"/>
      <c r="M116" s="40"/>
      <c r="N116" s="39"/>
      <c r="O116" s="155"/>
      <c r="P116" s="155"/>
      <c r="Q116" s="155"/>
      <c r="R116" s="155"/>
      <c r="S116" s="155"/>
      <c r="T116" s="155"/>
      <c r="U116" s="155"/>
      <c r="V116" s="155"/>
      <c r="W116" s="155"/>
      <c r="X116" s="155"/>
      <c r="Y116" s="155"/>
      <c r="Z116" s="155"/>
      <c r="AA116" s="37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115"/>
      <c r="AN116" s="36">
        <f>SUM(AN3:AN115)</f>
        <v>958118</v>
      </c>
      <c r="AO116" s="119">
        <f t="shared" si="25"/>
        <v>0</v>
      </c>
      <c r="AP116" s="36">
        <f>SUM(AP3:AP115)</f>
        <v>683128</v>
      </c>
      <c r="AQ116" s="119">
        <f t="shared" si="26"/>
        <v>0</v>
      </c>
      <c r="AR116" s="36">
        <f>SUM(AR3:AR115)</f>
        <v>429214</v>
      </c>
      <c r="AS116" s="124">
        <f t="shared" si="27"/>
        <v>0</v>
      </c>
      <c r="AT116" s="36">
        <f>SUM(AT3:AT115)</f>
        <v>655496</v>
      </c>
      <c r="AU116" s="119">
        <f t="shared" si="28"/>
        <v>0</v>
      </c>
      <c r="AV116" s="36">
        <f>SUM(AV3:AV115)</f>
        <v>1040153</v>
      </c>
      <c r="AW116" s="119">
        <f t="shared" si="29"/>
        <v>0</v>
      </c>
      <c r="AX116" s="36">
        <f>SUM(AX3:AX115)</f>
        <v>891795</v>
      </c>
      <c r="AY116" s="124">
        <f t="shared" si="30"/>
        <v>0</v>
      </c>
      <c r="AZ116" s="38">
        <f>SUM(AZ3:AZ115)</f>
        <v>1101217</v>
      </c>
      <c r="BA116" s="119">
        <f t="shared" si="31"/>
        <v>0</v>
      </c>
      <c r="BB116" s="38">
        <f>SUM(BB3:BB115)</f>
        <v>1211544</v>
      </c>
      <c r="BC116" s="119">
        <f t="shared" si="32"/>
        <v>0</v>
      </c>
      <c r="BD116" s="36">
        <f>SUM(BD3:BD115)</f>
        <v>1018210</v>
      </c>
      <c r="BE116" s="124">
        <f t="shared" si="33"/>
        <v>0</v>
      </c>
      <c r="BF116" s="38">
        <f>SUM(BF3:BF115)</f>
        <v>1219184</v>
      </c>
      <c r="BG116" s="119">
        <f t="shared" si="34"/>
        <v>0</v>
      </c>
      <c r="BH116" s="36">
        <f>SUM(BH3:BH115)</f>
        <v>1087849</v>
      </c>
      <c r="BI116" s="119">
        <f t="shared" si="35"/>
        <v>0</v>
      </c>
      <c r="BJ116" s="36">
        <f>SUM(BJ3:BJ115)</f>
        <v>1153214</v>
      </c>
      <c r="BK116" s="128">
        <f t="shared" si="36"/>
        <v>0</v>
      </c>
    </row>
  </sheetData>
  <mergeCells count="25">
    <mergeCell ref="D52:D58"/>
    <mergeCell ref="D59:D113"/>
    <mergeCell ref="F20:F22"/>
    <mergeCell ref="F29:F30"/>
    <mergeCell ref="F35:F36"/>
    <mergeCell ref="F112:F113"/>
    <mergeCell ref="F33:F34"/>
    <mergeCell ref="F86:F87"/>
    <mergeCell ref="F52:F58"/>
    <mergeCell ref="D3:D51"/>
    <mergeCell ref="F3:F4"/>
    <mergeCell ref="F37:F51"/>
    <mergeCell ref="F5:F17"/>
    <mergeCell ref="F18:F19"/>
    <mergeCell ref="F31:F32"/>
    <mergeCell ref="F23:F28"/>
    <mergeCell ref="D114:D115"/>
    <mergeCell ref="E114:E115"/>
    <mergeCell ref="F114:F115"/>
    <mergeCell ref="F70:F71"/>
    <mergeCell ref="F59:F69"/>
    <mergeCell ref="F72:F85"/>
    <mergeCell ref="F95:F111"/>
    <mergeCell ref="F88:F92"/>
    <mergeCell ref="F93:F94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17" orientation="landscape" r:id="rId1"/>
  <customProperties>
    <customPr name="EpmWorksheetKeyString_GUID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B2:H28"/>
  <sheetViews>
    <sheetView zoomScale="115" zoomScaleNormal="115" workbookViewId="0">
      <selection activeCell="E25" sqref="E25"/>
    </sheetView>
  </sheetViews>
  <sheetFormatPr defaultRowHeight="16.5"/>
  <cols>
    <col min="2" max="2" width="16.75" customWidth="1"/>
    <col min="3" max="3" width="17.125" customWidth="1"/>
    <col min="4" max="4" width="14.375" customWidth="1"/>
    <col min="5" max="5" width="12.375" customWidth="1"/>
    <col min="6" max="6" width="18.375" customWidth="1"/>
  </cols>
  <sheetData>
    <row r="2" spans="2:8" ht="17.25" thickBot="1"/>
    <row r="3" spans="2:8" ht="17.25" thickBot="1">
      <c r="B3" s="30" t="s">
        <v>319</v>
      </c>
      <c r="C3" s="25" t="s">
        <v>320</v>
      </c>
      <c r="D3" s="25" t="s">
        <v>321</v>
      </c>
      <c r="E3" s="26" t="s">
        <v>322</v>
      </c>
      <c r="F3" s="25" t="s">
        <v>34</v>
      </c>
      <c r="H3" s="31"/>
    </row>
    <row r="4" spans="2:8" ht="17.25" thickBot="1">
      <c r="B4" s="24" t="s">
        <v>35</v>
      </c>
      <c r="C4" s="25">
        <f>'FY24'!AP1</f>
        <v>1067282.3900000001</v>
      </c>
      <c r="D4" s="25">
        <f>'FY24'!AR1</f>
        <v>1488022.5500000003</v>
      </c>
      <c r="E4" s="26">
        <f>'FY24'!AT1</f>
        <v>1241429.55</v>
      </c>
      <c r="F4" s="25">
        <f>SUM(C4:E4)</f>
        <v>3796734.49</v>
      </c>
    </row>
    <row r="5" spans="2:8" ht="17.25" thickBot="1">
      <c r="B5" s="24" t="s">
        <v>36</v>
      </c>
      <c r="C5" s="25"/>
      <c r="D5" s="25">
        <v>8663.94</v>
      </c>
      <c r="E5" s="26"/>
      <c r="F5" s="25">
        <f t="shared" ref="F5:F6" si="0">SUM(C5:E5)</f>
        <v>8663.94</v>
      </c>
    </row>
    <row r="6" spans="2:8" ht="17.25" thickBot="1">
      <c r="B6" s="27" t="s">
        <v>37</v>
      </c>
      <c r="C6" s="28"/>
      <c r="D6" s="28"/>
      <c r="E6" s="29"/>
      <c r="F6" s="25">
        <f t="shared" si="0"/>
        <v>0</v>
      </c>
      <c r="H6" t="s">
        <v>38</v>
      </c>
    </row>
    <row r="7" spans="2:8" ht="17.25" thickBot="1">
      <c r="B7" s="24" t="s">
        <v>39</v>
      </c>
      <c r="C7" s="25">
        <f>SUM(C4:C6)</f>
        <v>1067282.3900000001</v>
      </c>
      <c r="D7" s="25">
        <f>SUM(D4:D6)</f>
        <v>1496686.4900000002</v>
      </c>
      <c r="E7" s="25">
        <f t="shared" ref="E7:F7" si="1">SUM(E4:E6)</f>
        <v>1241429.55</v>
      </c>
      <c r="F7" s="25">
        <f t="shared" si="1"/>
        <v>3805398.43</v>
      </c>
    </row>
    <row r="8" spans="2:8">
      <c r="H8" t="s">
        <v>40</v>
      </c>
    </row>
    <row r="9" spans="2:8" ht="17.25" thickBot="1"/>
    <row r="10" spans="2:8" ht="17.25" thickBot="1">
      <c r="B10" s="30" t="s">
        <v>319</v>
      </c>
      <c r="C10" s="25" t="s">
        <v>323</v>
      </c>
      <c r="D10" s="25" t="s">
        <v>324</v>
      </c>
      <c r="E10" s="26" t="s">
        <v>325</v>
      </c>
      <c r="F10" s="25" t="s">
        <v>44</v>
      </c>
      <c r="H10" t="s">
        <v>45</v>
      </c>
    </row>
    <row r="11" spans="2:8" ht="17.25" thickBot="1">
      <c r="B11" s="24" t="s">
        <v>35</v>
      </c>
      <c r="C11" s="25">
        <f>'FY24'!AV1</f>
        <v>1004453.17</v>
      </c>
      <c r="D11" s="25">
        <f>'FY24'!AX1</f>
        <v>1603764.84</v>
      </c>
      <c r="E11" s="26">
        <f>'FY24'!AZ1</f>
        <v>1390473.9700000002</v>
      </c>
      <c r="F11" s="25">
        <f>SUM(C11:E11)</f>
        <v>3998691.9800000004</v>
      </c>
    </row>
    <row r="12" spans="2:8" ht="17.25" thickBot="1">
      <c r="B12" s="24" t="s">
        <v>36</v>
      </c>
      <c r="C12" s="25"/>
      <c r="D12" s="25"/>
      <c r="E12" s="26"/>
      <c r="F12" s="25">
        <f t="shared" ref="F12:F13" si="2">SUM(C12:E12)</f>
        <v>0</v>
      </c>
      <c r="H12" t="s">
        <v>46</v>
      </c>
    </row>
    <row r="13" spans="2:8" ht="17.25" thickBot="1">
      <c r="B13" s="27" t="s">
        <v>37</v>
      </c>
      <c r="C13" s="28"/>
      <c r="D13" s="28"/>
      <c r="E13" s="29"/>
      <c r="F13" s="25">
        <f t="shared" si="2"/>
        <v>0</v>
      </c>
    </row>
    <row r="14" spans="2:8" ht="17.25" thickBot="1">
      <c r="B14" s="24" t="s">
        <v>39</v>
      </c>
      <c r="C14" s="25">
        <f>SUM(C11:C13)</f>
        <v>1004453.17</v>
      </c>
      <c r="D14" s="25">
        <f t="shared" ref="D14:F14" si="3">SUM(D11:D13)</f>
        <v>1603764.84</v>
      </c>
      <c r="E14" s="25">
        <f t="shared" si="3"/>
        <v>1390473.9700000002</v>
      </c>
      <c r="F14" s="25">
        <f t="shared" si="3"/>
        <v>3998691.9800000004</v>
      </c>
      <c r="H14" t="s">
        <v>47</v>
      </c>
    </row>
    <row r="15" spans="2:8">
      <c r="H15" t="s">
        <v>48</v>
      </c>
    </row>
    <row r="16" spans="2:8" ht="17.25" thickBot="1"/>
    <row r="17" spans="2:8" ht="17.25" thickBot="1">
      <c r="B17" s="30" t="s">
        <v>319</v>
      </c>
      <c r="C17" s="25" t="s">
        <v>326</v>
      </c>
      <c r="D17" s="25" t="s">
        <v>327</v>
      </c>
      <c r="E17" s="26" t="s">
        <v>328</v>
      </c>
      <c r="F17" s="25" t="s">
        <v>52</v>
      </c>
      <c r="H17" t="s">
        <v>53</v>
      </c>
    </row>
    <row r="18" spans="2:8" ht="17.25" thickBot="1">
      <c r="B18" s="24" t="s">
        <v>35</v>
      </c>
      <c r="C18" s="25">
        <f>'FY24'!BB1</f>
        <v>1367766.6900000002</v>
      </c>
      <c r="D18" s="25">
        <f>'FY24'!BD1</f>
        <v>1210926.6299999999</v>
      </c>
      <c r="E18" s="26">
        <f>'FY24'!BF1</f>
        <v>1197384.3999999997</v>
      </c>
      <c r="F18" s="25">
        <f>SUM(C18:E18)</f>
        <v>3776077.7199999997</v>
      </c>
    </row>
    <row r="19" spans="2:8" ht="17.25" thickBot="1">
      <c r="B19" s="24" t="s">
        <v>36</v>
      </c>
      <c r="C19" s="25"/>
      <c r="D19" s="25"/>
      <c r="E19" s="26"/>
      <c r="F19" s="25">
        <f t="shared" ref="F19:F20" si="4">SUM(C19:E19)</f>
        <v>0</v>
      </c>
    </row>
    <row r="20" spans="2:8" ht="17.25" thickBot="1">
      <c r="B20" s="27" t="s">
        <v>37</v>
      </c>
      <c r="C20" s="28"/>
      <c r="D20" s="28"/>
      <c r="E20" s="29"/>
      <c r="F20" s="25">
        <f t="shared" si="4"/>
        <v>0</v>
      </c>
    </row>
    <row r="21" spans="2:8" ht="17.25" thickBot="1">
      <c r="B21" s="24" t="s">
        <v>39</v>
      </c>
      <c r="C21" s="25">
        <f>SUM(C18:C20)</f>
        <v>1367766.6900000002</v>
      </c>
      <c r="D21" s="25">
        <f t="shared" ref="D21:F21" si="5">SUM(D18:D20)</f>
        <v>1210926.6299999999</v>
      </c>
      <c r="E21" s="25">
        <f t="shared" si="5"/>
        <v>1197384.3999999997</v>
      </c>
      <c r="F21" s="25">
        <f t="shared" si="5"/>
        <v>3776077.7199999997</v>
      </c>
    </row>
    <row r="23" spans="2:8" ht="17.25" thickBot="1"/>
    <row r="24" spans="2:8" ht="17.25" thickBot="1">
      <c r="B24" s="30" t="s">
        <v>319</v>
      </c>
      <c r="C24" s="25" t="s">
        <v>329</v>
      </c>
      <c r="D24" s="25" t="s">
        <v>330</v>
      </c>
      <c r="E24" s="26" t="s">
        <v>331</v>
      </c>
      <c r="F24" s="25" t="s">
        <v>57</v>
      </c>
    </row>
    <row r="25" spans="2:8" ht="17.25" thickBot="1">
      <c r="B25" s="24" t="s">
        <v>35</v>
      </c>
      <c r="C25" s="25">
        <f>'FY24'!BH1</f>
        <v>1179530.0899999996</v>
      </c>
      <c r="D25" s="25">
        <f>'FY24'!BJ1</f>
        <v>1052763.19</v>
      </c>
      <c r="E25" s="26">
        <f>'FY24'!BL1</f>
        <v>829727.83000000007</v>
      </c>
      <c r="F25" s="25">
        <f>SUM(C25:E25)</f>
        <v>3062021.1099999994</v>
      </c>
    </row>
    <row r="26" spans="2:8" ht="17.25" thickBot="1">
      <c r="B26" s="24" t="s">
        <v>36</v>
      </c>
      <c r="C26" s="25">
        <v>65640.070000000007</v>
      </c>
      <c r="D26" s="25"/>
      <c r="E26" s="26"/>
      <c r="F26" s="25">
        <f t="shared" ref="F26:F27" si="6">SUM(C26:E26)</f>
        <v>65640.070000000007</v>
      </c>
    </row>
    <row r="27" spans="2:8" ht="17.25" thickBot="1">
      <c r="B27" s="27" t="s">
        <v>37</v>
      </c>
      <c r="C27" s="28"/>
      <c r="D27" s="28"/>
      <c r="E27" s="29"/>
      <c r="F27" s="25">
        <f t="shared" si="6"/>
        <v>0</v>
      </c>
    </row>
    <row r="28" spans="2:8" ht="17.25" thickBot="1">
      <c r="B28" s="24" t="s">
        <v>39</v>
      </c>
      <c r="C28" s="25">
        <f>SUM(C25:C27)</f>
        <v>1245170.1599999997</v>
      </c>
      <c r="D28" s="25">
        <f t="shared" ref="D28:F28" si="7">SUM(D25:D27)</f>
        <v>1052763.19</v>
      </c>
      <c r="E28" s="25">
        <f t="shared" si="7"/>
        <v>829727.83000000007</v>
      </c>
      <c r="F28" s="25">
        <f t="shared" si="7"/>
        <v>3127661.1799999992</v>
      </c>
    </row>
  </sheetData>
  <phoneticPr fontId="4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B3:G145"/>
  <sheetViews>
    <sheetView topLeftCell="A86" zoomScale="110" zoomScaleNormal="110" workbookViewId="0">
      <selection activeCell="G145" sqref="G145"/>
    </sheetView>
  </sheetViews>
  <sheetFormatPr defaultRowHeight="16.5"/>
  <cols>
    <col min="1" max="1" width="2.375" customWidth="1"/>
    <col min="2" max="2" width="26.75" customWidth="1"/>
    <col min="3" max="3" width="22.375" customWidth="1"/>
    <col min="4" max="4" width="15.125" customWidth="1"/>
    <col min="5" max="7" width="18.375" customWidth="1"/>
  </cols>
  <sheetData>
    <row r="3" spans="2:7">
      <c r="B3" s="14" t="s">
        <v>58</v>
      </c>
      <c r="C3" s="15"/>
      <c r="D3" s="15"/>
      <c r="E3" s="15"/>
      <c r="F3" s="15"/>
      <c r="G3" s="15"/>
    </row>
    <row r="4" spans="2:7" ht="30">
      <c r="B4" s="129"/>
      <c r="C4" s="129" t="s">
        <v>59</v>
      </c>
      <c r="D4" s="16">
        <v>45231</v>
      </c>
      <c r="E4" s="16">
        <v>45261</v>
      </c>
      <c r="F4" s="16">
        <v>45292</v>
      </c>
      <c r="G4" s="130" t="s">
        <v>332</v>
      </c>
    </row>
    <row r="5" spans="2:7">
      <c r="B5" s="274" t="s">
        <v>61</v>
      </c>
      <c r="C5" s="138" t="s">
        <v>62</v>
      </c>
      <c r="D5" s="138">
        <v>10828.4</v>
      </c>
      <c r="E5" s="138">
        <v>16396.55</v>
      </c>
      <c r="F5" s="138">
        <v>10844.75</v>
      </c>
      <c r="G5" s="138">
        <f>SUM(D5:F5)</f>
        <v>38069.699999999997</v>
      </c>
    </row>
    <row r="6" spans="2:7">
      <c r="B6" s="274"/>
      <c r="C6" s="138" t="s">
        <v>63</v>
      </c>
      <c r="D6" s="138">
        <v>528543.24</v>
      </c>
      <c r="E6" s="138">
        <v>782115.18400000012</v>
      </c>
      <c r="F6" s="138">
        <v>694863.35199999996</v>
      </c>
      <c r="G6" s="138">
        <f t="shared" ref="G6:G25" si="0">SUM(D6:F6)</f>
        <v>2005521.7760000001</v>
      </c>
    </row>
    <row r="7" spans="2:7">
      <c r="B7" s="274"/>
      <c r="C7" s="138" t="s">
        <v>64</v>
      </c>
      <c r="D7" s="138">
        <v>132135.81000000003</v>
      </c>
      <c r="E7" s="138">
        <v>195528.79600000003</v>
      </c>
      <c r="F7" s="138">
        <v>173715.83799999999</v>
      </c>
      <c r="G7" s="138">
        <f t="shared" si="0"/>
        <v>501380.44400000002</v>
      </c>
    </row>
    <row r="8" spans="2:7">
      <c r="B8" s="274"/>
      <c r="C8" s="138" t="s">
        <v>65</v>
      </c>
      <c r="D8" s="138"/>
      <c r="E8" s="138"/>
      <c r="F8" s="138"/>
      <c r="G8" s="138">
        <f t="shared" si="0"/>
        <v>0</v>
      </c>
    </row>
    <row r="9" spans="2:7">
      <c r="B9" s="274"/>
      <c r="C9" s="138" t="s">
        <v>66</v>
      </c>
      <c r="D9" s="138"/>
      <c r="E9" s="138"/>
      <c r="F9" s="138"/>
      <c r="G9" s="138">
        <f t="shared" si="0"/>
        <v>0</v>
      </c>
    </row>
    <row r="10" spans="2:7">
      <c r="B10" s="274"/>
      <c r="C10" s="138" t="s">
        <v>67</v>
      </c>
      <c r="D10" s="138"/>
      <c r="E10" s="138"/>
      <c r="F10" s="138"/>
      <c r="G10" s="138">
        <f t="shared" si="0"/>
        <v>0</v>
      </c>
    </row>
    <row r="11" spans="2:7">
      <c r="B11" s="274"/>
      <c r="C11" s="138" t="s">
        <v>68</v>
      </c>
      <c r="D11" s="138"/>
      <c r="E11" s="138"/>
      <c r="F11" s="138"/>
      <c r="G11" s="138">
        <f t="shared" si="0"/>
        <v>0</v>
      </c>
    </row>
    <row r="12" spans="2:7">
      <c r="B12" s="274"/>
      <c r="C12" s="138" t="s">
        <v>69</v>
      </c>
      <c r="D12" s="138">
        <v>24638.48</v>
      </c>
      <c r="E12" s="138">
        <v>91228.87</v>
      </c>
      <c r="F12" s="138">
        <v>32565.390000000003</v>
      </c>
      <c r="G12" s="138">
        <f t="shared" si="0"/>
        <v>148432.74</v>
      </c>
    </row>
    <row r="13" spans="2:7">
      <c r="B13" s="274"/>
      <c r="C13" s="138" t="s">
        <v>70</v>
      </c>
      <c r="D13" s="138">
        <v>92993.659999999989</v>
      </c>
      <c r="E13" s="138">
        <v>67906.52</v>
      </c>
      <c r="F13" s="138">
        <v>64922.26</v>
      </c>
      <c r="G13" s="138">
        <f t="shared" si="0"/>
        <v>225822.44</v>
      </c>
    </row>
    <row r="14" spans="2:7">
      <c r="B14" s="274"/>
      <c r="C14" s="138" t="s">
        <v>71</v>
      </c>
      <c r="D14" s="137"/>
      <c r="E14" s="138"/>
      <c r="F14" s="138"/>
      <c r="G14" s="138">
        <f t="shared" si="0"/>
        <v>0</v>
      </c>
    </row>
    <row r="15" spans="2:7">
      <c r="B15" s="274"/>
      <c r="C15" s="138" t="s">
        <v>72</v>
      </c>
      <c r="D15" s="138">
        <v>22489.599999999999</v>
      </c>
      <c r="E15" s="138">
        <v>14423.8</v>
      </c>
      <c r="F15" s="138">
        <v>20067.8</v>
      </c>
      <c r="G15" s="138">
        <f t="shared" si="0"/>
        <v>56981.2</v>
      </c>
    </row>
    <row r="16" spans="2:7">
      <c r="B16" s="274"/>
      <c r="C16" s="138" t="s">
        <v>73</v>
      </c>
      <c r="D16" s="138"/>
      <c r="E16" s="138"/>
      <c r="F16" s="138"/>
      <c r="G16" s="138">
        <f t="shared" si="0"/>
        <v>0</v>
      </c>
    </row>
    <row r="17" spans="2:7">
      <c r="B17" s="275" t="s">
        <v>74</v>
      </c>
      <c r="C17" s="138" t="s">
        <v>75</v>
      </c>
      <c r="D17" s="138">
        <v>78321.2</v>
      </c>
      <c r="E17" s="138">
        <v>96409.75</v>
      </c>
      <c r="F17" s="138">
        <v>95240.75</v>
      </c>
      <c r="G17" s="138">
        <f t="shared" si="0"/>
        <v>269971.7</v>
      </c>
    </row>
    <row r="18" spans="2:7">
      <c r="B18" s="275"/>
      <c r="C18" s="138" t="s">
        <v>69</v>
      </c>
      <c r="D18" s="138"/>
      <c r="E18" s="138"/>
      <c r="F18" s="138"/>
      <c r="G18" s="138">
        <f t="shared" si="0"/>
        <v>0</v>
      </c>
    </row>
    <row r="19" spans="2:7">
      <c r="B19" s="275"/>
      <c r="C19" s="138" t="s">
        <v>76</v>
      </c>
      <c r="D19" s="138">
        <v>159487</v>
      </c>
      <c r="E19" s="138">
        <v>205770.44</v>
      </c>
      <c r="F19" s="138">
        <v>137426.59</v>
      </c>
      <c r="G19" s="138">
        <f t="shared" si="0"/>
        <v>502684.03</v>
      </c>
    </row>
    <row r="20" spans="2:7">
      <c r="B20" s="275"/>
      <c r="C20" s="138" t="s">
        <v>77</v>
      </c>
      <c r="D20" s="138"/>
      <c r="E20" s="138"/>
      <c r="F20" s="138"/>
      <c r="G20" s="138">
        <f t="shared" si="0"/>
        <v>0</v>
      </c>
    </row>
    <row r="21" spans="2:7">
      <c r="B21" s="275"/>
      <c r="C21" s="138" t="s">
        <v>78</v>
      </c>
      <c r="D21" s="138">
        <v>13283.5</v>
      </c>
      <c r="E21" s="138">
        <v>8746.14</v>
      </c>
      <c r="F21" s="138">
        <v>4717.32</v>
      </c>
      <c r="G21" s="138">
        <f t="shared" si="0"/>
        <v>26746.959999999999</v>
      </c>
    </row>
    <row r="22" spans="2:7">
      <c r="B22" s="275"/>
      <c r="C22" s="138" t="s">
        <v>79</v>
      </c>
      <c r="D22" s="138"/>
      <c r="E22" s="138"/>
      <c r="F22" s="138"/>
      <c r="G22" s="138">
        <f t="shared" si="0"/>
        <v>0</v>
      </c>
    </row>
    <row r="23" spans="2:7">
      <c r="B23" s="275"/>
      <c r="C23" s="138" t="s">
        <v>80</v>
      </c>
      <c r="D23" s="138">
        <v>4561.5</v>
      </c>
      <c r="E23" s="138">
        <v>9496.5</v>
      </c>
      <c r="F23" s="138">
        <v>7065.5</v>
      </c>
      <c r="G23" s="138">
        <f t="shared" si="0"/>
        <v>21123.5</v>
      </c>
    </row>
    <row r="24" spans="2:7">
      <c r="B24" s="275"/>
      <c r="C24" s="138" t="s">
        <v>72</v>
      </c>
      <c r="D24" s="138"/>
      <c r="E24" s="137"/>
      <c r="F24" s="138"/>
      <c r="G24" s="138">
        <f t="shared" si="0"/>
        <v>0</v>
      </c>
    </row>
    <row r="25" spans="2:7" ht="17.25" thickBot="1">
      <c r="B25" s="275"/>
      <c r="C25" s="138" t="s">
        <v>73</v>
      </c>
      <c r="D25" s="138"/>
      <c r="E25" s="137"/>
      <c r="F25" s="137"/>
      <c r="G25" s="131">
        <f t="shared" si="0"/>
        <v>0</v>
      </c>
    </row>
    <row r="26" spans="2:7" ht="17.25" thickBot="1">
      <c r="B26" s="15"/>
      <c r="C26" s="15"/>
      <c r="D26" s="15"/>
      <c r="E26" s="15"/>
      <c r="F26" s="15"/>
      <c r="G26" s="132">
        <f>SUM(G5:G25)</f>
        <v>3796734.49</v>
      </c>
    </row>
    <row r="27" spans="2:7">
      <c r="B27" s="15"/>
      <c r="C27" s="15"/>
      <c r="D27" s="15"/>
      <c r="E27" s="15"/>
      <c r="F27" s="15"/>
      <c r="G27" s="15"/>
    </row>
    <row r="28" spans="2:7">
      <c r="B28" s="14" t="s">
        <v>58</v>
      </c>
      <c r="C28" s="15"/>
      <c r="D28" s="15"/>
      <c r="E28" s="15"/>
      <c r="F28" s="15"/>
      <c r="G28" s="15"/>
    </row>
    <row r="29" spans="2:7" ht="30">
      <c r="B29" s="129"/>
      <c r="C29" s="129" t="s">
        <v>81</v>
      </c>
      <c r="D29" s="16">
        <v>45231</v>
      </c>
      <c r="E29" s="16">
        <v>45261</v>
      </c>
      <c r="F29" s="16">
        <v>45292</v>
      </c>
      <c r="G29" s="130" t="s">
        <v>332</v>
      </c>
    </row>
    <row r="30" spans="2:7" ht="17.100000000000001" hidden="1" customHeight="1" thickBot="1">
      <c r="B30" s="138" t="s">
        <v>82</v>
      </c>
      <c r="C30" s="138" t="s">
        <v>83</v>
      </c>
      <c r="D30" s="138"/>
      <c r="E30" s="138"/>
      <c r="F30" s="138"/>
      <c r="G30" s="138"/>
    </row>
    <row r="31" spans="2:7" ht="17.100000000000001" hidden="1" customHeight="1" thickBot="1">
      <c r="B31" s="138"/>
      <c r="C31" s="138" t="s">
        <v>84</v>
      </c>
      <c r="D31" s="138"/>
      <c r="E31" s="138"/>
      <c r="F31" s="138"/>
      <c r="G31" s="138"/>
    </row>
    <row r="32" spans="2:7" ht="17.100000000000001" hidden="1" customHeight="1" thickBot="1">
      <c r="B32" s="138"/>
      <c r="C32" s="138" t="s">
        <v>85</v>
      </c>
      <c r="D32" s="138"/>
      <c r="E32" s="138"/>
      <c r="F32" s="138"/>
      <c r="G32" s="138"/>
    </row>
    <row r="33" spans="2:7" ht="17.100000000000001" hidden="1" customHeight="1" thickBot="1">
      <c r="B33" s="138"/>
      <c r="C33" s="138" t="s">
        <v>86</v>
      </c>
      <c r="D33" s="138"/>
      <c r="E33" s="138"/>
      <c r="F33" s="138"/>
      <c r="G33" s="138"/>
    </row>
    <row r="34" spans="2:7">
      <c r="B34" s="138"/>
      <c r="C34" s="138" t="s">
        <v>87</v>
      </c>
      <c r="D34" s="138">
        <f>SUM(D5:D25)</f>
        <v>1067282.3900000001</v>
      </c>
      <c r="E34" s="138">
        <f>SUM(E5:E25)</f>
        <v>1488022.5500000003</v>
      </c>
      <c r="F34" s="138">
        <f>SUM(F5:F25)</f>
        <v>1241429.5500000003</v>
      </c>
      <c r="G34" s="138">
        <f>SUM(D34:F34)</f>
        <v>3796734.4900000007</v>
      </c>
    </row>
    <row r="35" spans="2:7">
      <c r="B35" s="138" t="s">
        <v>88</v>
      </c>
      <c r="C35" s="137"/>
      <c r="D35" s="137"/>
      <c r="E35" s="137">
        <v>277191.56</v>
      </c>
      <c r="F35" s="138">
        <v>427802.33</v>
      </c>
      <c r="G35" s="138">
        <f>SUM(C35:F35)</f>
        <v>704993.89</v>
      </c>
    </row>
    <row r="36" spans="2:7" ht="17.25" thickBot="1">
      <c r="B36" s="138" t="s">
        <v>333</v>
      </c>
      <c r="C36" s="209" t="s">
        <v>334</v>
      </c>
      <c r="D36" s="207"/>
      <c r="E36" s="207"/>
      <c r="F36" s="208"/>
      <c r="G36" s="210">
        <v>8663.94</v>
      </c>
    </row>
    <row r="37" spans="2:7" ht="17.25" thickBot="1">
      <c r="B37" s="139"/>
      <c r="C37" s="272" t="s">
        <v>89</v>
      </c>
      <c r="D37" s="273"/>
      <c r="E37" s="273"/>
      <c r="F37" s="273"/>
      <c r="G37" s="135">
        <f>G34-G35+G36</f>
        <v>3100404.5400000005</v>
      </c>
    </row>
    <row r="39" spans="2:7">
      <c r="B39" s="14" t="s">
        <v>90</v>
      </c>
      <c r="C39" s="15"/>
      <c r="D39" s="15"/>
      <c r="E39" s="15"/>
      <c r="F39" s="15"/>
      <c r="G39" s="15"/>
    </row>
    <row r="40" spans="2:7" ht="30">
      <c r="B40" s="129"/>
      <c r="C40" s="129" t="s">
        <v>59</v>
      </c>
      <c r="D40" s="16">
        <v>45323</v>
      </c>
      <c r="E40" s="16">
        <v>45352</v>
      </c>
      <c r="F40" s="16">
        <v>45383</v>
      </c>
      <c r="G40" s="130" t="s">
        <v>335</v>
      </c>
    </row>
    <row r="41" spans="2:7">
      <c r="B41" s="274" t="s">
        <v>61</v>
      </c>
      <c r="C41" s="138" t="s">
        <v>62</v>
      </c>
      <c r="D41" s="138">
        <v>26828.024999999998</v>
      </c>
      <c r="E41" s="138">
        <v>36721.65</v>
      </c>
      <c r="F41" s="138">
        <v>28012.875</v>
      </c>
      <c r="G41" s="138">
        <f>SUM(D41:F41)</f>
        <v>91562.55</v>
      </c>
    </row>
    <row r="42" spans="2:7">
      <c r="B42" s="274"/>
      <c r="C42" s="138" t="s">
        <v>63</v>
      </c>
      <c r="D42" s="138">
        <v>509203.67200000002</v>
      </c>
      <c r="E42" s="138">
        <v>785199.8</v>
      </c>
      <c r="F42" s="138">
        <v>752750.61600000015</v>
      </c>
      <c r="G42" s="138">
        <f t="shared" ref="G42:G61" si="1">SUM(D42:F42)</f>
        <v>2047154.0880000002</v>
      </c>
    </row>
    <row r="43" spans="2:7">
      <c r="B43" s="274"/>
      <c r="C43" s="138" t="s">
        <v>64</v>
      </c>
      <c r="D43" s="138">
        <v>127300.91800000001</v>
      </c>
      <c r="E43" s="138">
        <v>196299.95</v>
      </c>
      <c r="F43" s="138">
        <v>188187.65400000004</v>
      </c>
      <c r="G43" s="138">
        <f t="shared" si="1"/>
        <v>511788.52200000006</v>
      </c>
    </row>
    <row r="44" spans="2:7">
      <c r="B44" s="274"/>
      <c r="C44" s="138" t="s">
        <v>65</v>
      </c>
      <c r="D44" s="138"/>
      <c r="E44" s="138"/>
      <c r="F44" s="138"/>
      <c r="G44" s="138">
        <f t="shared" si="1"/>
        <v>0</v>
      </c>
    </row>
    <row r="45" spans="2:7">
      <c r="B45" s="274"/>
      <c r="C45" s="138" t="s">
        <v>66</v>
      </c>
      <c r="D45" s="138"/>
      <c r="E45" s="138"/>
      <c r="F45" s="138"/>
      <c r="G45" s="138">
        <f t="shared" si="1"/>
        <v>0</v>
      </c>
    </row>
    <row r="46" spans="2:7">
      <c r="B46" s="274"/>
      <c r="C46" s="138" t="s">
        <v>67</v>
      </c>
      <c r="D46" s="138"/>
      <c r="E46" s="138"/>
      <c r="F46" s="138"/>
      <c r="G46" s="138">
        <f t="shared" si="1"/>
        <v>0</v>
      </c>
    </row>
    <row r="47" spans="2:7">
      <c r="B47" s="274"/>
      <c r="C47" s="138" t="s">
        <v>68</v>
      </c>
      <c r="D47" s="138"/>
      <c r="E47" s="138"/>
      <c r="F47" s="138"/>
      <c r="G47" s="138">
        <f t="shared" si="1"/>
        <v>0</v>
      </c>
    </row>
    <row r="48" spans="2:7">
      <c r="B48" s="274"/>
      <c r="C48" s="138" t="s">
        <v>69</v>
      </c>
      <c r="D48" s="138">
        <v>44213.8</v>
      </c>
      <c r="E48" s="138">
        <v>231171.28</v>
      </c>
      <c r="F48" s="138">
        <v>116711.90000000001</v>
      </c>
      <c r="G48" s="138">
        <f t="shared" si="1"/>
        <v>392096.98000000004</v>
      </c>
    </row>
    <row r="49" spans="2:7">
      <c r="B49" s="274"/>
      <c r="C49" s="138" t="s">
        <v>70</v>
      </c>
      <c r="D49" s="138">
        <v>67566.399999999994</v>
      </c>
      <c r="E49" s="138">
        <v>62186.340000000004</v>
      </c>
      <c r="F49" s="138">
        <v>60766</v>
      </c>
      <c r="G49" s="138">
        <f t="shared" si="1"/>
        <v>190518.74</v>
      </c>
    </row>
    <row r="50" spans="2:7">
      <c r="B50" s="274"/>
      <c r="C50" s="138" t="s">
        <v>71</v>
      </c>
      <c r="D50" s="138"/>
      <c r="E50" s="138"/>
      <c r="F50" s="138"/>
      <c r="G50" s="138">
        <f t="shared" si="1"/>
        <v>0</v>
      </c>
    </row>
    <row r="51" spans="2:7">
      <c r="B51" s="274"/>
      <c r="C51" s="138" t="s">
        <v>72</v>
      </c>
      <c r="D51" s="138">
        <v>13736.8</v>
      </c>
      <c r="E51" s="138">
        <v>6512.4</v>
      </c>
      <c r="F51" s="138">
        <v>13148.4</v>
      </c>
      <c r="G51" s="138">
        <f t="shared" si="1"/>
        <v>33397.599999999999</v>
      </c>
    </row>
    <row r="52" spans="2:7">
      <c r="B52" s="274"/>
      <c r="C52" s="138" t="s">
        <v>73</v>
      </c>
      <c r="D52" s="138"/>
      <c r="E52" s="138"/>
      <c r="F52" s="138"/>
      <c r="G52" s="138">
        <f t="shared" si="1"/>
        <v>0</v>
      </c>
    </row>
    <row r="53" spans="2:7">
      <c r="B53" s="275" t="s">
        <v>74</v>
      </c>
      <c r="C53" s="138" t="s">
        <v>75</v>
      </c>
      <c r="D53" s="138">
        <v>80484.074999999997</v>
      </c>
      <c r="E53" s="138">
        <v>110164.95000000001</v>
      </c>
      <c r="F53" s="138">
        <v>84038.625</v>
      </c>
      <c r="G53" s="138">
        <f t="shared" si="1"/>
        <v>274687.65000000002</v>
      </c>
    </row>
    <row r="54" spans="2:7">
      <c r="B54" s="275"/>
      <c r="C54" s="138" t="s">
        <v>69</v>
      </c>
      <c r="D54" s="138"/>
      <c r="E54" s="138"/>
      <c r="F54" s="138"/>
      <c r="G54" s="138">
        <f t="shared" si="1"/>
        <v>0</v>
      </c>
    </row>
    <row r="55" spans="2:7">
      <c r="B55" s="275"/>
      <c r="C55" s="138" t="s">
        <v>92</v>
      </c>
      <c r="D55" s="138">
        <v>132763.48000000001</v>
      </c>
      <c r="E55" s="138">
        <v>171678.97</v>
      </c>
      <c r="F55" s="138">
        <v>143225.4</v>
      </c>
      <c r="G55" s="138">
        <f t="shared" si="1"/>
        <v>447667.85</v>
      </c>
    </row>
    <row r="56" spans="2:7">
      <c r="B56" s="275"/>
      <c r="C56" s="138" t="s">
        <v>77</v>
      </c>
      <c r="D56" s="138"/>
      <c r="E56" s="138"/>
      <c r="F56" s="138"/>
      <c r="G56" s="138">
        <f t="shared" si="1"/>
        <v>0</v>
      </c>
    </row>
    <row r="57" spans="2:7">
      <c r="B57" s="275"/>
      <c r="C57" s="138" t="s">
        <v>78</v>
      </c>
      <c r="D57" s="138">
        <v>898.5</v>
      </c>
      <c r="E57" s="138">
        <v>0</v>
      </c>
      <c r="F57" s="138">
        <v>0</v>
      </c>
      <c r="G57" s="138">
        <f t="shared" si="1"/>
        <v>898.5</v>
      </c>
    </row>
    <row r="58" spans="2:7">
      <c r="B58" s="275"/>
      <c r="C58" s="138" t="s">
        <v>79</v>
      </c>
      <c r="D58" s="138"/>
      <c r="E58" s="138"/>
      <c r="F58" s="138"/>
      <c r="G58" s="138">
        <f t="shared" si="1"/>
        <v>0</v>
      </c>
    </row>
    <row r="59" spans="2:7">
      <c r="B59" s="275"/>
      <c r="C59" s="138" t="s">
        <v>80</v>
      </c>
      <c r="D59" s="138">
        <v>1457.5</v>
      </c>
      <c r="E59" s="138">
        <v>3829.5</v>
      </c>
      <c r="F59" s="138">
        <v>3632.5</v>
      </c>
      <c r="G59" s="138">
        <f t="shared" si="1"/>
        <v>8919.5</v>
      </c>
    </row>
    <row r="60" spans="2:7">
      <c r="B60" s="275"/>
      <c r="C60" s="138" t="s">
        <v>72</v>
      </c>
      <c r="D60" s="138"/>
      <c r="E60" s="137"/>
      <c r="F60" s="138"/>
      <c r="G60" s="138">
        <f t="shared" si="1"/>
        <v>0</v>
      </c>
    </row>
    <row r="61" spans="2:7" ht="17.25" thickBot="1">
      <c r="B61" s="275"/>
      <c r="C61" s="138" t="s">
        <v>73</v>
      </c>
      <c r="D61" s="138"/>
      <c r="E61" s="137"/>
      <c r="F61" s="137"/>
      <c r="G61" s="131">
        <f t="shared" si="1"/>
        <v>0</v>
      </c>
    </row>
    <row r="62" spans="2:7" ht="17.25" thickBot="1">
      <c r="B62" s="15"/>
      <c r="C62" s="15"/>
      <c r="D62" s="15"/>
      <c r="E62" s="15"/>
      <c r="F62" s="15"/>
      <c r="G62" s="132">
        <f>SUM(G41:G61)</f>
        <v>3998691.98</v>
      </c>
    </row>
    <row r="63" spans="2:7">
      <c r="B63" s="15"/>
      <c r="C63" s="15"/>
      <c r="D63" s="15"/>
      <c r="E63" s="15"/>
      <c r="F63" s="15"/>
      <c r="G63" s="15"/>
    </row>
    <row r="64" spans="2:7">
      <c r="B64" s="14" t="s">
        <v>90</v>
      </c>
      <c r="C64" s="15"/>
      <c r="D64" s="15"/>
      <c r="E64" s="15"/>
      <c r="F64" s="15"/>
      <c r="G64" s="15"/>
    </row>
    <row r="65" spans="2:7" ht="30">
      <c r="B65" s="129"/>
      <c r="C65" s="129" t="s">
        <v>81</v>
      </c>
      <c r="D65" s="16">
        <v>45323</v>
      </c>
      <c r="E65" s="16">
        <v>45352</v>
      </c>
      <c r="F65" s="16">
        <v>45383</v>
      </c>
      <c r="G65" s="130" t="s">
        <v>335</v>
      </c>
    </row>
    <row r="66" spans="2:7" ht="17.100000000000001" hidden="1" customHeight="1" thickBot="1">
      <c r="B66" s="138" t="s">
        <v>82</v>
      </c>
      <c r="C66" s="138" t="s">
        <v>83</v>
      </c>
      <c r="D66" s="138"/>
      <c r="E66" s="138"/>
      <c r="F66" s="138"/>
      <c r="G66" s="138"/>
    </row>
    <row r="67" spans="2:7" ht="17.100000000000001" hidden="1" customHeight="1" thickBot="1">
      <c r="B67" s="138"/>
      <c r="C67" s="138" t="s">
        <v>84</v>
      </c>
      <c r="D67" s="138"/>
      <c r="E67" s="138"/>
      <c r="F67" s="138"/>
      <c r="G67" s="138"/>
    </row>
    <row r="68" spans="2:7" ht="17.100000000000001" hidden="1" customHeight="1" thickBot="1">
      <c r="B68" s="138"/>
      <c r="C68" s="138" t="s">
        <v>85</v>
      </c>
      <c r="D68" s="138"/>
      <c r="E68" s="138"/>
      <c r="F68" s="138"/>
      <c r="G68" s="138"/>
    </row>
    <row r="69" spans="2:7" ht="17.100000000000001" hidden="1" customHeight="1" thickBot="1">
      <c r="B69" s="138"/>
      <c r="C69" s="138" t="s">
        <v>86</v>
      </c>
      <c r="D69" s="138"/>
      <c r="E69" s="138"/>
      <c r="F69" s="138"/>
      <c r="G69" s="138"/>
    </row>
    <row r="70" spans="2:7">
      <c r="B70" s="138"/>
      <c r="C70" s="138" t="s">
        <v>87</v>
      </c>
      <c r="D70" s="138">
        <f>SUM(D41:D61)</f>
        <v>1004453.17</v>
      </c>
      <c r="E70" s="138">
        <f t="shared" ref="E70:F70" si="2">SUM(E41:E61)</f>
        <v>1603764.84</v>
      </c>
      <c r="F70" s="138">
        <f t="shared" si="2"/>
        <v>1390473.97</v>
      </c>
      <c r="G70" s="140">
        <f>SUM(D70:F70)</f>
        <v>3998691.9800000004</v>
      </c>
    </row>
    <row r="71" spans="2:7" ht="17.25" thickBot="1">
      <c r="B71" s="138" t="s">
        <v>88</v>
      </c>
      <c r="C71" s="141"/>
      <c r="D71" s="131">
        <v>226848.51</v>
      </c>
      <c r="E71" s="131">
        <v>341786.33</v>
      </c>
      <c r="F71" s="131">
        <v>200467.06</v>
      </c>
      <c r="G71" s="141">
        <f>SUM(D71:F71)</f>
        <v>769101.90000000014</v>
      </c>
    </row>
    <row r="72" spans="2:7" ht="17.25" thickBot="1">
      <c r="B72" s="139"/>
      <c r="C72" s="272" t="s">
        <v>93</v>
      </c>
      <c r="D72" s="273"/>
      <c r="E72" s="273"/>
      <c r="F72" s="273"/>
      <c r="G72" s="134">
        <f>G70-G71</f>
        <v>3229590.08</v>
      </c>
    </row>
    <row r="75" spans="2:7">
      <c r="B75" s="14" t="s">
        <v>94</v>
      </c>
      <c r="C75" s="15"/>
      <c r="D75" s="15"/>
      <c r="E75" s="15"/>
      <c r="F75" s="15"/>
      <c r="G75" s="15"/>
    </row>
    <row r="76" spans="2:7" ht="30">
      <c r="B76" s="129"/>
      <c r="C76" s="129" t="s">
        <v>59</v>
      </c>
      <c r="D76" s="16">
        <v>45413</v>
      </c>
      <c r="E76" s="16">
        <v>45444</v>
      </c>
      <c r="F76" s="16">
        <v>45474</v>
      </c>
      <c r="G76" s="130" t="s">
        <v>336</v>
      </c>
    </row>
    <row r="77" spans="2:7">
      <c r="B77" s="274" t="s">
        <v>61</v>
      </c>
      <c r="C77" s="138" t="s">
        <v>62</v>
      </c>
      <c r="D77" s="138">
        <v>41869.805000000008</v>
      </c>
      <c r="E77" s="138">
        <v>57601.024999999994</v>
      </c>
      <c r="F77" s="138">
        <v>27982.802499999998</v>
      </c>
      <c r="G77" s="138">
        <f>SUM(D77:F77)</f>
        <v>127453.63250000001</v>
      </c>
    </row>
    <row r="78" spans="2:7">
      <c r="B78" s="274"/>
      <c r="C78" s="138" t="s">
        <v>63</v>
      </c>
      <c r="D78" s="138">
        <v>571709.62399999995</v>
      </c>
      <c r="E78" s="138">
        <v>454903.08</v>
      </c>
      <c r="F78" s="138">
        <v>634912.47200000007</v>
      </c>
      <c r="G78" s="138">
        <f t="shared" ref="G78:G97" si="3">SUM(D78:F78)</f>
        <v>1661525.176</v>
      </c>
    </row>
    <row r="79" spans="2:7">
      <c r="B79" s="274"/>
      <c r="C79" s="138" t="s">
        <v>64</v>
      </c>
      <c r="D79" s="138">
        <v>142927.40599999999</v>
      </c>
      <c r="E79" s="138">
        <v>113725.77</v>
      </c>
      <c r="F79" s="138">
        <v>158728.11800000002</v>
      </c>
      <c r="G79" s="138">
        <f t="shared" si="3"/>
        <v>415381.29399999999</v>
      </c>
    </row>
    <row r="80" spans="2:7">
      <c r="B80" s="274"/>
      <c r="C80" s="138" t="s">
        <v>65</v>
      </c>
      <c r="D80" s="138"/>
      <c r="E80" s="138"/>
      <c r="F80" s="138"/>
      <c r="G80" s="138">
        <f t="shared" si="3"/>
        <v>0</v>
      </c>
    </row>
    <row r="81" spans="2:7">
      <c r="B81" s="274"/>
      <c r="C81" s="138" t="s">
        <v>66</v>
      </c>
      <c r="D81" s="138"/>
      <c r="E81" s="138"/>
      <c r="F81" s="138"/>
      <c r="G81" s="138">
        <f t="shared" si="3"/>
        <v>0</v>
      </c>
    </row>
    <row r="82" spans="2:7">
      <c r="B82" s="274"/>
      <c r="C82" s="138" t="s">
        <v>67</v>
      </c>
      <c r="D82" s="138"/>
      <c r="E82" s="138"/>
      <c r="F82" s="138"/>
      <c r="G82" s="138">
        <f t="shared" si="3"/>
        <v>0</v>
      </c>
    </row>
    <row r="83" spans="2:7">
      <c r="B83" s="274"/>
      <c r="C83" s="138" t="s">
        <v>68</v>
      </c>
      <c r="D83" s="138"/>
      <c r="E83" s="138"/>
      <c r="F83" s="138"/>
      <c r="G83" s="138">
        <f t="shared" si="3"/>
        <v>0</v>
      </c>
    </row>
    <row r="84" spans="2:7">
      <c r="B84" s="274"/>
      <c r="C84" s="138" t="s">
        <v>69</v>
      </c>
      <c r="D84" s="138">
        <v>247243.47</v>
      </c>
      <c r="E84" s="138">
        <v>105793.34</v>
      </c>
      <c r="F84" s="138">
        <v>41916.380000000005</v>
      </c>
      <c r="G84" s="138">
        <f t="shared" si="3"/>
        <v>394953.19</v>
      </c>
    </row>
    <row r="85" spans="2:7">
      <c r="B85" s="274"/>
      <c r="C85" s="138" t="s">
        <v>70</v>
      </c>
      <c r="D85" s="138">
        <v>58972.23</v>
      </c>
      <c r="E85" s="138">
        <v>46138.5</v>
      </c>
      <c r="F85" s="138">
        <v>41636.560000000005</v>
      </c>
      <c r="G85" s="138">
        <f t="shared" si="3"/>
        <v>146747.29</v>
      </c>
    </row>
    <row r="86" spans="2:7">
      <c r="B86" s="274"/>
      <c r="C86" s="138" t="s">
        <v>71</v>
      </c>
      <c r="D86" s="138"/>
      <c r="E86" s="138"/>
      <c r="F86" s="138"/>
      <c r="G86" s="138">
        <f t="shared" si="3"/>
        <v>0</v>
      </c>
    </row>
    <row r="87" spans="2:7">
      <c r="B87" s="274"/>
      <c r="C87" s="138" t="s">
        <v>72</v>
      </c>
      <c r="D87" s="138">
        <v>2760</v>
      </c>
      <c r="E87" s="138">
        <v>5689.6</v>
      </c>
      <c r="F87" s="138">
        <v>14022</v>
      </c>
      <c r="G87" s="138">
        <f t="shared" si="3"/>
        <v>22471.599999999999</v>
      </c>
    </row>
    <row r="88" spans="2:7">
      <c r="B88" s="274"/>
      <c r="C88" s="138" t="s">
        <v>73</v>
      </c>
      <c r="D88" s="138"/>
      <c r="E88" s="138"/>
      <c r="F88" s="138"/>
      <c r="G88" s="138">
        <f t="shared" si="3"/>
        <v>0</v>
      </c>
    </row>
    <row r="89" spans="2:7">
      <c r="B89" s="275" t="s">
        <v>74</v>
      </c>
      <c r="C89" s="138" t="s">
        <v>75</v>
      </c>
      <c r="D89" s="138">
        <v>125609.41500000002</v>
      </c>
      <c r="E89" s="138">
        <v>172803.07499999998</v>
      </c>
      <c r="F89" s="138">
        <v>83948.407500000001</v>
      </c>
      <c r="G89" s="138">
        <f t="shared" si="3"/>
        <v>382360.89749999996</v>
      </c>
    </row>
    <row r="90" spans="2:7">
      <c r="B90" s="275"/>
      <c r="C90" s="138" t="s">
        <v>69</v>
      </c>
      <c r="D90" s="138"/>
      <c r="E90" s="138"/>
      <c r="F90" s="138"/>
      <c r="G90" s="138">
        <f t="shared" si="3"/>
        <v>0</v>
      </c>
    </row>
    <row r="91" spans="2:7">
      <c r="B91" s="275"/>
      <c r="C91" s="138" t="s">
        <v>92</v>
      </c>
      <c r="D91" s="138">
        <v>168980.64000000004</v>
      </c>
      <c r="E91" s="138">
        <v>193102.84</v>
      </c>
      <c r="F91" s="138">
        <v>180129.05999999997</v>
      </c>
      <c r="G91" s="138">
        <f t="shared" si="3"/>
        <v>542212.54</v>
      </c>
    </row>
    <row r="92" spans="2:7">
      <c r="B92" s="275"/>
      <c r="C92" s="138" t="s">
        <v>77</v>
      </c>
      <c r="D92" s="138"/>
      <c r="E92" s="138"/>
      <c r="F92" s="138"/>
      <c r="G92" s="138">
        <f t="shared" si="3"/>
        <v>0</v>
      </c>
    </row>
    <row r="93" spans="2:7">
      <c r="B93" s="275"/>
      <c r="C93" s="138" t="s">
        <v>78</v>
      </c>
      <c r="D93" s="138">
        <v>0</v>
      </c>
      <c r="E93" s="138">
        <v>0</v>
      </c>
      <c r="F93" s="138">
        <v>0</v>
      </c>
      <c r="G93" s="138">
        <f t="shared" si="3"/>
        <v>0</v>
      </c>
    </row>
    <row r="94" spans="2:7">
      <c r="B94" s="275"/>
      <c r="C94" s="138" t="s">
        <v>79</v>
      </c>
      <c r="D94" s="138"/>
      <c r="E94" s="137"/>
      <c r="F94" s="138"/>
      <c r="G94" s="138">
        <f t="shared" si="3"/>
        <v>0</v>
      </c>
    </row>
    <row r="95" spans="2:7">
      <c r="B95" s="275"/>
      <c r="C95" s="138" t="s">
        <v>80</v>
      </c>
      <c r="D95" s="138">
        <v>7694.1</v>
      </c>
      <c r="E95" s="138">
        <v>61169.4</v>
      </c>
      <c r="F95" s="138">
        <v>14108.6</v>
      </c>
      <c r="G95" s="138">
        <f t="shared" si="3"/>
        <v>82972.100000000006</v>
      </c>
    </row>
    <row r="96" spans="2:7">
      <c r="B96" s="275"/>
      <c r="C96" s="138" t="s">
        <v>72</v>
      </c>
      <c r="D96" s="138"/>
      <c r="E96" s="137"/>
      <c r="F96" s="138"/>
      <c r="G96" s="138">
        <f t="shared" si="3"/>
        <v>0</v>
      </c>
    </row>
    <row r="97" spans="2:7" ht="17.25" thickBot="1">
      <c r="B97" s="275"/>
      <c r="C97" s="138" t="s">
        <v>73</v>
      </c>
      <c r="D97" s="138"/>
      <c r="E97" s="137"/>
      <c r="F97" s="137"/>
      <c r="G97" s="138">
        <f t="shared" si="3"/>
        <v>0</v>
      </c>
    </row>
    <row r="98" spans="2:7" ht="17.25" thickBot="1">
      <c r="B98" s="15"/>
      <c r="C98" s="15"/>
      <c r="D98" s="15"/>
      <c r="E98" s="15"/>
      <c r="F98" s="15"/>
      <c r="G98" s="132">
        <f>SUM(G77:G97)</f>
        <v>3776077.72</v>
      </c>
    </row>
    <row r="99" spans="2:7">
      <c r="B99" s="15"/>
      <c r="C99" s="15"/>
      <c r="D99" s="15"/>
      <c r="E99" s="15"/>
      <c r="F99" s="15"/>
      <c r="G99" s="15"/>
    </row>
    <row r="100" spans="2:7">
      <c r="B100" s="14" t="s">
        <v>94</v>
      </c>
      <c r="C100" s="15"/>
      <c r="D100" s="15"/>
      <c r="E100" s="15"/>
      <c r="F100" s="15"/>
      <c r="G100" s="15"/>
    </row>
    <row r="101" spans="2:7" ht="30">
      <c r="B101" s="129"/>
      <c r="C101" s="129" t="s">
        <v>81</v>
      </c>
      <c r="D101" s="16">
        <v>45413</v>
      </c>
      <c r="E101" s="16">
        <v>45444</v>
      </c>
      <c r="F101" s="16">
        <v>45474</v>
      </c>
      <c r="G101" s="130" t="s">
        <v>336</v>
      </c>
    </row>
    <row r="102" spans="2:7">
      <c r="B102" s="146"/>
      <c r="C102" s="131" t="s">
        <v>87</v>
      </c>
      <c r="D102" s="131">
        <f>SUM(D77:D97)</f>
        <v>1367766.6900000002</v>
      </c>
      <c r="E102" s="131">
        <f>SUM(E77:E97)</f>
        <v>1210926.6299999999</v>
      </c>
      <c r="F102" s="131">
        <f>SUM(F77:F97)</f>
        <v>1197384.4000000001</v>
      </c>
      <c r="G102" s="131">
        <f>SUM(D102:F102)</f>
        <v>3776077.7200000007</v>
      </c>
    </row>
    <row r="103" spans="2:7">
      <c r="B103" s="138" t="s">
        <v>88</v>
      </c>
      <c r="C103" s="138"/>
      <c r="D103" s="138">
        <v>403509.8</v>
      </c>
      <c r="E103" s="138"/>
      <c r="F103" s="138">
        <v>539402.55000000005</v>
      </c>
      <c r="G103" s="131">
        <f>SUM(D103:F103)</f>
        <v>942912.35000000009</v>
      </c>
    </row>
    <row r="104" spans="2:7">
      <c r="B104" s="147"/>
      <c r="C104" s="147"/>
      <c r="D104" s="147"/>
      <c r="E104" s="147"/>
      <c r="F104" s="148" t="s">
        <v>96</v>
      </c>
      <c r="G104" s="148">
        <f>G102-G103</f>
        <v>2833165.3700000006</v>
      </c>
    </row>
    <row r="106" spans="2:7">
      <c r="B106" s="14" t="s">
        <v>97</v>
      </c>
      <c r="C106" s="15"/>
      <c r="D106" s="15"/>
      <c r="E106" s="15"/>
      <c r="F106" s="15"/>
      <c r="G106" s="15"/>
    </row>
    <row r="107" spans="2:7" ht="30">
      <c r="B107" s="129"/>
      <c r="C107" s="129" t="s">
        <v>59</v>
      </c>
      <c r="D107" s="16">
        <v>45505</v>
      </c>
      <c r="E107" s="16">
        <v>45536</v>
      </c>
      <c r="F107" s="16">
        <v>45566</v>
      </c>
      <c r="G107" s="130" t="s">
        <v>337</v>
      </c>
    </row>
    <row r="108" spans="2:7">
      <c r="B108" s="274" t="s">
        <v>61</v>
      </c>
      <c r="C108" s="138" t="s">
        <v>62</v>
      </c>
      <c r="D108" s="138">
        <v>44625.767500000009</v>
      </c>
      <c r="E108" s="138">
        <v>57255.457500000004</v>
      </c>
      <c r="F108" s="138">
        <v>32452.807500000003</v>
      </c>
      <c r="G108" s="138">
        <f>SUM(D108:F108)</f>
        <v>134334.0325</v>
      </c>
    </row>
    <row r="109" spans="2:7">
      <c r="B109" s="274"/>
      <c r="C109" s="138" t="s">
        <v>63</v>
      </c>
      <c r="D109" s="138">
        <v>429192.63999999996</v>
      </c>
      <c r="E109" s="138">
        <v>314492.408</v>
      </c>
      <c r="F109" s="138">
        <v>338302.04</v>
      </c>
      <c r="G109" s="138">
        <f t="shared" ref="G109:G128" si="4">SUM(D109:F109)</f>
        <v>1081987.088</v>
      </c>
    </row>
    <row r="110" spans="2:7">
      <c r="B110" s="274"/>
      <c r="C110" s="138" t="s">
        <v>64</v>
      </c>
      <c r="D110" s="138">
        <v>107298.15999999999</v>
      </c>
      <c r="E110" s="138">
        <v>78623.101999999999</v>
      </c>
      <c r="F110" s="138">
        <v>84575.51</v>
      </c>
      <c r="G110" s="138">
        <f t="shared" si="4"/>
        <v>270496.772</v>
      </c>
    </row>
    <row r="111" spans="2:7">
      <c r="B111" s="274"/>
      <c r="C111" s="138" t="s">
        <v>65</v>
      </c>
      <c r="D111" s="138"/>
      <c r="E111" s="138"/>
      <c r="F111" s="138"/>
      <c r="G111" s="138">
        <f t="shared" si="4"/>
        <v>0</v>
      </c>
    </row>
    <row r="112" spans="2:7">
      <c r="B112" s="274"/>
      <c r="C112" s="138" t="s">
        <v>66</v>
      </c>
      <c r="D112" s="138"/>
      <c r="E112" s="138"/>
      <c r="F112" s="138"/>
      <c r="G112" s="138">
        <f t="shared" si="4"/>
        <v>0</v>
      </c>
    </row>
    <row r="113" spans="2:7">
      <c r="B113" s="274"/>
      <c r="C113" s="138" t="s">
        <v>67</v>
      </c>
      <c r="D113" s="138"/>
      <c r="E113" s="138"/>
      <c r="F113" s="138"/>
      <c r="G113" s="138">
        <f t="shared" si="4"/>
        <v>0</v>
      </c>
    </row>
    <row r="114" spans="2:7">
      <c r="B114" s="274"/>
      <c r="C114" s="138" t="s">
        <v>68</v>
      </c>
      <c r="D114" s="138"/>
      <c r="E114" s="138"/>
      <c r="F114" s="138"/>
      <c r="G114" s="138">
        <f t="shared" si="4"/>
        <v>0</v>
      </c>
    </row>
    <row r="115" spans="2:7">
      <c r="B115" s="274"/>
      <c r="C115" s="138" t="s">
        <v>69</v>
      </c>
      <c r="D115" s="138">
        <v>75387.110000000015</v>
      </c>
      <c r="E115" s="138">
        <v>98772.96</v>
      </c>
      <c r="F115" s="138">
        <v>36349.56</v>
      </c>
      <c r="G115" s="138">
        <f t="shared" si="4"/>
        <v>210509.63</v>
      </c>
    </row>
    <row r="116" spans="2:7">
      <c r="B116" s="274"/>
      <c r="C116" s="138" t="s">
        <v>70</v>
      </c>
      <c r="D116" s="138">
        <v>153183.5</v>
      </c>
      <c r="E116" s="138">
        <v>124989.85</v>
      </c>
      <c r="F116" s="138">
        <v>149596.30000000002</v>
      </c>
      <c r="G116" s="138">
        <f t="shared" si="4"/>
        <v>427769.65</v>
      </c>
    </row>
    <row r="117" spans="2:7">
      <c r="B117" s="274"/>
      <c r="C117" s="138" t="s">
        <v>71</v>
      </c>
      <c r="D117" s="138"/>
      <c r="E117" s="138"/>
      <c r="F117" s="138"/>
      <c r="G117" s="138">
        <f t="shared" si="4"/>
        <v>0</v>
      </c>
    </row>
    <row r="118" spans="2:7">
      <c r="B118" s="274"/>
      <c r="C118" s="138" t="s">
        <v>72</v>
      </c>
      <c r="D118" s="138">
        <v>1416.8</v>
      </c>
      <c r="E118" s="138">
        <v>21164</v>
      </c>
      <c r="F118" s="138">
        <v>506</v>
      </c>
      <c r="G118" s="138">
        <f t="shared" si="4"/>
        <v>23086.799999999999</v>
      </c>
    </row>
    <row r="119" spans="2:7">
      <c r="B119" s="274"/>
      <c r="C119" s="138" t="s">
        <v>73</v>
      </c>
      <c r="D119" s="138"/>
      <c r="E119" s="138"/>
      <c r="F119" s="138"/>
      <c r="G119" s="138">
        <f t="shared" si="4"/>
        <v>0</v>
      </c>
    </row>
    <row r="120" spans="2:7">
      <c r="B120" s="275" t="s">
        <v>74</v>
      </c>
      <c r="C120" s="138" t="s">
        <v>75</v>
      </c>
      <c r="D120" s="138">
        <v>133877.30250000002</v>
      </c>
      <c r="E120" s="138">
        <v>171766.3725</v>
      </c>
      <c r="F120" s="138">
        <v>97358.422500000015</v>
      </c>
      <c r="G120" s="138">
        <f t="shared" si="4"/>
        <v>403002.09750000003</v>
      </c>
    </row>
    <row r="121" spans="2:7">
      <c r="B121" s="275"/>
      <c r="C121" s="138" t="s">
        <v>69</v>
      </c>
      <c r="D121" s="138"/>
      <c r="E121" s="138"/>
      <c r="F121" s="138"/>
      <c r="G121" s="138">
        <f t="shared" si="4"/>
        <v>0</v>
      </c>
    </row>
    <row r="122" spans="2:7">
      <c r="B122" s="275"/>
      <c r="C122" s="138" t="s">
        <v>92</v>
      </c>
      <c r="D122" s="138">
        <v>208824.48999999993</v>
      </c>
      <c r="E122" s="138">
        <v>159191.37000000002</v>
      </c>
      <c r="F122" s="138">
        <v>78624.39</v>
      </c>
      <c r="G122" s="138">
        <f t="shared" si="4"/>
        <v>446640.25</v>
      </c>
    </row>
    <row r="123" spans="2:7">
      <c r="B123" s="275"/>
      <c r="C123" s="138" t="s">
        <v>77</v>
      </c>
      <c r="D123" s="138"/>
      <c r="E123" s="138"/>
      <c r="F123" s="138"/>
      <c r="G123" s="138">
        <f t="shared" si="4"/>
        <v>0</v>
      </c>
    </row>
    <row r="124" spans="2:7">
      <c r="B124" s="275"/>
      <c r="C124" s="138" t="s">
        <v>78</v>
      </c>
      <c r="D124" s="138">
        <v>0</v>
      </c>
      <c r="E124" s="138">
        <v>0</v>
      </c>
      <c r="F124" s="138">
        <v>0</v>
      </c>
      <c r="G124" s="138">
        <f t="shared" si="4"/>
        <v>0</v>
      </c>
    </row>
    <row r="125" spans="2:7">
      <c r="B125" s="275"/>
      <c r="C125" s="138" t="s">
        <v>79</v>
      </c>
      <c r="D125" s="138"/>
      <c r="E125" s="138"/>
      <c r="F125" s="138"/>
      <c r="G125" s="138">
        <f t="shared" si="4"/>
        <v>0</v>
      </c>
    </row>
    <row r="126" spans="2:7">
      <c r="B126" s="275"/>
      <c r="C126" s="138" t="s">
        <v>80</v>
      </c>
      <c r="D126" s="138">
        <v>25724.32</v>
      </c>
      <c r="E126" s="138">
        <v>26507.670000000002</v>
      </c>
      <c r="F126" s="138">
        <v>11962.8</v>
      </c>
      <c r="G126" s="138">
        <f t="shared" si="4"/>
        <v>64194.790000000008</v>
      </c>
    </row>
    <row r="127" spans="2:7">
      <c r="B127" s="275"/>
      <c r="C127" s="138" t="s">
        <v>72</v>
      </c>
      <c r="D127" s="138"/>
      <c r="E127" s="137"/>
      <c r="F127" s="138"/>
      <c r="G127" s="138">
        <f t="shared" si="4"/>
        <v>0</v>
      </c>
    </row>
    <row r="128" spans="2:7" ht="17.25" thickBot="1">
      <c r="B128" s="275"/>
      <c r="C128" s="138" t="s">
        <v>73</v>
      </c>
      <c r="D128" s="138"/>
      <c r="E128" s="137"/>
      <c r="F128" s="137"/>
      <c r="G128" s="138">
        <f t="shared" si="4"/>
        <v>0</v>
      </c>
    </row>
    <row r="129" spans="2:7" ht="17.25" thickBot="1">
      <c r="B129" s="15"/>
      <c r="C129" s="15"/>
      <c r="D129" s="15"/>
      <c r="E129" s="15"/>
      <c r="F129" s="132" t="s">
        <v>96</v>
      </c>
      <c r="G129" s="132">
        <f>SUM(G108:G128)</f>
        <v>3062021.11</v>
      </c>
    </row>
    <row r="130" spans="2:7">
      <c r="B130" s="15"/>
      <c r="C130" s="15"/>
      <c r="D130" s="15"/>
      <c r="E130" s="15"/>
      <c r="F130" s="15"/>
      <c r="G130" s="15"/>
    </row>
    <row r="131" spans="2:7">
      <c r="B131" s="14" t="s">
        <v>97</v>
      </c>
      <c r="C131" s="15"/>
      <c r="D131" s="15"/>
      <c r="E131" s="15"/>
      <c r="F131" s="15"/>
      <c r="G131" s="15"/>
    </row>
    <row r="132" spans="2:7" ht="30">
      <c r="B132" s="129"/>
      <c r="C132" s="129" t="s">
        <v>81</v>
      </c>
      <c r="D132" s="16">
        <v>45505</v>
      </c>
      <c r="E132" s="16">
        <v>45536</v>
      </c>
      <c r="F132" s="16">
        <v>45566</v>
      </c>
      <c r="G132" s="130" t="s">
        <v>337</v>
      </c>
    </row>
    <row r="133" spans="2:7">
      <c r="B133" s="137"/>
      <c r="C133" s="138" t="s">
        <v>87</v>
      </c>
      <c r="D133" s="138">
        <f>SUM(D108:D128)</f>
        <v>1179530.0900000001</v>
      </c>
      <c r="E133" s="138">
        <f t="shared" ref="E133:F133" si="5">SUM(E108:E128)</f>
        <v>1052763.19</v>
      </c>
      <c r="F133" s="138">
        <f t="shared" si="5"/>
        <v>829727.83000000007</v>
      </c>
      <c r="G133" s="131">
        <f>SUM(D133:F133)</f>
        <v>3062021.1100000003</v>
      </c>
    </row>
    <row r="134" spans="2:7">
      <c r="B134" s="138" t="s">
        <v>88</v>
      </c>
      <c r="C134" s="138"/>
      <c r="D134" s="138"/>
      <c r="E134" s="138"/>
      <c r="F134" s="138"/>
      <c r="G134" s="131">
        <f t="shared" ref="G134:G143" si="6">SUM(D134:F134)</f>
        <v>0</v>
      </c>
    </row>
    <row r="135" spans="2:7">
      <c r="B135" s="138" t="s">
        <v>333</v>
      </c>
      <c r="C135" s="138" t="s">
        <v>338</v>
      </c>
      <c r="D135" s="217">
        <v>1621.5359999999998</v>
      </c>
      <c r="E135" s="138"/>
      <c r="F135" s="138"/>
      <c r="G135" s="131">
        <f t="shared" si="6"/>
        <v>1621.5359999999998</v>
      </c>
    </row>
    <row r="136" spans="2:7">
      <c r="B136" s="138" t="s">
        <v>333</v>
      </c>
      <c r="C136" s="138" t="s">
        <v>339</v>
      </c>
      <c r="D136" s="217">
        <v>10434.0525</v>
      </c>
      <c r="E136" s="138"/>
      <c r="F136" s="138"/>
      <c r="G136" s="131">
        <f t="shared" si="6"/>
        <v>10434.0525</v>
      </c>
    </row>
    <row r="137" spans="2:7">
      <c r="B137" s="138" t="s">
        <v>333</v>
      </c>
      <c r="C137" s="138" t="s">
        <v>340</v>
      </c>
      <c r="D137" s="217">
        <v>7304.3744999999999</v>
      </c>
      <c r="E137" s="138"/>
      <c r="F137" s="138"/>
      <c r="G137" s="131">
        <f t="shared" si="6"/>
        <v>7304.3744999999999</v>
      </c>
    </row>
    <row r="138" spans="2:7">
      <c r="B138" s="138" t="s">
        <v>333</v>
      </c>
      <c r="C138" s="138" t="s">
        <v>341</v>
      </c>
      <c r="D138" s="217">
        <v>4987.4504999999999</v>
      </c>
      <c r="E138" s="138"/>
      <c r="F138" s="138"/>
      <c r="G138" s="131">
        <f t="shared" si="6"/>
        <v>4987.4504999999999</v>
      </c>
    </row>
    <row r="139" spans="2:7">
      <c r="B139" s="138" t="s">
        <v>333</v>
      </c>
      <c r="C139" s="138" t="s">
        <v>342</v>
      </c>
      <c r="D139" s="217">
        <v>577.9799999999999</v>
      </c>
      <c r="E139" s="138"/>
      <c r="F139" s="138"/>
      <c r="G139" s="131">
        <f t="shared" si="6"/>
        <v>577.9799999999999</v>
      </c>
    </row>
    <row r="140" spans="2:7">
      <c r="B140" s="138" t="s">
        <v>333</v>
      </c>
      <c r="C140" s="138" t="s">
        <v>343</v>
      </c>
      <c r="D140" s="217">
        <v>15077.9025</v>
      </c>
      <c r="E140" s="138"/>
      <c r="F140" s="138"/>
      <c r="G140" s="131">
        <f t="shared" si="6"/>
        <v>15077.9025</v>
      </c>
    </row>
    <row r="141" spans="2:7">
      <c r="B141" s="138" t="s">
        <v>333</v>
      </c>
      <c r="C141" s="138" t="s">
        <v>344</v>
      </c>
      <c r="D141" s="138">
        <v>9335.7630000000008</v>
      </c>
      <c r="E141" s="138"/>
      <c r="F141" s="138"/>
      <c r="G141" s="131">
        <f t="shared" si="6"/>
        <v>9335.7630000000008</v>
      </c>
    </row>
    <row r="142" spans="2:7">
      <c r="B142" s="138" t="s">
        <v>333</v>
      </c>
      <c r="C142" s="138" t="s">
        <v>345</v>
      </c>
      <c r="D142" s="138">
        <v>8096.4629999999997</v>
      </c>
      <c r="E142" s="138"/>
      <c r="F142" s="138"/>
      <c r="G142" s="131">
        <f t="shared" si="6"/>
        <v>8096.4629999999997</v>
      </c>
    </row>
    <row r="143" spans="2:7">
      <c r="B143" s="138" t="s">
        <v>333</v>
      </c>
      <c r="C143" s="138" t="s">
        <v>346</v>
      </c>
      <c r="D143" s="138">
        <v>8204.5499999999993</v>
      </c>
      <c r="E143" s="138"/>
      <c r="F143" s="138"/>
      <c r="G143" s="131">
        <f t="shared" si="6"/>
        <v>8204.5499999999993</v>
      </c>
    </row>
    <row r="144" spans="2:7" ht="17.25" thickBot="1">
      <c r="B144" s="137"/>
      <c r="C144" s="138"/>
      <c r="D144" s="138"/>
      <c r="E144" s="138"/>
      <c r="F144" s="138"/>
      <c r="G144" s="131"/>
    </row>
    <row r="145" spans="2:7" ht="17.25" thickBot="1">
      <c r="B145" s="15"/>
      <c r="C145" s="15"/>
      <c r="D145" s="15"/>
      <c r="E145" s="15"/>
      <c r="F145" s="132" t="s">
        <v>96</v>
      </c>
      <c r="G145" s="133">
        <f>G133-G134+G135+G136+G137+G138+G139+G140+G141+G142+G143</f>
        <v>3127661.1819999996</v>
      </c>
    </row>
  </sheetData>
  <mergeCells count="10">
    <mergeCell ref="B5:B16"/>
    <mergeCell ref="B17:B25"/>
    <mergeCell ref="C37:F37"/>
    <mergeCell ref="B41:B52"/>
    <mergeCell ref="B53:B61"/>
    <mergeCell ref="B77:B88"/>
    <mergeCell ref="B89:B97"/>
    <mergeCell ref="B108:B119"/>
    <mergeCell ref="B120:B128"/>
    <mergeCell ref="C72:F72"/>
  </mergeCells>
  <phoneticPr fontId="4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>
    <tabColor rgb="FFFF0000"/>
    <pageSetUpPr fitToPage="1"/>
  </sheetPr>
  <dimension ref="A1:BO148"/>
  <sheetViews>
    <sheetView zoomScaleNormal="100" workbookViewId="0">
      <pane xSplit="13" ySplit="2" topLeftCell="AI3" activePane="bottomRight" state="frozen"/>
      <selection pane="topRight" activeCell="N1" sqref="N1"/>
      <selection pane="bottomLeft" activeCell="A3" sqref="A3"/>
      <selection pane="bottomRight" activeCell="K31" sqref="K31"/>
    </sheetView>
  </sheetViews>
  <sheetFormatPr defaultColWidth="9" defaultRowHeight="15"/>
  <cols>
    <col min="1" max="1" width="5.75" style="101" bestFit="1" customWidth="1"/>
    <col min="2" max="2" width="11.75" style="1" hidden="1" customWidth="1"/>
    <col min="3" max="3" width="9" style="2" hidden="1" customWidth="1"/>
    <col min="4" max="4" width="20" style="1" hidden="1" customWidth="1"/>
    <col min="5" max="5" width="11.375" style="2" hidden="1" customWidth="1"/>
    <col min="6" max="6" width="12.375" style="1" hidden="1" customWidth="1"/>
    <col min="7" max="7" width="10.25" style="33" hidden="1" customWidth="1"/>
    <col min="8" max="8" width="20.25" style="1" customWidth="1"/>
    <col min="9" max="9" width="10.125" style="1" customWidth="1"/>
    <col min="10" max="10" width="9.75" style="33" bestFit="1" customWidth="1"/>
    <col min="11" max="11" width="28.25" style="1" customWidth="1"/>
    <col min="12" max="12" width="9.375" style="2" customWidth="1"/>
    <col min="13" max="13" width="11.75" style="1" customWidth="1"/>
    <col min="14" max="14" width="9.75" style="1" customWidth="1"/>
    <col min="15" max="15" width="10.25" style="10" customWidth="1"/>
    <col min="16" max="27" width="8.75" style="10" customWidth="1"/>
    <col min="28" max="28" width="11.375" style="10" customWidth="1"/>
    <col min="29" max="29" width="7.375" style="10" customWidth="1"/>
    <col min="30" max="31" width="7.375" style="3" customWidth="1"/>
    <col min="32" max="40" width="7.375" style="1" customWidth="1"/>
    <col min="41" max="41" width="8.75" style="5" customWidth="1"/>
    <col min="42" max="42" width="12" style="120" customWidth="1"/>
    <col min="43" max="43" width="8.75" style="5" customWidth="1"/>
    <col min="44" max="44" width="12" style="120" customWidth="1"/>
    <col min="45" max="45" width="8.75" style="5" customWidth="1"/>
    <col min="46" max="46" width="12" style="120" customWidth="1"/>
    <col min="47" max="47" width="7.375" style="1" customWidth="1"/>
    <col min="48" max="48" width="12" style="121" customWidth="1"/>
    <col min="49" max="49" width="8.75" style="1" customWidth="1"/>
    <col min="50" max="50" width="12" style="121" customWidth="1"/>
    <col min="51" max="51" width="7.375" style="1" customWidth="1"/>
    <col min="52" max="52" width="12.125" style="121" customWidth="1"/>
    <col min="53" max="53" width="7.75" style="1" customWidth="1"/>
    <col min="54" max="54" width="10.75" style="125" customWidth="1"/>
    <col min="55" max="55" width="7.75" style="1" bestFit="1" customWidth="1"/>
    <col min="56" max="56" width="14" style="125" bestFit="1" customWidth="1"/>
    <col min="57" max="57" width="7.375" style="1" customWidth="1"/>
    <col min="58" max="58" width="14" style="125" customWidth="1"/>
    <col min="59" max="59" width="7.75" style="1" customWidth="1"/>
    <col min="60" max="60" width="14" style="125" customWidth="1"/>
    <col min="61" max="61" width="7.375" style="1" customWidth="1"/>
    <col min="62" max="62" width="11.75" style="125" customWidth="1"/>
    <col min="63" max="63" width="7.375" style="1" customWidth="1"/>
    <col min="64" max="64" width="15.75" style="125" customWidth="1"/>
    <col min="65" max="65" width="12.75" style="220" customWidth="1"/>
    <col min="66" max="66" width="9.125" style="1" customWidth="1"/>
    <col min="67" max="16384" width="9" style="1"/>
  </cols>
  <sheetData>
    <row r="1" spans="1:67" s="2" customFormat="1" ht="23.25" customHeight="1">
      <c r="A1" s="100"/>
      <c r="B1" s="99"/>
      <c r="C1" s="17"/>
      <c r="D1" s="17" t="s">
        <v>99</v>
      </c>
      <c r="E1" s="13" t="s">
        <v>347</v>
      </c>
      <c r="F1" s="7" t="s">
        <v>101</v>
      </c>
      <c r="G1" s="98" t="s">
        <v>102</v>
      </c>
      <c r="H1" s="178" t="s">
        <v>103</v>
      </c>
      <c r="I1" s="12" t="s">
        <v>348</v>
      </c>
      <c r="J1" s="97" t="s">
        <v>105</v>
      </c>
      <c r="K1" s="12" t="s">
        <v>105</v>
      </c>
      <c r="L1" s="216" t="s">
        <v>106</v>
      </c>
      <c r="M1" s="12" t="s">
        <v>107</v>
      </c>
      <c r="N1" s="12"/>
      <c r="O1" s="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4">
        <f t="shared" ref="AC1:AN1" si="0">SUM(AC3:AC148)</f>
        <v>271.90999999999997</v>
      </c>
      <c r="AD1" s="4">
        <f t="shared" si="0"/>
        <v>291.5</v>
      </c>
      <c r="AE1" s="4">
        <f t="shared" si="0"/>
        <v>291.5</v>
      </c>
      <c r="AF1" s="4">
        <f t="shared" si="0"/>
        <v>295.10000000000002</v>
      </c>
      <c r="AG1" s="4">
        <f t="shared" si="0"/>
        <v>297.05</v>
      </c>
      <c r="AH1" s="4">
        <f t="shared" si="0"/>
        <v>304.75</v>
      </c>
      <c r="AI1" s="4">
        <f t="shared" si="0"/>
        <v>337.33</v>
      </c>
      <c r="AJ1" s="4">
        <f t="shared" si="0"/>
        <v>337.33</v>
      </c>
      <c r="AK1" s="4">
        <f t="shared" si="0"/>
        <v>337.33</v>
      </c>
      <c r="AL1" s="4">
        <f t="shared" si="0"/>
        <v>339.65</v>
      </c>
      <c r="AM1" s="4">
        <f t="shared" si="0"/>
        <v>339.50999999999993</v>
      </c>
      <c r="AN1" s="4">
        <f t="shared" si="0"/>
        <v>339.50999999999993</v>
      </c>
      <c r="AO1" s="116"/>
      <c r="AP1" s="114">
        <f>SUM(AP3:AP1036)</f>
        <v>1067282.3900000001</v>
      </c>
      <c r="AQ1" s="114"/>
      <c r="AR1" s="114">
        <f>SUM(AR3:AR1036)</f>
        <v>1488022.5500000003</v>
      </c>
      <c r="AS1" s="114"/>
      <c r="AT1" s="114">
        <f>SUM(AT3:AT1036)</f>
        <v>1241429.55</v>
      </c>
      <c r="AU1" s="114"/>
      <c r="AV1" s="114">
        <f>SUM(AV3:AV1036)</f>
        <v>1004453.17</v>
      </c>
      <c r="AW1" s="114"/>
      <c r="AX1" s="114">
        <f>SUM(AX3:AX1036)</f>
        <v>1603764.84</v>
      </c>
      <c r="AY1" s="114"/>
      <c r="AZ1" s="114">
        <f>SUM(AZ3:AZ1036)</f>
        <v>1390473.9700000002</v>
      </c>
      <c r="BA1" s="114"/>
      <c r="BB1" s="114">
        <f>SUM(BB3:BB1036)</f>
        <v>1367766.6900000002</v>
      </c>
      <c r="BC1" s="114"/>
      <c r="BD1" s="114">
        <f>SUM(BD3:BD1036)</f>
        <v>1210926.6299999999</v>
      </c>
      <c r="BE1" s="114"/>
      <c r="BF1" s="114">
        <f>SUM(BF3:BF1036)</f>
        <v>1197384.3999999997</v>
      </c>
      <c r="BG1" s="114"/>
      <c r="BH1" s="114">
        <f>SUM(BH3:BH1036)</f>
        <v>1179530.0899999996</v>
      </c>
      <c r="BI1" s="114"/>
      <c r="BJ1" s="114">
        <f>SUM(BJ3:BJ1036)</f>
        <v>1052763.19</v>
      </c>
      <c r="BK1" s="114"/>
      <c r="BL1" s="114">
        <f>SUM(BL3:BL1036)</f>
        <v>829727.83000000007</v>
      </c>
      <c r="BM1" s="4"/>
      <c r="BO1" s="12" t="s">
        <v>349</v>
      </c>
    </row>
    <row r="2" spans="1:67" s="6" customFormat="1" ht="60">
      <c r="A2" s="156" t="s">
        <v>350</v>
      </c>
      <c r="B2" s="171" t="s">
        <v>109</v>
      </c>
      <c r="C2" s="176" t="s">
        <v>110</v>
      </c>
      <c r="D2" s="172" t="s">
        <v>111</v>
      </c>
      <c r="E2" s="172" t="s">
        <v>59</v>
      </c>
      <c r="F2" s="172" t="s">
        <v>112</v>
      </c>
      <c r="G2" s="200" t="s">
        <v>113</v>
      </c>
      <c r="H2" s="172" t="s">
        <v>114</v>
      </c>
      <c r="I2" s="157" t="s">
        <v>115</v>
      </c>
      <c r="J2" s="158" t="s">
        <v>116</v>
      </c>
      <c r="K2" s="157" t="s">
        <v>117</v>
      </c>
      <c r="L2" s="157" t="s">
        <v>118</v>
      </c>
      <c r="M2" s="177" t="s">
        <v>119</v>
      </c>
      <c r="N2" s="202" t="s">
        <v>351</v>
      </c>
      <c r="O2" s="159" t="s">
        <v>120</v>
      </c>
      <c r="P2" s="187" t="s">
        <v>121</v>
      </c>
      <c r="Q2" s="160" t="s">
        <v>122</v>
      </c>
      <c r="R2" s="160" t="s">
        <v>123</v>
      </c>
      <c r="S2" s="160" t="s">
        <v>124</v>
      </c>
      <c r="T2" s="160" t="s">
        <v>125</v>
      </c>
      <c r="U2" s="160" t="s">
        <v>126</v>
      </c>
      <c r="V2" s="160" t="s">
        <v>127</v>
      </c>
      <c r="W2" s="160" t="s">
        <v>128</v>
      </c>
      <c r="X2" s="160" t="s">
        <v>129</v>
      </c>
      <c r="Y2" s="160" t="s">
        <v>130</v>
      </c>
      <c r="Z2" s="160" t="s">
        <v>131</v>
      </c>
      <c r="AA2" s="160" t="s">
        <v>132</v>
      </c>
      <c r="AB2" s="201" t="s">
        <v>133</v>
      </c>
      <c r="AC2" s="161" t="s">
        <v>134</v>
      </c>
      <c r="AD2" s="161" t="s">
        <v>135</v>
      </c>
      <c r="AE2" s="161" t="s">
        <v>136</v>
      </c>
      <c r="AF2" s="161" t="s">
        <v>137</v>
      </c>
      <c r="AG2" s="161" t="s">
        <v>138</v>
      </c>
      <c r="AH2" s="161" t="s">
        <v>139</v>
      </c>
      <c r="AI2" s="161" t="s">
        <v>140</v>
      </c>
      <c r="AJ2" s="161" t="s">
        <v>141</v>
      </c>
      <c r="AK2" s="161" t="s">
        <v>142</v>
      </c>
      <c r="AL2" s="161" t="s">
        <v>143</v>
      </c>
      <c r="AM2" s="161" t="s">
        <v>144</v>
      </c>
      <c r="AN2" s="161" t="s">
        <v>145</v>
      </c>
      <c r="AO2" s="162" t="s">
        <v>146</v>
      </c>
      <c r="AP2" s="163" t="s">
        <v>147</v>
      </c>
      <c r="AQ2" s="162" t="s">
        <v>148</v>
      </c>
      <c r="AR2" s="163" t="s">
        <v>149</v>
      </c>
      <c r="AS2" s="163" t="s">
        <v>150</v>
      </c>
      <c r="AT2" s="188" t="s">
        <v>151</v>
      </c>
      <c r="AU2" s="196" t="s">
        <v>152</v>
      </c>
      <c r="AV2" s="197" t="s">
        <v>153</v>
      </c>
      <c r="AW2" s="198" t="s">
        <v>154</v>
      </c>
      <c r="AX2" s="197" t="s">
        <v>155</v>
      </c>
      <c r="AY2" s="197" t="s">
        <v>156</v>
      </c>
      <c r="AZ2" s="199" t="s">
        <v>157</v>
      </c>
      <c r="BA2" s="192" t="s">
        <v>158</v>
      </c>
      <c r="BB2" s="193" t="s">
        <v>159</v>
      </c>
      <c r="BC2" s="194" t="s">
        <v>160</v>
      </c>
      <c r="BD2" s="193" t="s">
        <v>161</v>
      </c>
      <c r="BE2" s="193" t="s">
        <v>162</v>
      </c>
      <c r="BF2" s="195" t="s">
        <v>163</v>
      </c>
      <c r="BG2" s="189" t="s">
        <v>164</v>
      </c>
      <c r="BH2" s="190" t="s">
        <v>165</v>
      </c>
      <c r="BI2" s="191" t="s">
        <v>166</v>
      </c>
      <c r="BJ2" s="190" t="s">
        <v>167</v>
      </c>
      <c r="BK2" s="190" t="s">
        <v>168</v>
      </c>
      <c r="BL2" s="190" t="s">
        <v>169</v>
      </c>
      <c r="BM2" s="237" t="s">
        <v>170</v>
      </c>
      <c r="BN2" s="170" t="s">
        <v>171</v>
      </c>
      <c r="BO2" s="170" t="s">
        <v>352</v>
      </c>
    </row>
    <row r="3" spans="1:67">
      <c r="A3" s="112" t="s">
        <v>353</v>
      </c>
      <c r="B3" s="106"/>
      <c r="C3" s="66" t="s">
        <v>172</v>
      </c>
      <c r="D3" s="283" t="s">
        <v>173</v>
      </c>
      <c r="E3" s="175" t="s">
        <v>174</v>
      </c>
      <c r="F3" s="289">
        <v>200</v>
      </c>
      <c r="G3" s="65"/>
      <c r="H3" s="91"/>
      <c r="I3" s="91"/>
      <c r="J3" s="65"/>
      <c r="K3" s="91"/>
      <c r="L3" s="90"/>
      <c r="M3" s="89"/>
      <c r="N3" s="89"/>
      <c r="O3" s="89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87"/>
      <c r="AB3" s="87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151"/>
      <c r="AO3" s="22"/>
      <c r="AP3" s="117">
        <f>AC3*AO3</f>
        <v>0</v>
      </c>
      <c r="AQ3" s="22"/>
      <c r="AR3" s="117">
        <f>AD3*AQ3</f>
        <v>0</v>
      </c>
      <c r="AS3" s="22"/>
      <c r="AT3" s="126">
        <f>AE3*AS3</f>
        <v>0</v>
      </c>
      <c r="AU3" s="22"/>
      <c r="AV3" s="117">
        <f>AF3*AU3</f>
        <v>0</v>
      </c>
      <c r="AW3" s="22"/>
      <c r="AX3" s="117">
        <f>AG3*AW3</f>
        <v>0</v>
      </c>
      <c r="AY3" s="22"/>
      <c r="AZ3" s="126">
        <f>AH3*AY3</f>
        <v>0</v>
      </c>
      <c r="BA3" s="22"/>
      <c r="BB3" s="117">
        <f>AI3*BA3</f>
        <v>0</v>
      </c>
      <c r="BC3" s="22"/>
      <c r="BD3" s="117">
        <f>AJ3*BC3</f>
        <v>0</v>
      </c>
      <c r="BE3" s="22"/>
      <c r="BF3" s="126">
        <f>AK3*BE3</f>
        <v>0</v>
      </c>
      <c r="BG3" s="22"/>
      <c r="BH3" s="117">
        <f>AL3*BG3</f>
        <v>0</v>
      </c>
      <c r="BI3" s="22"/>
      <c r="BJ3" s="117">
        <f>AM3*BI3</f>
        <v>0</v>
      </c>
      <c r="BK3" s="22"/>
      <c r="BL3" s="126">
        <f>AN3*BK3</f>
        <v>0</v>
      </c>
    </row>
    <row r="4" spans="1:67">
      <c r="A4" s="112" t="s">
        <v>259</v>
      </c>
      <c r="B4" s="106"/>
      <c r="C4" s="66" t="s">
        <v>175</v>
      </c>
      <c r="D4" s="284"/>
      <c r="E4" s="136" t="s">
        <v>176</v>
      </c>
      <c r="F4" s="289"/>
      <c r="G4" s="56"/>
      <c r="H4" s="96"/>
      <c r="I4" s="96"/>
      <c r="J4" s="56"/>
      <c r="K4" s="96"/>
      <c r="L4" s="95"/>
      <c r="M4" s="94"/>
      <c r="N4" s="94"/>
      <c r="O4" s="94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92"/>
      <c r="AB4" s="92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150"/>
      <c r="AO4" s="23"/>
      <c r="AP4" s="118">
        <f t="shared" ref="AP4:AP100" si="1">AC4*AO4</f>
        <v>0</v>
      </c>
      <c r="AQ4" s="23"/>
      <c r="AR4" s="118">
        <f t="shared" ref="AR4:AR83" si="2">AD4*AQ4</f>
        <v>0</v>
      </c>
      <c r="AS4" s="23"/>
      <c r="AT4" s="127">
        <f t="shared" ref="AT4:AT83" si="3">AE4*AS4</f>
        <v>0</v>
      </c>
      <c r="AU4" s="23"/>
      <c r="AV4" s="118">
        <f t="shared" ref="AV4:AV100" si="4">AF4*AU4</f>
        <v>0</v>
      </c>
      <c r="AW4" s="23"/>
      <c r="AX4" s="118">
        <f t="shared" ref="AX4:AX100" si="5">AG4*AW4</f>
        <v>0</v>
      </c>
      <c r="AY4" s="23"/>
      <c r="AZ4" s="127">
        <f t="shared" ref="AZ4:AZ84" si="6">AH4*AY4</f>
        <v>0</v>
      </c>
      <c r="BA4" s="23"/>
      <c r="BB4" s="118">
        <f t="shared" ref="BB4:BB77" si="7">AI4*BA4</f>
        <v>0</v>
      </c>
      <c r="BC4" s="23"/>
      <c r="BD4" s="118">
        <f t="shared" ref="BD4:BD77" si="8">AJ4*BC4</f>
        <v>0</v>
      </c>
      <c r="BE4" s="23"/>
      <c r="BF4" s="127">
        <f t="shared" ref="BF4:BF77" si="9">AK4*BE4</f>
        <v>0</v>
      </c>
      <c r="BG4" s="23"/>
      <c r="BH4" s="118">
        <f t="shared" ref="BH4:BH77" si="10">AL4*BG4</f>
        <v>0</v>
      </c>
      <c r="BI4" s="23"/>
      <c r="BJ4" s="118">
        <f t="shared" ref="BJ4:BJ77" si="11">AM4*BI4</f>
        <v>0</v>
      </c>
      <c r="BK4" s="23"/>
      <c r="BL4" s="127">
        <f t="shared" ref="BL4:BL77" si="12">AN4*BK4</f>
        <v>0</v>
      </c>
    </row>
    <row r="5" spans="1:67">
      <c r="A5" s="112" t="s">
        <v>259</v>
      </c>
      <c r="B5" s="106" t="s">
        <v>354</v>
      </c>
      <c r="C5" s="66" t="s">
        <v>175</v>
      </c>
      <c r="D5" s="284"/>
      <c r="E5" s="136" t="s">
        <v>176</v>
      </c>
      <c r="F5" s="294" t="s">
        <v>355</v>
      </c>
      <c r="G5" s="65" t="s">
        <v>178</v>
      </c>
      <c r="H5" s="91" t="s">
        <v>356</v>
      </c>
      <c r="I5" s="91" t="s">
        <v>180</v>
      </c>
      <c r="J5" s="65">
        <v>13</v>
      </c>
      <c r="K5" s="91" t="s">
        <v>181</v>
      </c>
      <c r="L5" s="90" t="s">
        <v>182</v>
      </c>
      <c r="M5" s="89" t="s">
        <v>183</v>
      </c>
      <c r="N5" s="89">
        <v>3.25</v>
      </c>
      <c r="O5" s="89">
        <v>4.4000000000000004</v>
      </c>
      <c r="P5" s="78">
        <v>4.4000000000000004</v>
      </c>
      <c r="Q5" s="78">
        <v>4.4000000000000004</v>
      </c>
      <c r="R5" s="78">
        <v>4.4000000000000004</v>
      </c>
      <c r="S5" s="78">
        <v>4.4000000000000004</v>
      </c>
      <c r="T5" s="78">
        <v>4.4000000000000004</v>
      </c>
      <c r="U5" s="78">
        <v>4.4000000000000004</v>
      </c>
      <c r="V5" s="78">
        <v>4.3099999999999996</v>
      </c>
      <c r="W5" s="78">
        <v>4.3099999999999996</v>
      </c>
      <c r="X5" s="78">
        <v>4.3099999999999996</v>
      </c>
      <c r="Y5" s="78">
        <v>4.3099999999999996</v>
      </c>
      <c r="Z5" s="78">
        <v>4.3099999999999996</v>
      </c>
      <c r="AA5" s="87">
        <v>4.3099999999999996</v>
      </c>
      <c r="AB5" s="87">
        <v>0.73</v>
      </c>
      <c r="AC5" s="78">
        <v>0.73</v>
      </c>
      <c r="AD5" s="78">
        <v>0.73</v>
      </c>
      <c r="AE5" s="78">
        <v>0.73</v>
      </c>
      <c r="AF5" s="78">
        <v>0.73</v>
      </c>
      <c r="AG5" s="78">
        <v>0.73</v>
      </c>
      <c r="AH5" s="78">
        <v>0.73</v>
      </c>
      <c r="AI5" s="78">
        <v>1.07</v>
      </c>
      <c r="AJ5" s="78">
        <v>1.07</v>
      </c>
      <c r="AK5" s="78">
        <v>1.07</v>
      </c>
      <c r="AL5" s="78">
        <v>1.07</v>
      </c>
      <c r="AM5" s="78">
        <v>1.07</v>
      </c>
      <c r="AN5" s="151">
        <v>1.07</v>
      </c>
      <c r="AO5" s="22">
        <v>3721</v>
      </c>
      <c r="AP5" s="117">
        <f t="shared" si="1"/>
        <v>2716.33</v>
      </c>
      <c r="AQ5" s="22">
        <v>2920</v>
      </c>
      <c r="AR5" s="117">
        <f t="shared" si="2"/>
        <v>2131.6</v>
      </c>
      <c r="AS5" s="22">
        <v>2440</v>
      </c>
      <c r="AT5" s="126">
        <f t="shared" si="3"/>
        <v>1781.2</v>
      </c>
      <c r="AU5" s="22">
        <v>2840</v>
      </c>
      <c r="AV5" s="117">
        <f t="shared" si="4"/>
        <v>2073.1999999999998</v>
      </c>
      <c r="AW5" s="22">
        <v>3580</v>
      </c>
      <c r="AX5" s="117">
        <f t="shared" si="5"/>
        <v>2613.4</v>
      </c>
      <c r="AY5" s="22">
        <v>3200</v>
      </c>
      <c r="AZ5" s="126">
        <f t="shared" si="6"/>
        <v>2336</v>
      </c>
      <c r="BA5" s="79">
        <v>6680</v>
      </c>
      <c r="BB5" s="117">
        <f t="shared" si="7"/>
        <v>7147.6</v>
      </c>
      <c r="BC5" s="79">
        <v>3760</v>
      </c>
      <c r="BD5" s="117">
        <f t="shared" si="8"/>
        <v>4023.2000000000003</v>
      </c>
      <c r="BE5" s="22">
        <v>2520</v>
      </c>
      <c r="BF5" s="126">
        <f t="shared" si="9"/>
        <v>2696.4</v>
      </c>
      <c r="BG5" s="79">
        <v>2100</v>
      </c>
      <c r="BH5" s="117">
        <f t="shared" si="10"/>
        <v>2247</v>
      </c>
      <c r="BI5" s="22">
        <v>2760</v>
      </c>
      <c r="BJ5" s="117">
        <f t="shared" si="11"/>
        <v>2953.2000000000003</v>
      </c>
      <c r="BK5" s="22">
        <v>3200</v>
      </c>
      <c r="BL5" s="126">
        <f t="shared" si="12"/>
        <v>3424</v>
      </c>
    </row>
    <row r="6" spans="1:67">
      <c r="A6" s="112" t="s">
        <v>259</v>
      </c>
      <c r="B6" s="106" t="s">
        <v>357</v>
      </c>
      <c r="C6" s="66" t="s">
        <v>175</v>
      </c>
      <c r="D6" s="284"/>
      <c r="E6" s="136" t="s">
        <v>176</v>
      </c>
      <c r="F6" s="295"/>
      <c r="G6" s="86" t="s">
        <v>178</v>
      </c>
      <c r="H6" s="85" t="s">
        <v>356</v>
      </c>
      <c r="I6" s="85" t="s">
        <v>184</v>
      </c>
      <c r="J6" s="86">
        <v>13</v>
      </c>
      <c r="K6" s="85" t="s">
        <v>181</v>
      </c>
      <c r="L6" s="84" t="s">
        <v>185</v>
      </c>
      <c r="M6" s="83" t="s">
        <v>186</v>
      </c>
      <c r="N6" s="83">
        <v>8.9499999999999993</v>
      </c>
      <c r="O6" s="83">
        <v>14.9</v>
      </c>
      <c r="P6" s="10">
        <v>14.9</v>
      </c>
      <c r="Q6" s="10">
        <v>14.9</v>
      </c>
      <c r="R6" s="10">
        <v>14.9</v>
      </c>
      <c r="S6" s="10">
        <v>14.9</v>
      </c>
      <c r="T6" s="10">
        <v>14.9</v>
      </c>
      <c r="U6" s="10">
        <v>14.9</v>
      </c>
      <c r="V6" s="10">
        <v>13.04</v>
      </c>
      <c r="W6" s="10">
        <v>13.04</v>
      </c>
      <c r="X6" s="10">
        <v>13.04</v>
      </c>
      <c r="Y6" s="10">
        <v>13.04</v>
      </c>
      <c r="Z6" s="10">
        <v>13.04</v>
      </c>
      <c r="AA6" s="81">
        <v>13.04</v>
      </c>
      <c r="AB6" s="81">
        <v>6.79</v>
      </c>
      <c r="AC6" s="10">
        <v>6.79</v>
      </c>
      <c r="AD6" s="10">
        <v>6.79</v>
      </c>
      <c r="AE6" s="10">
        <v>6.79</v>
      </c>
      <c r="AF6" s="10">
        <v>6.79</v>
      </c>
      <c r="AG6" s="10">
        <v>6.79</v>
      </c>
      <c r="AH6" s="10">
        <v>6.79</v>
      </c>
      <c r="AI6" s="10">
        <v>4.99</v>
      </c>
      <c r="AJ6" s="10">
        <v>4.99</v>
      </c>
      <c r="AK6" s="10">
        <v>4.99</v>
      </c>
      <c r="AL6" s="10">
        <v>4.99</v>
      </c>
      <c r="AM6" s="10">
        <v>4.99</v>
      </c>
      <c r="AN6" s="149">
        <v>4.99</v>
      </c>
      <c r="AO6" s="5">
        <v>3479</v>
      </c>
      <c r="AP6" s="118">
        <f t="shared" si="1"/>
        <v>23622.41</v>
      </c>
      <c r="AQ6" s="5">
        <v>1399</v>
      </c>
      <c r="AR6" s="118">
        <f t="shared" si="2"/>
        <v>9499.2100000000009</v>
      </c>
      <c r="AS6" s="5">
        <v>1039</v>
      </c>
      <c r="AT6" s="127">
        <f t="shared" si="3"/>
        <v>7054.81</v>
      </c>
      <c r="AU6" s="5">
        <v>759</v>
      </c>
      <c r="AV6" s="118">
        <f t="shared" si="4"/>
        <v>5153.6099999999997</v>
      </c>
      <c r="AW6" s="5">
        <v>1180</v>
      </c>
      <c r="AX6" s="118">
        <f t="shared" si="5"/>
        <v>8012.2</v>
      </c>
      <c r="AY6" s="5">
        <v>1720</v>
      </c>
      <c r="AZ6" s="127">
        <f t="shared" si="6"/>
        <v>11678.8</v>
      </c>
      <c r="BA6" s="105">
        <v>960</v>
      </c>
      <c r="BB6" s="118">
        <f t="shared" si="7"/>
        <v>4790.4000000000005</v>
      </c>
      <c r="BC6" s="105">
        <v>2518</v>
      </c>
      <c r="BD6" s="118">
        <f t="shared" si="8"/>
        <v>12564.82</v>
      </c>
      <c r="BE6" s="5">
        <v>1080</v>
      </c>
      <c r="BF6" s="127">
        <f t="shared" si="9"/>
        <v>5389.2</v>
      </c>
      <c r="BG6" s="105">
        <v>1100</v>
      </c>
      <c r="BH6" s="118">
        <f t="shared" si="10"/>
        <v>5489</v>
      </c>
      <c r="BI6" s="5">
        <v>1559</v>
      </c>
      <c r="BJ6" s="118">
        <f t="shared" si="11"/>
        <v>7779.4100000000008</v>
      </c>
      <c r="BK6" s="5">
        <v>1920</v>
      </c>
      <c r="BL6" s="127">
        <f t="shared" si="12"/>
        <v>9580.8000000000011</v>
      </c>
    </row>
    <row r="7" spans="1:67">
      <c r="A7" s="112" t="s">
        <v>259</v>
      </c>
      <c r="B7" s="106" t="s">
        <v>357</v>
      </c>
      <c r="C7" s="66" t="s">
        <v>175</v>
      </c>
      <c r="D7" s="284"/>
      <c r="E7" s="136" t="s">
        <v>176</v>
      </c>
      <c r="F7" s="295"/>
      <c r="G7" s="86" t="s">
        <v>187</v>
      </c>
      <c r="H7" s="85" t="s">
        <v>358</v>
      </c>
      <c r="I7" s="85" t="s">
        <v>180</v>
      </c>
      <c r="J7" s="86">
        <v>13</v>
      </c>
      <c r="K7" s="85" t="s">
        <v>181</v>
      </c>
      <c r="L7" s="84" t="s">
        <v>185</v>
      </c>
      <c r="M7" s="83" t="s">
        <v>189</v>
      </c>
      <c r="N7" s="83">
        <v>3.25</v>
      </c>
      <c r="O7" s="83">
        <v>4.4000000000000004</v>
      </c>
      <c r="P7" s="10">
        <v>4.4000000000000004</v>
      </c>
      <c r="Q7" s="10">
        <v>4.4000000000000004</v>
      </c>
      <c r="R7" s="10">
        <v>4.4000000000000004</v>
      </c>
      <c r="S7" s="10">
        <v>4.4000000000000004</v>
      </c>
      <c r="T7" s="10">
        <v>4.4000000000000004</v>
      </c>
      <c r="U7" s="10">
        <v>4.4000000000000004</v>
      </c>
      <c r="V7" s="10">
        <v>4.3099999999999996</v>
      </c>
      <c r="W7" s="10">
        <v>4.3099999999999996</v>
      </c>
      <c r="X7" s="10">
        <v>4.3099999999999996</v>
      </c>
      <c r="Y7" s="10">
        <v>4.3099999999999996</v>
      </c>
      <c r="Z7" s="10">
        <v>4.3099999999999996</v>
      </c>
      <c r="AA7" s="81">
        <v>4.3099999999999996</v>
      </c>
      <c r="AB7" s="81">
        <v>0.2</v>
      </c>
      <c r="AC7" s="10">
        <v>0.25</v>
      </c>
      <c r="AD7" s="10">
        <v>0.25</v>
      </c>
      <c r="AE7" s="10">
        <v>0.25</v>
      </c>
      <c r="AF7" s="10">
        <v>0.25</v>
      </c>
      <c r="AG7" s="10">
        <v>0.25</v>
      </c>
      <c r="AH7" s="10">
        <v>0.25</v>
      </c>
      <c r="AI7" s="10">
        <v>1.07</v>
      </c>
      <c r="AJ7" s="10">
        <v>1.07</v>
      </c>
      <c r="AK7" s="10">
        <v>1.07</v>
      </c>
      <c r="AL7" s="10">
        <v>1.07</v>
      </c>
      <c r="AM7" s="10">
        <v>1.07</v>
      </c>
      <c r="AN7" s="149">
        <v>1.07</v>
      </c>
      <c r="AO7" s="5">
        <v>45982</v>
      </c>
      <c r="AP7" s="118">
        <f t="shared" si="1"/>
        <v>11495.5</v>
      </c>
      <c r="AQ7" s="5">
        <v>9350</v>
      </c>
      <c r="AR7" s="118">
        <f t="shared" si="2"/>
        <v>2337.5</v>
      </c>
      <c r="AS7" s="5">
        <v>29425</v>
      </c>
      <c r="AT7" s="127">
        <f t="shared" si="3"/>
        <v>7356.25</v>
      </c>
      <c r="AU7" s="5">
        <v>11502</v>
      </c>
      <c r="AV7" s="118">
        <f t="shared" si="4"/>
        <v>2875.5</v>
      </c>
      <c r="AW7" s="5">
        <v>15142</v>
      </c>
      <c r="AX7" s="118">
        <f t="shared" si="5"/>
        <v>3785.5</v>
      </c>
      <c r="AY7" s="5">
        <v>8060</v>
      </c>
      <c r="AZ7" s="127">
        <f t="shared" si="6"/>
        <v>2015</v>
      </c>
      <c r="BA7" s="105">
        <v>13683</v>
      </c>
      <c r="BB7" s="118">
        <f t="shared" si="7"/>
        <v>14640.810000000001</v>
      </c>
      <c r="BC7" s="105">
        <v>16080</v>
      </c>
      <c r="BD7" s="118">
        <f t="shared" si="8"/>
        <v>17205.600000000002</v>
      </c>
      <c r="BE7" s="5">
        <v>10837</v>
      </c>
      <c r="BF7" s="127">
        <f t="shared" si="9"/>
        <v>11595.59</v>
      </c>
      <c r="BG7" s="105">
        <v>13240</v>
      </c>
      <c r="BH7" s="118">
        <f t="shared" si="10"/>
        <v>14166.800000000001</v>
      </c>
      <c r="BI7" s="5">
        <v>12880</v>
      </c>
      <c r="BJ7" s="118">
        <f t="shared" si="11"/>
        <v>13781.6</v>
      </c>
      <c r="BK7" s="5">
        <v>28108</v>
      </c>
      <c r="BL7" s="127">
        <f t="shared" si="12"/>
        <v>30075.56</v>
      </c>
    </row>
    <row r="8" spans="1:67">
      <c r="A8" s="112" t="s">
        <v>259</v>
      </c>
      <c r="B8" s="106" t="s">
        <v>357</v>
      </c>
      <c r="C8" s="66" t="s">
        <v>175</v>
      </c>
      <c r="D8" s="284"/>
      <c r="E8" s="136" t="s">
        <v>176</v>
      </c>
      <c r="F8" s="295"/>
      <c r="G8" s="86" t="s">
        <v>187</v>
      </c>
      <c r="H8" s="85" t="s">
        <v>358</v>
      </c>
      <c r="I8" s="85" t="s">
        <v>184</v>
      </c>
      <c r="J8" s="86">
        <v>13</v>
      </c>
      <c r="K8" s="85" t="s">
        <v>181</v>
      </c>
      <c r="L8" s="84" t="s">
        <v>185</v>
      </c>
      <c r="M8" s="83" t="s">
        <v>189</v>
      </c>
      <c r="N8" s="83">
        <v>8.9499999999999993</v>
      </c>
      <c r="O8" s="83">
        <v>14.9</v>
      </c>
      <c r="P8" s="10">
        <v>14.9</v>
      </c>
      <c r="Q8" s="10">
        <v>14.9</v>
      </c>
      <c r="R8" s="10">
        <v>14.9</v>
      </c>
      <c r="S8" s="10">
        <v>14.9</v>
      </c>
      <c r="T8" s="10">
        <v>14.9</v>
      </c>
      <c r="U8" s="10">
        <v>14.9</v>
      </c>
      <c r="V8" s="10">
        <v>13.04</v>
      </c>
      <c r="W8" s="10">
        <v>13.04</v>
      </c>
      <c r="X8" s="10">
        <v>13.04</v>
      </c>
      <c r="Y8" s="10">
        <v>13.04</v>
      </c>
      <c r="Z8" s="10">
        <v>13.04</v>
      </c>
      <c r="AA8" s="81">
        <v>13.04</v>
      </c>
      <c r="AB8" s="81">
        <v>4.5</v>
      </c>
      <c r="AC8" s="10">
        <v>5.22</v>
      </c>
      <c r="AD8" s="10">
        <v>5.22</v>
      </c>
      <c r="AE8" s="10">
        <v>5.22</v>
      </c>
      <c r="AF8" s="10">
        <v>5.22</v>
      </c>
      <c r="AG8" s="10">
        <v>5.22</v>
      </c>
      <c r="AH8" s="10">
        <v>5.22</v>
      </c>
      <c r="AI8" s="10">
        <v>4.99</v>
      </c>
      <c r="AJ8" s="10">
        <v>4.99</v>
      </c>
      <c r="AK8" s="10">
        <v>4.99</v>
      </c>
      <c r="AL8" s="10">
        <v>4.99</v>
      </c>
      <c r="AM8" s="10">
        <v>4.99</v>
      </c>
      <c r="AN8" s="149">
        <v>4.99</v>
      </c>
      <c r="AO8" s="5">
        <v>9605</v>
      </c>
      <c r="AP8" s="118">
        <f t="shared" si="1"/>
        <v>50138.1</v>
      </c>
      <c r="AQ8" s="5">
        <v>8328</v>
      </c>
      <c r="AR8" s="118">
        <f t="shared" si="2"/>
        <v>43472.159999999996</v>
      </c>
      <c r="AS8" s="5">
        <v>25353</v>
      </c>
      <c r="AT8" s="127">
        <f t="shared" si="3"/>
        <v>132342.66</v>
      </c>
      <c r="AU8" s="5">
        <v>3203</v>
      </c>
      <c r="AV8" s="118">
        <f t="shared" si="4"/>
        <v>16719.66</v>
      </c>
      <c r="AW8" s="5">
        <v>9258</v>
      </c>
      <c r="AX8" s="118">
        <f t="shared" si="5"/>
        <v>48326.759999999995</v>
      </c>
      <c r="AY8" s="5">
        <v>9885</v>
      </c>
      <c r="AZ8" s="127">
        <f t="shared" si="6"/>
        <v>51599.7</v>
      </c>
      <c r="BA8" s="105">
        <v>7203</v>
      </c>
      <c r="BB8" s="118">
        <f t="shared" si="7"/>
        <v>35942.97</v>
      </c>
      <c r="BC8" s="105">
        <v>5720</v>
      </c>
      <c r="BD8" s="118">
        <f t="shared" si="8"/>
        <v>28542.800000000003</v>
      </c>
      <c r="BE8" s="5">
        <v>4884</v>
      </c>
      <c r="BF8" s="127">
        <f t="shared" si="9"/>
        <v>24371.16</v>
      </c>
      <c r="BG8" s="105">
        <v>1680</v>
      </c>
      <c r="BH8" s="118">
        <f t="shared" si="10"/>
        <v>8383.2000000000007</v>
      </c>
      <c r="BI8" s="5">
        <v>3120</v>
      </c>
      <c r="BJ8" s="118">
        <f t="shared" si="11"/>
        <v>15568.800000000001</v>
      </c>
      <c r="BK8" s="5">
        <v>3394</v>
      </c>
      <c r="BL8" s="127">
        <f t="shared" si="12"/>
        <v>16936.060000000001</v>
      </c>
    </row>
    <row r="9" spans="1:67">
      <c r="A9" s="112" t="s">
        <v>259</v>
      </c>
      <c r="B9" s="106" t="s">
        <v>357</v>
      </c>
      <c r="C9" s="66" t="s">
        <v>175</v>
      </c>
      <c r="D9" s="284"/>
      <c r="E9" s="136" t="s">
        <v>176</v>
      </c>
      <c r="F9" s="295"/>
      <c r="G9" s="86" t="s">
        <v>187</v>
      </c>
      <c r="H9" s="85" t="s">
        <v>359</v>
      </c>
      <c r="I9" s="85" t="s">
        <v>180</v>
      </c>
      <c r="J9" s="86" t="s">
        <v>191</v>
      </c>
      <c r="K9" s="85" t="s">
        <v>181</v>
      </c>
      <c r="L9" s="84" t="s">
        <v>185</v>
      </c>
      <c r="M9" s="83" t="s">
        <v>189</v>
      </c>
      <c r="N9" s="83">
        <v>3.64</v>
      </c>
      <c r="O9" s="83">
        <v>4.4000000000000004</v>
      </c>
      <c r="P9" s="10">
        <v>4.4000000000000004</v>
      </c>
      <c r="Q9" s="10">
        <v>4.4000000000000004</v>
      </c>
      <c r="R9" s="10">
        <v>4.4000000000000004</v>
      </c>
      <c r="S9" s="10">
        <v>4.4000000000000004</v>
      </c>
      <c r="T9" s="10">
        <v>4.4000000000000004</v>
      </c>
      <c r="U9" s="10">
        <v>4.4000000000000004</v>
      </c>
      <c r="V9" s="10">
        <v>4.3099999999999996</v>
      </c>
      <c r="W9" s="10">
        <v>4.3099999999999996</v>
      </c>
      <c r="X9" s="10">
        <v>4.3099999999999996</v>
      </c>
      <c r="Y9" s="10">
        <v>4.3099999999999996</v>
      </c>
      <c r="Z9" s="10">
        <v>4.3099999999999996</v>
      </c>
      <c r="AA9" s="81">
        <v>4.3099999999999996</v>
      </c>
      <c r="AB9" s="81">
        <v>0.6</v>
      </c>
      <c r="AC9" s="10">
        <v>0.76</v>
      </c>
      <c r="AD9" s="10">
        <v>0.76</v>
      </c>
      <c r="AE9" s="10">
        <v>0.76</v>
      </c>
      <c r="AF9" s="10">
        <v>0.76</v>
      </c>
      <c r="AG9" s="10">
        <v>0.76</v>
      </c>
      <c r="AH9" s="10">
        <v>0.76</v>
      </c>
      <c r="AI9" s="10">
        <v>0.69</v>
      </c>
      <c r="AJ9" s="10">
        <v>0.69</v>
      </c>
      <c r="AK9" s="10">
        <v>0.69</v>
      </c>
      <c r="AL9" s="10">
        <v>0.69</v>
      </c>
      <c r="AM9" s="10">
        <v>0.69</v>
      </c>
      <c r="AN9" s="149">
        <v>0.69</v>
      </c>
      <c r="AO9" s="5">
        <v>127260</v>
      </c>
      <c r="AP9" s="118">
        <f t="shared" si="1"/>
        <v>96717.6</v>
      </c>
      <c r="AQ9" s="5">
        <v>81205</v>
      </c>
      <c r="AR9" s="118">
        <f t="shared" si="2"/>
        <v>61715.8</v>
      </c>
      <c r="AS9" s="5">
        <v>83101</v>
      </c>
      <c r="AT9" s="127">
        <f t="shared" si="3"/>
        <v>63156.76</v>
      </c>
      <c r="AU9" s="5">
        <v>66282</v>
      </c>
      <c r="AV9" s="118">
        <f t="shared" si="4"/>
        <v>50374.32</v>
      </c>
      <c r="AW9" s="5">
        <v>104309</v>
      </c>
      <c r="AX9" s="118">
        <f t="shared" si="5"/>
        <v>79274.84</v>
      </c>
      <c r="AY9" s="5">
        <v>119396</v>
      </c>
      <c r="AZ9" s="127">
        <f t="shared" si="6"/>
        <v>90740.96</v>
      </c>
      <c r="BA9" s="105">
        <v>96626</v>
      </c>
      <c r="BB9" s="118">
        <f t="shared" si="7"/>
        <v>66671.939999999988</v>
      </c>
      <c r="BC9" s="105">
        <v>71903</v>
      </c>
      <c r="BD9" s="118">
        <f t="shared" si="8"/>
        <v>49613.07</v>
      </c>
      <c r="BE9" s="5">
        <v>107308</v>
      </c>
      <c r="BF9" s="127">
        <f t="shared" si="9"/>
        <v>74042.51999999999</v>
      </c>
      <c r="BG9" s="105">
        <v>71845</v>
      </c>
      <c r="BH9" s="118">
        <f t="shared" si="10"/>
        <v>49573.049999999996</v>
      </c>
      <c r="BI9" s="5">
        <v>66879</v>
      </c>
      <c r="BJ9" s="118">
        <f t="shared" si="11"/>
        <v>46146.509999999995</v>
      </c>
      <c r="BK9" s="5">
        <v>66711</v>
      </c>
      <c r="BL9" s="127">
        <f t="shared" si="12"/>
        <v>46030.59</v>
      </c>
    </row>
    <row r="10" spans="1:67">
      <c r="A10" s="112" t="s">
        <v>259</v>
      </c>
      <c r="B10" s="106" t="s">
        <v>357</v>
      </c>
      <c r="C10" s="66" t="s">
        <v>175</v>
      </c>
      <c r="D10" s="284"/>
      <c r="E10" s="136" t="s">
        <v>176</v>
      </c>
      <c r="F10" s="295"/>
      <c r="G10" s="86" t="s">
        <v>187</v>
      </c>
      <c r="H10" s="85" t="s">
        <v>359</v>
      </c>
      <c r="I10" s="85" t="s">
        <v>184</v>
      </c>
      <c r="J10" s="86" t="s">
        <v>191</v>
      </c>
      <c r="K10" s="85" t="s">
        <v>181</v>
      </c>
      <c r="L10" s="84" t="s">
        <v>185</v>
      </c>
      <c r="M10" s="83" t="s">
        <v>189</v>
      </c>
      <c r="N10" s="83">
        <v>8.73</v>
      </c>
      <c r="O10" s="83">
        <v>14.9</v>
      </c>
      <c r="P10" s="10">
        <v>14.9</v>
      </c>
      <c r="Q10" s="10">
        <v>14.9</v>
      </c>
      <c r="R10" s="10">
        <v>14.9</v>
      </c>
      <c r="S10" s="10">
        <v>14.9</v>
      </c>
      <c r="T10" s="10">
        <v>14.9</v>
      </c>
      <c r="U10" s="10">
        <v>14.9</v>
      </c>
      <c r="V10" s="10">
        <v>13.04</v>
      </c>
      <c r="W10" s="10">
        <v>13.04</v>
      </c>
      <c r="X10" s="10">
        <v>13.04</v>
      </c>
      <c r="Y10" s="10">
        <v>13.04</v>
      </c>
      <c r="Z10" s="10">
        <v>13.04</v>
      </c>
      <c r="AA10" s="81">
        <v>13.04</v>
      </c>
      <c r="AB10" s="81">
        <v>5</v>
      </c>
      <c r="AC10" s="10">
        <v>6.17</v>
      </c>
      <c r="AD10" s="10">
        <v>6.17</v>
      </c>
      <c r="AE10" s="10">
        <v>6.17</v>
      </c>
      <c r="AF10" s="10">
        <v>6.17</v>
      </c>
      <c r="AG10" s="10">
        <v>6.17</v>
      </c>
      <c r="AH10" s="10">
        <v>6.17</v>
      </c>
      <c r="AI10" s="10">
        <v>5.0599999999999996</v>
      </c>
      <c r="AJ10" s="10">
        <v>5.0599999999999996</v>
      </c>
      <c r="AK10" s="10">
        <v>5.0599999999999996</v>
      </c>
      <c r="AL10" s="10">
        <v>5.0599999999999996</v>
      </c>
      <c r="AM10" s="10">
        <v>5.0599999999999996</v>
      </c>
      <c r="AN10" s="149">
        <v>5.0599999999999996</v>
      </c>
      <c r="AO10" s="5">
        <v>60032</v>
      </c>
      <c r="AP10" s="118">
        <f t="shared" si="1"/>
        <v>370397.44</v>
      </c>
      <c r="AQ10" s="5">
        <v>104211</v>
      </c>
      <c r="AR10" s="118">
        <f t="shared" si="2"/>
        <v>642981.87</v>
      </c>
      <c r="AS10" s="5">
        <v>83046</v>
      </c>
      <c r="AT10" s="127">
        <f t="shared" si="3"/>
        <v>512393.82</v>
      </c>
      <c r="AU10" s="5">
        <v>63598</v>
      </c>
      <c r="AV10" s="118">
        <f t="shared" si="4"/>
        <v>392399.66</v>
      </c>
      <c r="AW10" s="5">
        <v>100314</v>
      </c>
      <c r="AX10" s="118">
        <f t="shared" si="5"/>
        <v>618937.38</v>
      </c>
      <c r="AY10" s="5">
        <v>106745</v>
      </c>
      <c r="AZ10" s="127">
        <f t="shared" si="6"/>
        <v>658616.65</v>
      </c>
      <c r="BA10" s="105">
        <v>97052</v>
      </c>
      <c r="BB10" s="118">
        <f t="shared" si="7"/>
        <v>491083.11999999994</v>
      </c>
      <c r="BC10" s="105">
        <v>70993</v>
      </c>
      <c r="BD10" s="118">
        <f t="shared" si="8"/>
        <v>359224.57999999996</v>
      </c>
      <c r="BE10" s="5">
        <v>121070</v>
      </c>
      <c r="BF10" s="127">
        <f t="shared" si="9"/>
        <v>612614.19999999995</v>
      </c>
      <c r="BG10" s="105">
        <v>76791</v>
      </c>
      <c r="BH10" s="118">
        <f t="shared" si="10"/>
        <v>388562.45999999996</v>
      </c>
      <c r="BI10" s="5">
        <v>53509</v>
      </c>
      <c r="BJ10" s="118">
        <f t="shared" si="11"/>
        <v>270755.53999999998</v>
      </c>
      <c r="BK10" s="5">
        <v>53471</v>
      </c>
      <c r="BL10" s="127">
        <f t="shared" si="12"/>
        <v>270563.25999999995</v>
      </c>
    </row>
    <row r="11" spans="1:67">
      <c r="A11" s="112" t="s">
        <v>259</v>
      </c>
      <c r="B11" s="106" t="s">
        <v>357</v>
      </c>
      <c r="C11" s="66" t="s">
        <v>175</v>
      </c>
      <c r="D11" s="284"/>
      <c r="E11" s="136" t="s">
        <v>176</v>
      </c>
      <c r="F11" s="295"/>
      <c r="G11" s="86" t="s">
        <v>187</v>
      </c>
      <c r="H11" s="85" t="s">
        <v>360</v>
      </c>
      <c r="I11" s="85" t="s">
        <v>180</v>
      </c>
      <c r="J11" s="86" t="s">
        <v>193</v>
      </c>
      <c r="K11" s="85" t="s">
        <v>181</v>
      </c>
      <c r="L11" s="84" t="s">
        <v>185</v>
      </c>
      <c r="M11" s="83" t="s">
        <v>189</v>
      </c>
      <c r="N11" s="83">
        <v>3.69</v>
      </c>
      <c r="O11" s="83">
        <v>4.5</v>
      </c>
      <c r="P11" s="10">
        <v>4.5</v>
      </c>
      <c r="Q11" s="10">
        <v>4.5</v>
      </c>
      <c r="R11" s="10">
        <v>4.5</v>
      </c>
      <c r="S11" s="10">
        <v>4.5</v>
      </c>
      <c r="T11" s="10">
        <v>4.5</v>
      </c>
      <c r="U11" s="10">
        <v>4.5</v>
      </c>
      <c r="V11" s="10">
        <v>4.41</v>
      </c>
      <c r="W11" s="10">
        <v>4.41</v>
      </c>
      <c r="X11" s="10">
        <v>4.41</v>
      </c>
      <c r="Y11" s="10">
        <v>4.41</v>
      </c>
      <c r="Z11" s="10">
        <v>4.41</v>
      </c>
      <c r="AA11" s="81">
        <v>4.41</v>
      </c>
      <c r="AB11" s="81">
        <v>0.8</v>
      </c>
      <c r="AC11" s="10">
        <v>0.81</v>
      </c>
      <c r="AD11" s="10">
        <v>0.81</v>
      </c>
      <c r="AE11" s="10">
        <v>0.81</v>
      </c>
      <c r="AF11" s="10">
        <v>0.81</v>
      </c>
      <c r="AG11" s="10">
        <v>0.81</v>
      </c>
      <c r="AH11" s="10">
        <v>0.81</v>
      </c>
      <c r="AI11" s="10">
        <v>0.74</v>
      </c>
      <c r="AJ11" s="10">
        <v>0.74</v>
      </c>
      <c r="AK11" s="10">
        <v>0.74</v>
      </c>
      <c r="AL11" s="10">
        <v>0.74</v>
      </c>
      <c r="AM11" s="10">
        <v>0.74</v>
      </c>
      <c r="AN11" s="149">
        <v>0.74</v>
      </c>
      <c r="AO11" s="5">
        <v>36007</v>
      </c>
      <c r="AP11" s="118">
        <f t="shared" si="1"/>
        <v>29165.670000000002</v>
      </c>
      <c r="AQ11" s="5">
        <v>26528</v>
      </c>
      <c r="AR11" s="118">
        <f t="shared" si="2"/>
        <v>21487.68</v>
      </c>
      <c r="AS11" s="5">
        <v>18271</v>
      </c>
      <c r="AT11" s="127">
        <f t="shared" si="3"/>
        <v>14799.51</v>
      </c>
      <c r="AU11" s="5">
        <v>19644</v>
      </c>
      <c r="AV11" s="118">
        <f t="shared" si="4"/>
        <v>15911.640000000001</v>
      </c>
      <c r="AW11" s="5">
        <v>25473</v>
      </c>
      <c r="AX11" s="118">
        <f t="shared" si="5"/>
        <v>20633.13</v>
      </c>
      <c r="AY11" s="5">
        <v>19986</v>
      </c>
      <c r="AZ11" s="127">
        <f t="shared" si="6"/>
        <v>16188.660000000002</v>
      </c>
      <c r="BA11" s="105">
        <v>18416</v>
      </c>
      <c r="BB11" s="118">
        <f t="shared" si="7"/>
        <v>13627.84</v>
      </c>
      <c r="BC11" s="105">
        <v>12109</v>
      </c>
      <c r="BD11" s="118">
        <f t="shared" si="8"/>
        <v>8960.66</v>
      </c>
      <c r="BE11" s="5">
        <v>7030</v>
      </c>
      <c r="BF11" s="127">
        <f t="shared" si="9"/>
        <v>5202.2</v>
      </c>
      <c r="BG11" s="105">
        <v>27996</v>
      </c>
      <c r="BH11" s="118">
        <f t="shared" si="10"/>
        <v>20717.04</v>
      </c>
      <c r="BI11" s="5">
        <v>14118</v>
      </c>
      <c r="BJ11" s="118">
        <f t="shared" si="11"/>
        <v>10447.32</v>
      </c>
      <c r="BK11" s="5">
        <v>15796</v>
      </c>
      <c r="BL11" s="127">
        <f t="shared" si="12"/>
        <v>11689.039999999999</v>
      </c>
    </row>
    <row r="12" spans="1:67">
      <c r="A12" s="112" t="s">
        <v>259</v>
      </c>
      <c r="B12" s="106" t="s">
        <v>357</v>
      </c>
      <c r="C12" s="66" t="s">
        <v>175</v>
      </c>
      <c r="D12" s="284"/>
      <c r="E12" s="136" t="s">
        <v>176</v>
      </c>
      <c r="F12" s="295"/>
      <c r="G12" s="86" t="s">
        <v>187</v>
      </c>
      <c r="H12" s="85" t="s">
        <v>360</v>
      </c>
      <c r="I12" s="85" t="s">
        <v>184</v>
      </c>
      <c r="J12" s="86" t="s">
        <v>193</v>
      </c>
      <c r="K12" s="85" t="s">
        <v>181</v>
      </c>
      <c r="L12" s="84" t="s">
        <v>185</v>
      </c>
      <c r="M12" s="83" t="s">
        <v>189</v>
      </c>
      <c r="N12" s="83">
        <v>8.7799999999999994</v>
      </c>
      <c r="O12" s="83">
        <v>16.2</v>
      </c>
      <c r="P12" s="10">
        <v>16.2</v>
      </c>
      <c r="Q12" s="10">
        <v>16.2</v>
      </c>
      <c r="R12" s="10">
        <v>16.2</v>
      </c>
      <c r="S12" s="10">
        <v>16.2</v>
      </c>
      <c r="T12" s="10">
        <v>16.2</v>
      </c>
      <c r="U12" s="10">
        <v>16.2</v>
      </c>
      <c r="V12" s="10">
        <v>14.18</v>
      </c>
      <c r="W12" s="10">
        <v>14.18</v>
      </c>
      <c r="X12" s="10">
        <v>14.18</v>
      </c>
      <c r="Y12" s="10">
        <v>14.18</v>
      </c>
      <c r="Z12" s="10">
        <v>14.18</v>
      </c>
      <c r="AA12" s="81">
        <v>14.18</v>
      </c>
      <c r="AB12" s="81">
        <v>6</v>
      </c>
      <c r="AC12" s="10">
        <v>7.42</v>
      </c>
      <c r="AD12" s="10">
        <v>7.42</v>
      </c>
      <c r="AE12" s="10">
        <v>7.42</v>
      </c>
      <c r="AF12" s="10">
        <v>7.42</v>
      </c>
      <c r="AG12" s="10">
        <v>7.42</v>
      </c>
      <c r="AH12" s="10">
        <v>7.42</v>
      </c>
      <c r="AI12" s="10">
        <v>5.97</v>
      </c>
      <c r="AJ12" s="10">
        <v>5.97</v>
      </c>
      <c r="AK12" s="10">
        <v>5.97</v>
      </c>
      <c r="AL12" s="10">
        <v>5.97</v>
      </c>
      <c r="AM12" s="10">
        <v>5.97</v>
      </c>
      <c r="AN12" s="149">
        <v>5.97</v>
      </c>
      <c r="AO12" s="5">
        <v>10300</v>
      </c>
      <c r="AP12" s="118">
        <f t="shared" si="1"/>
        <v>76426</v>
      </c>
      <c r="AQ12" s="5">
        <v>26148</v>
      </c>
      <c r="AR12" s="118">
        <f t="shared" si="2"/>
        <v>194018.16</v>
      </c>
      <c r="AS12" s="5">
        <v>17479</v>
      </c>
      <c r="AT12" s="127">
        <f t="shared" si="3"/>
        <v>129694.18</v>
      </c>
      <c r="AU12" s="5">
        <v>20350</v>
      </c>
      <c r="AV12" s="118">
        <f t="shared" si="4"/>
        <v>150997</v>
      </c>
      <c r="AW12" s="5">
        <v>13692</v>
      </c>
      <c r="AX12" s="118">
        <f t="shared" si="5"/>
        <v>101594.64</v>
      </c>
      <c r="AY12" s="5">
        <v>7895</v>
      </c>
      <c r="AZ12" s="127">
        <f t="shared" si="6"/>
        <v>58580.9</v>
      </c>
      <c r="BA12" s="105">
        <v>5255</v>
      </c>
      <c r="BB12" s="118">
        <f t="shared" si="7"/>
        <v>31372.35</v>
      </c>
      <c r="BC12" s="105">
        <v>3920</v>
      </c>
      <c r="BD12" s="118">
        <f t="shared" si="8"/>
        <v>23402.399999999998</v>
      </c>
      <c r="BE12" s="5">
        <v>2320</v>
      </c>
      <c r="BF12" s="127">
        <f t="shared" si="9"/>
        <v>13850.4</v>
      </c>
      <c r="BG12" s="105">
        <v>3282</v>
      </c>
      <c r="BH12" s="118">
        <f t="shared" si="10"/>
        <v>19593.54</v>
      </c>
      <c r="BI12" s="5">
        <v>4069</v>
      </c>
      <c r="BJ12" s="118">
        <f t="shared" si="11"/>
        <v>24291.93</v>
      </c>
      <c r="BK12" s="5">
        <v>5792</v>
      </c>
      <c r="BL12" s="127">
        <f t="shared" si="12"/>
        <v>34578.239999999998</v>
      </c>
    </row>
    <row r="13" spans="1:67">
      <c r="A13" s="112" t="s">
        <v>259</v>
      </c>
      <c r="B13" s="106" t="s">
        <v>357</v>
      </c>
      <c r="C13" s="66" t="s">
        <v>175</v>
      </c>
      <c r="D13" s="284"/>
      <c r="E13" s="136" t="s">
        <v>176</v>
      </c>
      <c r="F13" s="295"/>
      <c r="G13" s="71" t="s">
        <v>187</v>
      </c>
      <c r="H13" s="70" t="s">
        <v>360</v>
      </c>
      <c r="I13" s="70" t="s">
        <v>180</v>
      </c>
      <c r="J13" s="71" t="s">
        <v>193</v>
      </c>
      <c r="K13" s="70" t="s">
        <v>181</v>
      </c>
      <c r="L13" s="69" t="s">
        <v>361</v>
      </c>
      <c r="M13" s="83" t="s">
        <v>189</v>
      </c>
      <c r="N13" s="68">
        <v>3.69</v>
      </c>
      <c r="O13" s="68">
        <v>4.5</v>
      </c>
      <c r="P13" s="10">
        <v>4.5</v>
      </c>
      <c r="Q13" s="10">
        <v>4.5</v>
      </c>
      <c r="R13" s="10">
        <v>4.5</v>
      </c>
      <c r="S13" s="10">
        <v>4.5</v>
      </c>
      <c r="T13" s="10">
        <v>4.5</v>
      </c>
      <c r="U13" s="10">
        <v>4.5</v>
      </c>
      <c r="V13" s="10">
        <v>4.41</v>
      </c>
      <c r="W13" s="10">
        <v>4.41</v>
      </c>
      <c r="X13" s="10">
        <v>4.41</v>
      </c>
      <c r="Y13" s="10">
        <v>4.41</v>
      </c>
      <c r="Z13" s="10">
        <v>4.41</v>
      </c>
      <c r="AA13" s="81">
        <v>4.41</v>
      </c>
      <c r="AB13" s="81">
        <f>0.81-0.39</f>
        <v>0.42000000000000004</v>
      </c>
      <c r="AC13" s="10">
        <v>0</v>
      </c>
      <c r="AD13" s="10">
        <v>0.42000000000000004</v>
      </c>
      <c r="AE13" s="10">
        <v>0.42000000000000004</v>
      </c>
      <c r="AF13" s="10">
        <v>0.42000000000000004</v>
      </c>
      <c r="AG13" s="10">
        <v>0.81</v>
      </c>
      <c r="AH13" s="10">
        <v>0.81</v>
      </c>
      <c r="AI13" s="10">
        <v>0.74</v>
      </c>
      <c r="AJ13" s="10">
        <v>0.74</v>
      </c>
      <c r="AK13" s="10">
        <v>0.74</v>
      </c>
      <c r="AL13" s="10">
        <v>0.74</v>
      </c>
      <c r="AM13" s="10">
        <v>0.74</v>
      </c>
      <c r="AN13" s="149">
        <v>0.74</v>
      </c>
      <c r="AO13" s="5">
        <v>0</v>
      </c>
      <c r="AP13" s="118">
        <f t="shared" si="1"/>
        <v>0</v>
      </c>
      <c r="AQ13" s="5">
        <v>0</v>
      </c>
      <c r="AR13" s="118">
        <f t="shared" si="2"/>
        <v>0</v>
      </c>
      <c r="AS13" s="5">
        <v>0</v>
      </c>
      <c r="AT13" s="127">
        <f t="shared" si="3"/>
        <v>0</v>
      </c>
      <c r="AU13" s="5">
        <v>0</v>
      </c>
      <c r="AV13" s="118">
        <f t="shared" si="4"/>
        <v>0</v>
      </c>
      <c r="AW13" s="5">
        <v>5230</v>
      </c>
      <c r="AX13" s="118">
        <f t="shared" si="5"/>
        <v>4236.3</v>
      </c>
      <c r="AY13" s="5">
        <v>8320</v>
      </c>
      <c r="AZ13" s="127">
        <f t="shared" si="6"/>
        <v>6739.2000000000007</v>
      </c>
      <c r="BA13" s="105">
        <v>6680</v>
      </c>
      <c r="BB13" s="118">
        <f t="shared" si="7"/>
        <v>4943.2</v>
      </c>
      <c r="BC13" s="105">
        <v>6318</v>
      </c>
      <c r="BD13" s="118">
        <f t="shared" si="8"/>
        <v>4675.32</v>
      </c>
      <c r="BE13" s="5">
        <v>12988</v>
      </c>
      <c r="BF13" s="127">
        <f t="shared" si="9"/>
        <v>9611.119999999999</v>
      </c>
      <c r="BG13" s="105">
        <v>2555</v>
      </c>
      <c r="BH13" s="118">
        <f t="shared" si="10"/>
        <v>1890.7</v>
      </c>
      <c r="BI13" s="5">
        <v>1880</v>
      </c>
      <c r="BJ13" s="118">
        <f t="shared" si="11"/>
        <v>1391.2</v>
      </c>
      <c r="BK13" s="5">
        <v>0</v>
      </c>
      <c r="BL13" s="127">
        <f t="shared" si="12"/>
        <v>0</v>
      </c>
    </row>
    <row r="14" spans="1:67">
      <c r="A14" s="112" t="s">
        <v>259</v>
      </c>
      <c r="B14" s="106" t="s">
        <v>357</v>
      </c>
      <c r="C14" s="66" t="s">
        <v>175</v>
      </c>
      <c r="D14" s="284"/>
      <c r="E14" s="136" t="s">
        <v>176</v>
      </c>
      <c r="F14" s="295"/>
      <c r="G14" s="71" t="s">
        <v>187</v>
      </c>
      <c r="H14" s="70" t="s">
        <v>360</v>
      </c>
      <c r="I14" s="70" t="s">
        <v>184</v>
      </c>
      <c r="J14" s="71" t="s">
        <v>193</v>
      </c>
      <c r="K14" s="70" t="s">
        <v>181</v>
      </c>
      <c r="L14" s="69" t="s">
        <v>361</v>
      </c>
      <c r="M14" s="83" t="s">
        <v>189</v>
      </c>
      <c r="N14" s="68">
        <v>8.7799999999999994</v>
      </c>
      <c r="O14" s="68">
        <v>16.2</v>
      </c>
      <c r="P14" s="10">
        <v>16.2</v>
      </c>
      <c r="Q14" s="10">
        <v>16.2</v>
      </c>
      <c r="R14" s="10">
        <v>16.2</v>
      </c>
      <c r="S14" s="10">
        <v>16.2</v>
      </c>
      <c r="T14" s="10">
        <v>16.2</v>
      </c>
      <c r="U14" s="10">
        <v>16.2</v>
      </c>
      <c r="V14" s="10">
        <v>14.18</v>
      </c>
      <c r="W14" s="10">
        <v>14.18</v>
      </c>
      <c r="X14" s="10">
        <v>14.18</v>
      </c>
      <c r="Y14" s="10">
        <v>14.18</v>
      </c>
      <c r="Z14" s="10">
        <v>14.18</v>
      </c>
      <c r="AA14" s="81">
        <v>14.18</v>
      </c>
      <c r="AB14" s="81">
        <f>7.42-0.39</f>
        <v>7.03</v>
      </c>
      <c r="AC14" s="10">
        <v>0</v>
      </c>
      <c r="AD14" s="10">
        <v>7.03</v>
      </c>
      <c r="AE14" s="10">
        <v>7.03</v>
      </c>
      <c r="AF14" s="10">
        <v>7.03</v>
      </c>
      <c r="AG14" s="10">
        <v>7.42</v>
      </c>
      <c r="AH14" s="10">
        <v>7.42</v>
      </c>
      <c r="AI14" s="10">
        <v>5.97</v>
      </c>
      <c r="AJ14" s="10">
        <v>5.97</v>
      </c>
      <c r="AK14" s="10">
        <v>5.97</v>
      </c>
      <c r="AL14" s="10">
        <v>5.97</v>
      </c>
      <c r="AM14" s="10">
        <v>5.97</v>
      </c>
      <c r="AN14" s="149">
        <v>5.97</v>
      </c>
      <c r="AO14" s="5">
        <v>0</v>
      </c>
      <c r="AP14" s="118">
        <f t="shared" si="1"/>
        <v>0</v>
      </c>
      <c r="AQ14" s="5">
        <v>0</v>
      </c>
      <c r="AR14" s="118">
        <f t="shared" si="2"/>
        <v>0</v>
      </c>
      <c r="AS14" s="5">
        <v>0</v>
      </c>
      <c r="AT14" s="127">
        <f t="shared" si="3"/>
        <v>0</v>
      </c>
      <c r="AU14" s="5">
        <v>0</v>
      </c>
      <c r="AV14" s="118">
        <f t="shared" si="4"/>
        <v>0</v>
      </c>
      <c r="AW14" s="5">
        <v>12680</v>
      </c>
      <c r="AX14" s="118">
        <f t="shared" si="5"/>
        <v>94085.6</v>
      </c>
      <c r="AY14" s="5">
        <v>5720</v>
      </c>
      <c r="AZ14" s="127">
        <f t="shared" si="6"/>
        <v>42442.400000000001</v>
      </c>
      <c r="BA14" s="105">
        <v>7440</v>
      </c>
      <c r="BB14" s="118">
        <f t="shared" si="7"/>
        <v>44416.799999999996</v>
      </c>
      <c r="BC14" s="105">
        <v>10120</v>
      </c>
      <c r="BD14" s="118">
        <f t="shared" si="8"/>
        <v>60416.399999999994</v>
      </c>
      <c r="BE14" s="5">
        <v>5740</v>
      </c>
      <c r="BF14" s="127">
        <f t="shared" si="9"/>
        <v>34267.799999999996</v>
      </c>
      <c r="BG14" s="105">
        <v>4333</v>
      </c>
      <c r="BH14" s="118">
        <f t="shared" si="10"/>
        <v>25868.01</v>
      </c>
      <c r="BI14" s="5">
        <v>0</v>
      </c>
      <c r="BJ14" s="118">
        <f t="shared" si="11"/>
        <v>0</v>
      </c>
      <c r="BK14" s="5">
        <v>0</v>
      </c>
      <c r="BL14" s="127">
        <f t="shared" si="12"/>
        <v>0</v>
      </c>
    </row>
    <row r="15" spans="1:67">
      <c r="A15" s="112" t="s">
        <v>259</v>
      </c>
      <c r="B15" s="106" t="s">
        <v>362</v>
      </c>
      <c r="C15" s="66" t="s">
        <v>175</v>
      </c>
      <c r="D15" s="284"/>
      <c r="E15" s="136" t="s">
        <v>176</v>
      </c>
      <c r="F15" s="295"/>
      <c r="G15" s="86" t="s">
        <v>187</v>
      </c>
      <c r="H15" s="85" t="s">
        <v>195</v>
      </c>
      <c r="I15" s="85" t="s">
        <v>196</v>
      </c>
      <c r="J15" s="86" t="s">
        <v>197</v>
      </c>
      <c r="K15" s="85" t="s">
        <v>198</v>
      </c>
      <c r="L15" s="84" t="s">
        <v>185</v>
      </c>
      <c r="M15" s="83" t="s">
        <v>189</v>
      </c>
      <c r="N15" s="83">
        <v>4.38</v>
      </c>
      <c r="O15" s="83">
        <v>4.46</v>
      </c>
      <c r="P15" s="10">
        <v>4.46</v>
      </c>
      <c r="Q15" s="10">
        <v>4.46</v>
      </c>
      <c r="R15" s="10">
        <v>4.46</v>
      </c>
      <c r="S15" s="10">
        <v>4.46</v>
      </c>
      <c r="T15" s="10">
        <v>4.46</v>
      </c>
      <c r="U15" s="10">
        <v>4.46</v>
      </c>
      <c r="V15" s="10">
        <v>4.46</v>
      </c>
      <c r="W15" s="10">
        <v>4.46</v>
      </c>
      <c r="X15" s="10">
        <v>4.46</v>
      </c>
      <c r="Y15" s="10">
        <v>4.46</v>
      </c>
      <c r="Z15" s="10">
        <v>4.46</v>
      </c>
      <c r="AA15" s="81">
        <v>4.46</v>
      </c>
      <c r="AB15" s="81">
        <v>0.05</v>
      </c>
      <c r="AC15" s="10">
        <v>0.05</v>
      </c>
      <c r="AD15" s="10">
        <v>0.05</v>
      </c>
      <c r="AE15" s="10">
        <v>0.05</v>
      </c>
      <c r="AF15" s="10">
        <v>0.05</v>
      </c>
      <c r="AG15" s="10">
        <v>0.05</v>
      </c>
      <c r="AH15" s="10">
        <v>0.05</v>
      </c>
      <c r="AI15" s="10">
        <v>0.05</v>
      </c>
      <c r="AJ15" s="10">
        <v>0.05</v>
      </c>
      <c r="AK15" s="10">
        <v>0.05</v>
      </c>
      <c r="AL15" s="10">
        <v>0.05</v>
      </c>
      <c r="AM15" s="10">
        <v>0.05</v>
      </c>
      <c r="AN15" s="149">
        <v>0.05</v>
      </c>
      <c r="AO15" s="5">
        <v>720</v>
      </c>
      <c r="AP15" s="118">
        <f t="shared" si="1"/>
        <v>36</v>
      </c>
      <c r="AQ15" s="5">
        <v>600</v>
      </c>
      <c r="AR15" s="118">
        <f t="shared" si="2"/>
        <v>30</v>
      </c>
      <c r="AS15" s="5">
        <v>600</v>
      </c>
      <c r="AT15" s="127">
        <f t="shared" si="3"/>
        <v>30</v>
      </c>
      <c r="AU15" s="5">
        <v>480</v>
      </c>
      <c r="AV15" s="118">
        <f t="shared" si="4"/>
        <v>24</v>
      </c>
      <c r="AW15" s="5">
        <v>0</v>
      </c>
      <c r="AX15" s="118">
        <f t="shared" si="5"/>
        <v>0</v>
      </c>
      <c r="AY15" s="5">
        <v>600</v>
      </c>
      <c r="AZ15" s="127">
        <f t="shared" si="6"/>
        <v>30</v>
      </c>
      <c r="BA15" s="105">
        <v>840</v>
      </c>
      <c r="BB15" s="118">
        <f t="shared" si="7"/>
        <v>42</v>
      </c>
      <c r="BC15" s="105">
        <v>0</v>
      </c>
      <c r="BD15" s="118">
        <f t="shared" si="8"/>
        <v>0</v>
      </c>
      <c r="BE15" s="5">
        <v>0</v>
      </c>
      <c r="BF15" s="127">
        <f t="shared" si="9"/>
        <v>0</v>
      </c>
      <c r="BG15" s="105">
        <v>0</v>
      </c>
      <c r="BH15" s="118">
        <f t="shared" si="10"/>
        <v>0</v>
      </c>
      <c r="BI15" s="5">
        <v>0</v>
      </c>
      <c r="BJ15" s="118">
        <f t="shared" si="11"/>
        <v>0</v>
      </c>
      <c r="BK15" s="5">
        <v>0</v>
      </c>
      <c r="BL15" s="127">
        <f t="shared" si="12"/>
        <v>0</v>
      </c>
    </row>
    <row r="16" spans="1:67">
      <c r="A16" s="112" t="s">
        <v>259</v>
      </c>
      <c r="B16" s="106" t="s">
        <v>362</v>
      </c>
      <c r="C16" s="66" t="s">
        <v>175</v>
      </c>
      <c r="D16" s="284"/>
      <c r="E16" s="136" t="s">
        <v>176</v>
      </c>
      <c r="F16" s="295"/>
      <c r="G16" s="71" t="s">
        <v>187</v>
      </c>
      <c r="H16" s="70" t="s">
        <v>199</v>
      </c>
      <c r="I16" s="70" t="s">
        <v>196</v>
      </c>
      <c r="J16" s="71" t="s">
        <v>197</v>
      </c>
      <c r="K16" s="70" t="s">
        <v>198</v>
      </c>
      <c r="L16" s="69" t="s">
        <v>185</v>
      </c>
      <c r="M16" s="68" t="s">
        <v>189</v>
      </c>
      <c r="N16" s="68">
        <v>4.42</v>
      </c>
      <c r="O16" s="68">
        <v>4.5</v>
      </c>
      <c r="P16" s="144">
        <v>4.5</v>
      </c>
      <c r="Q16" s="144">
        <v>4.5</v>
      </c>
      <c r="R16" s="144">
        <v>4.5</v>
      </c>
      <c r="S16" s="144">
        <v>4.5</v>
      </c>
      <c r="T16" s="144">
        <v>4.5</v>
      </c>
      <c r="U16" s="144">
        <v>4.5</v>
      </c>
      <c r="V16" s="144">
        <v>4.5</v>
      </c>
      <c r="W16" s="144">
        <v>4.5</v>
      </c>
      <c r="X16" s="144">
        <v>4.5</v>
      </c>
      <c r="Y16" s="144">
        <v>4.5</v>
      </c>
      <c r="Z16" s="144">
        <v>4.5</v>
      </c>
      <c r="AA16" s="58">
        <v>4.5</v>
      </c>
      <c r="AB16" s="58">
        <v>0.05</v>
      </c>
      <c r="AC16" s="10">
        <v>0.05</v>
      </c>
      <c r="AD16" s="10">
        <v>0.05</v>
      </c>
      <c r="AE16" s="10">
        <v>0.05</v>
      </c>
      <c r="AF16" s="10">
        <v>0.05</v>
      </c>
      <c r="AG16" s="10">
        <v>0.05</v>
      </c>
      <c r="AH16" s="10">
        <v>0.05</v>
      </c>
      <c r="AI16" s="10">
        <v>0.05</v>
      </c>
      <c r="AJ16" s="10">
        <v>0.05</v>
      </c>
      <c r="AK16" s="10">
        <v>0.05</v>
      </c>
      <c r="AL16" s="10">
        <v>0.05</v>
      </c>
      <c r="AM16" s="10">
        <v>0.05</v>
      </c>
      <c r="AN16" s="149">
        <v>0.05</v>
      </c>
      <c r="AO16" s="5">
        <v>0</v>
      </c>
      <c r="AP16" s="118">
        <f>AC16*AO16</f>
        <v>0</v>
      </c>
      <c r="AQ16" s="5">
        <v>440</v>
      </c>
      <c r="AR16" s="118">
        <f t="shared" si="2"/>
        <v>22</v>
      </c>
      <c r="AS16" s="5">
        <v>550</v>
      </c>
      <c r="AT16" s="127">
        <f t="shared" si="3"/>
        <v>27.5</v>
      </c>
      <c r="AU16" s="5">
        <v>1100</v>
      </c>
      <c r="AV16" s="118">
        <f t="shared" si="4"/>
        <v>55</v>
      </c>
      <c r="AW16" s="5">
        <v>0</v>
      </c>
      <c r="AX16" s="118">
        <f>AG16*AW16</f>
        <v>0</v>
      </c>
      <c r="AY16" s="5">
        <v>220</v>
      </c>
      <c r="AZ16" s="127">
        <f t="shared" si="6"/>
        <v>11</v>
      </c>
      <c r="BA16" s="105">
        <v>220</v>
      </c>
      <c r="BB16" s="118">
        <f t="shared" si="7"/>
        <v>11</v>
      </c>
      <c r="BC16" s="105">
        <v>0</v>
      </c>
      <c r="BD16" s="118">
        <f t="shared" si="8"/>
        <v>0</v>
      </c>
      <c r="BE16" s="5">
        <v>0</v>
      </c>
      <c r="BF16" s="127">
        <f t="shared" si="9"/>
        <v>0</v>
      </c>
      <c r="BG16" s="105">
        <v>0</v>
      </c>
      <c r="BH16" s="118">
        <f t="shared" si="10"/>
        <v>0</v>
      </c>
      <c r="BI16" s="5">
        <v>0</v>
      </c>
      <c r="BJ16" s="118">
        <f t="shared" si="11"/>
        <v>0</v>
      </c>
      <c r="BK16" s="5">
        <v>0</v>
      </c>
      <c r="BL16" s="127">
        <f t="shared" si="12"/>
        <v>0</v>
      </c>
    </row>
    <row r="17" spans="1:64">
      <c r="A17" s="112" t="s">
        <v>259</v>
      </c>
      <c r="B17" s="106" t="s">
        <v>362</v>
      </c>
      <c r="C17" s="66" t="s">
        <v>175</v>
      </c>
      <c r="D17" s="284"/>
      <c r="E17" s="136" t="s">
        <v>176</v>
      </c>
      <c r="F17" s="295"/>
      <c r="G17" s="71" t="s">
        <v>260</v>
      </c>
      <c r="H17" s="70" t="s">
        <v>203</v>
      </c>
      <c r="I17" s="70" t="s">
        <v>196</v>
      </c>
      <c r="J17" s="71" t="s">
        <v>197</v>
      </c>
      <c r="K17" s="70" t="s">
        <v>198</v>
      </c>
      <c r="L17" s="69" t="s">
        <v>185</v>
      </c>
      <c r="M17" s="68" t="s">
        <v>204</v>
      </c>
      <c r="N17" s="68">
        <v>4.42</v>
      </c>
      <c r="O17" s="68">
        <v>4.62</v>
      </c>
      <c r="P17" s="144">
        <v>4.62</v>
      </c>
      <c r="Q17" s="144">
        <v>4.62</v>
      </c>
      <c r="R17" s="144">
        <v>4.62</v>
      </c>
      <c r="S17" s="144">
        <v>4.62</v>
      </c>
      <c r="T17" s="144">
        <v>4.62</v>
      </c>
      <c r="U17" s="144">
        <v>4.62</v>
      </c>
      <c r="V17" s="144">
        <v>4.62</v>
      </c>
      <c r="W17" s="144">
        <v>4.62</v>
      </c>
      <c r="X17" s="144">
        <v>4.62</v>
      </c>
      <c r="Y17" s="144">
        <v>4.62</v>
      </c>
      <c r="Z17" s="144">
        <v>4.62</v>
      </c>
      <c r="AA17" s="58">
        <v>4.62</v>
      </c>
      <c r="AB17" s="58">
        <v>0.05</v>
      </c>
      <c r="AC17" s="10">
        <v>0.05</v>
      </c>
      <c r="AD17" s="10">
        <v>0.05</v>
      </c>
      <c r="AE17" s="10">
        <v>0.05</v>
      </c>
      <c r="AF17" s="10">
        <v>0.05</v>
      </c>
      <c r="AG17" s="10">
        <v>0.05</v>
      </c>
      <c r="AH17" s="10">
        <v>0.05</v>
      </c>
      <c r="AI17" s="10">
        <v>0.05</v>
      </c>
      <c r="AJ17" s="10">
        <v>0.05</v>
      </c>
      <c r="AK17" s="10">
        <v>0.05</v>
      </c>
      <c r="AL17" s="10">
        <v>0.05</v>
      </c>
      <c r="AM17" s="10">
        <v>0.05</v>
      </c>
      <c r="AN17" s="149">
        <v>0.05</v>
      </c>
      <c r="AO17" s="5">
        <v>25140</v>
      </c>
      <c r="AP17" s="118">
        <f>AC17*AO17</f>
        <v>1257</v>
      </c>
      <c r="AQ17" s="5">
        <v>9900</v>
      </c>
      <c r="AR17" s="118">
        <f t="shared" si="2"/>
        <v>495</v>
      </c>
      <c r="AS17" s="5">
        <v>4620</v>
      </c>
      <c r="AT17" s="127">
        <f t="shared" si="3"/>
        <v>231</v>
      </c>
      <c r="AU17" s="5">
        <v>18810</v>
      </c>
      <c r="AV17" s="118">
        <f t="shared" si="4"/>
        <v>940.5</v>
      </c>
      <c r="AW17" s="5">
        <v>11770</v>
      </c>
      <c r="AX17" s="118">
        <f>AG17*AW17</f>
        <v>588.5</v>
      </c>
      <c r="AY17" s="5">
        <v>9900</v>
      </c>
      <c r="AZ17" s="127">
        <f t="shared" si="6"/>
        <v>495</v>
      </c>
      <c r="BA17" s="105">
        <v>17620</v>
      </c>
      <c r="BB17" s="118">
        <f t="shared" si="7"/>
        <v>881</v>
      </c>
      <c r="BC17" s="105">
        <v>3850</v>
      </c>
      <c r="BD17" s="118">
        <f t="shared" si="8"/>
        <v>192.5</v>
      </c>
      <c r="BE17" s="5">
        <v>6820</v>
      </c>
      <c r="BF17" s="127">
        <f t="shared" si="9"/>
        <v>341</v>
      </c>
      <c r="BG17" s="105">
        <v>2860</v>
      </c>
      <c r="BH17" s="118">
        <f t="shared" si="10"/>
        <v>143</v>
      </c>
      <c r="BI17" s="5">
        <v>6159</v>
      </c>
      <c r="BJ17" s="118">
        <f t="shared" si="11"/>
        <v>307.95000000000005</v>
      </c>
      <c r="BK17" s="5">
        <v>1540</v>
      </c>
      <c r="BL17" s="127">
        <f t="shared" si="12"/>
        <v>77</v>
      </c>
    </row>
    <row r="18" spans="1:64">
      <c r="A18" s="112" t="s">
        <v>259</v>
      </c>
      <c r="B18" s="106" t="s">
        <v>362</v>
      </c>
      <c r="C18" s="66" t="s">
        <v>175</v>
      </c>
      <c r="D18" s="284"/>
      <c r="E18" s="136" t="s">
        <v>176</v>
      </c>
      <c r="F18" s="295"/>
      <c r="G18" s="71" t="s">
        <v>200</v>
      </c>
      <c r="H18" s="70" t="s">
        <v>201</v>
      </c>
      <c r="I18" s="70" t="s">
        <v>196</v>
      </c>
      <c r="J18" s="71" t="s">
        <v>197</v>
      </c>
      <c r="K18" s="70" t="s">
        <v>198</v>
      </c>
      <c r="L18" s="69" t="s">
        <v>185</v>
      </c>
      <c r="M18" s="68" t="s">
        <v>189</v>
      </c>
      <c r="N18" s="68">
        <v>4.38</v>
      </c>
      <c r="O18" s="68">
        <v>4.46</v>
      </c>
      <c r="P18" s="144">
        <v>4.46</v>
      </c>
      <c r="Q18" s="144">
        <v>4.46</v>
      </c>
      <c r="R18" s="144">
        <v>4.46</v>
      </c>
      <c r="S18" s="144">
        <v>4.46</v>
      </c>
      <c r="T18" s="144">
        <v>4.46</v>
      </c>
      <c r="U18" s="144">
        <v>4.46</v>
      </c>
      <c r="V18" s="144">
        <v>4.46</v>
      </c>
      <c r="W18" s="144">
        <v>4.46</v>
      </c>
      <c r="X18" s="144">
        <v>4.46</v>
      </c>
      <c r="Y18" s="144">
        <v>4.46</v>
      </c>
      <c r="Z18" s="144">
        <v>4.46</v>
      </c>
      <c r="AA18" s="58">
        <v>4.46</v>
      </c>
      <c r="AB18" s="58">
        <v>0.05</v>
      </c>
      <c r="AC18" s="10">
        <v>0.05</v>
      </c>
      <c r="AD18" s="10">
        <v>0.05</v>
      </c>
      <c r="AE18" s="10">
        <v>0.05</v>
      </c>
      <c r="AF18" s="10">
        <v>0.05</v>
      </c>
      <c r="AG18" s="10">
        <v>0.05</v>
      </c>
      <c r="AH18" s="10">
        <v>0.05</v>
      </c>
      <c r="AI18" s="10">
        <v>0.05</v>
      </c>
      <c r="AJ18" s="10">
        <v>0.05</v>
      </c>
      <c r="AK18" s="10">
        <v>0.05</v>
      </c>
      <c r="AL18" s="10">
        <v>0.05</v>
      </c>
      <c r="AM18" s="10">
        <v>0.05</v>
      </c>
      <c r="AN18" s="149">
        <v>0.05</v>
      </c>
      <c r="AO18" s="5">
        <v>146764</v>
      </c>
      <c r="AP18" s="118">
        <f t="shared" si="1"/>
        <v>7338.2000000000007</v>
      </c>
      <c r="AQ18" s="5">
        <v>136020</v>
      </c>
      <c r="AR18" s="118">
        <f t="shared" si="2"/>
        <v>6801</v>
      </c>
      <c r="AS18" s="5">
        <v>94360</v>
      </c>
      <c r="AT18" s="127">
        <f t="shared" si="3"/>
        <v>4718</v>
      </c>
      <c r="AU18" s="5">
        <v>104250</v>
      </c>
      <c r="AV18" s="118">
        <f t="shared" si="4"/>
        <v>5212.5</v>
      </c>
      <c r="AW18" s="5">
        <v>86220</v>
      </c>
      <c r="AX18" s="118">
        <f t="shared" si="5"/>
        <v>4311</v>
      </c>
      <c r="AY18" s="5">
        <v>43010</v>
      </c>
      <c r="AZ18" s="127">
        <f t="shared" si="6"/>
        <v>2150.5</v>
      </c>
      <c r="BA18" s="105">
        <v>34980</v>
      </c>
      <c r="BB18" s="118">
        <f t="shared" si="7"/>
        <v>1749</v>
      </c>
      <c r="BC18" s="105">
        <v>13090</v>
      </c>
      <c r="BD18" s="118">
        <f t="shared" si="8"/>
        <v>654.5</v>
      </c>
      <c r="BE18" s="5">
        <v>108050</v>
      </c>
      <c r="BF18" s="127">
        <f t="shared" si="9"/>
        <v>5402.5</v>
      </c>
      <c r="BG18" s="105">
        <v>29260</v>
      </c>
      <c r="BH18" s="118">
        <f t="shared" si="10"/>
        <v>1463</v>
      </c>
      <c r="BI18" s="5">
        <v>8156</v>
      </c>
      <c r="BJ18" s="118">
        <f t="shared" si="11"/>
        <v>407.8</v>
      </c>
      <c r="BK18" s="5">
        <v>0</v>
      </c>
      <c r="BL18" s="127">
        <f t="shared" si="12"/>
        <v>0</v>
      </c>
    </row>
    <row r="19" spans="1:64">
      <c r="A19" s="112" t="s">
        <v>259</v>
      </c>
      <c r="B19" s="106" t="s">
        <v>362</v>
      </c>
      <c r="C19" s="66" t="s">
        <v>175</v>
      </c>
      <c r="D19" s="284"/>
      <c r="E19" s="136" t="s">
        <v>176</v>
      </c>
      <c r="F19" s="295"/>
      <c r="G19" s="71" t="s">
        <v>202</v>
      </c>
      <c r="H19" s="70" t="s">
        <v>203</v>
      </c>
      <c r="I19" s="70" t="s">
        <v>196</v>
      </c>
      <c r="J19" s="71" t="s">
        <v>197</v>
      </c>
      <c r="K19" s="70" t="s">
        <v>198</v>
      </c>
      <c r="L19" s="69" t="s">
        <v>185</v>
      </c>
      <c r="M19" s="68" t="s">
        <v>204</v>
      </c>
      <c r="N19" s="68">
        <v>4.38</v>
      </c>
      <c r="O19" s="68">
        <v>4.58</v>
      </c>
      <c r="P19" s="144">
        <v>4.58</v>
      </c>
      <c r="Q19" s="144">
        <v>4.58</v>
      </c>
      <c r="R19" s="144">
        <v>4.58</v>
      </c>
      <c r="S19" s="144">
        <v>4.58</v>
      </c>
      <c r="T19" s="144">
        <v>4.58</v>
      </c>
      <c r="U19" s="144">
        <v>4.58</v>
      </c>
      <c r="V19" s="144">
        <v>4.58</v>
      </c>
      <c r="W19" s="144">
        <v>4.58</v>
      </c>
      <c r="X19" s="144">
        <v>4.58</v>
      </c>
      <c r="Y19" s="144">
        <v>4.58</v>
      </c>
      <c r="Z19" s="144">
        <v>4.58</v>
      </c>
      <c r="AA19" s="58">
        <v>4.58</v>
      </c>
      <c r="AB19" s="58">
        <v>0</v>
      </c>
      <c r="AC19" s="10">
        <v>0.05</v>
      </c>
      <c r="AD19" s="10">
        <v>0.05</v>
      </c>
      <c r="AE19" s="10">
        <v>0.05</v>
      </c>
      <c r="AF19" s="10">
        <v>0.05</v>
      </c>
      <c r="AG19" s="10">
        <v>0.05</v>
      </c>
      <c r="AH19" s="10">
        <v>0.05</v>
      </c>
      <c r="AI19" s="10">
        <v>0.05</v>
      </c>
      <c r="AJ19" s="10">
        <v>0.05</v>
      </c>
      <c r="AK19" s="10">
        <v>0.05</v>
      </c>
      <c r="AL19" s="10">
        <v>0.05</v>
      </c>
      <c r="AM19" s="10">
        <v>0.05</v>
      </c>
      <c r="AN19" s="149">
        <v>0.05</v>
      </c>
      <c r="AO19" s="5">
        <v>273839</v>
      </c>
      <c r="AP19" s="118">
        <f t="shared" si="1"/>
        <v>13691.95</v>
      </c>
      <c r="AQ19" s="5">
        <v>234900</v>
      </c>
      <c r="AR19" s="118">
        <f t="shared" si="2"/>
        <v>11745</v>
      </c>
      <c r="AS19" s="5">
        <v>265230</v>
      </c>
      <c r="AT19" s="127">
        <f t="shared" si="3"/>
        <v>13261.5</v>
      </c>
      <c r="AU19" s="5">
        <v>174600</v>
      </c>
      <c r="AV19" s="118">
        <f t="shared" si="4"/>
        <v>8730</v>
      </c>
      <c r="AW19" s="5">
        <v>320890</v>
      </c>
      <c r="AX19" s="118">
        <f t="shared" si="5"/>
        <v>16044.5</v>
      </c>
      <c r="AY19" s="5">
        <v>352990</v>
      </c>
      <c r="AZ19" s="127">
        <f t="shared" si="6"/>
        <v>17649.5</v>
      </c>
      <c r="BA19" s="105">
        <v>298540</v>
      </c>
      <c r="BB19" s="118">
        <f t="shared" si="7"/>
        <v>14927</v>
      </c>
      <c r="BC19" s="105">
        <v>199430</v>
      </c>
      <c r="BD19" s="118">
        <f t="shared" si="8"/>
        <v>9971.5</v>
      </c>
      <c r="BE19" s="5">
        <v>226060</v>
      </c>
      <c r="BF19" s="127">
        <f t="shared" si="9"/>
        <v>11303</v>
      </c>
      <c r="BG19" s="105">
        <v>252390</v>
      </c>
      <c r="BH19" s="118">
        <f t="shared" si="10"/>
        <v>12619.5</v>
      </c>
      <c r="BI19" s="5">
        <v>204050</v>
      </c>
      <c r="BJ19" s="118">
        <f t="shared" si="11"/>
        <v>10202.5</v>
      </c>
      <c r="BK19" s="5">
        <v>189310</v>
      </c>
      <c r="BL19" s="127">
        <f t="shared" si="12"/>
        <v>9465.5</v>
      </c>
    </row>
    <row r="20" spans="1:64">
      <c r="A20" s="112" t="s">
        <v>259</v>
      </c>
      <c r="B20" s="106" t="s">
        <v>362</v>
      </c>
      <c r="C20" s="66" t="s">
        <v>175</v>
      </c>
      <c r="D20" s="284"/>
      <c r="E20" s="136" t="s">
        <v>176</v>
      </c>
      <c r="F20" s="295"/>
      <c r="G20" s="71" t="s">
        <v>260</v>
      </c>
      <c r="H20" s="70" t="s">
        <v>363</v>
      </c>
      <c r="I20" s="70" t="s">
        <v>196</v>
      </c>
      <c r="J20" s="71" t="s">
        <v>197</v>
      </c>
      <c r="K20" s="70" t="s">
        <v>198</v>
      </c>
      <c r="L20" s="69" t="s">
        <v>185</v>
      </c>
      <c r="M20" s="68" t="s">
        <v>204</v>
      </c>
      <c r="N20" s="68">
        <v>4.66</v>
      </c>
      <c r="O20" s="68">
        <v>4.8600000000000003</v>
      </c>
      <c r="P20" s="144">
        <v>4.8600000000000003</v>
      </c>
      <c r="Q20" s="144">
        <v>4.8600000000000003</v>
      </c>
      <c r="R20" s="144">
        <v>4.8600000000000003</v>
      </c>
      <c r="S20" s="144">
        <v>4.8600000000000003</v>
      </c>
      <c r="T20" s="144">
        <v>4.8600000000000003</v>
      </c>
      <c r="U20" s="144">
        <v>4.8600000000000003</v>
      </c>
      <c r="V20" s="144">
        <v>4.8600000000000003</v>
      </c>
      <c r="W20" s="144">
        <v>4.8600000000000003</v>
      </c>
      <c r="X20" s="144">
        <v>4.8600000000000003</v>
      </c>
      <c r="Y20" s="144">
        <v>4.8600000000000003</v>
      </c>
      <c r="Z20" s="144">
        <v>4.6900000000000004</v>
      </c>
      <c r="AA20" s="58">
        <v>4.6900000000000004</v>
      </c>
      <c r="AB20" s="58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0.1</v>
      </c>
      <c r="AJ20" s="10">
        <v>0.1</v>
      </c>
      <c r="AK20" s="10">
        <v>0.1</v>
      </c>
      <c r="AL20" s="10">
        <v>0.2</v>
      </c>
      <c r="AM20" s="10">
        <v>0.13</v>
      </c>
      <c r="AN20" s="149">
        <v>0.13</v>
      </c>
      <c r="AO20" s="5">
        <v>0</v>
      </c>
      <c r="AP20" s="118">
        <f t="shared" si="1"/>
        <v>0</v>
      </c>
      <c r="AQ20" s="5">
        <v>0</v>
      </c>
      <c r="AR20" s="118">
        <f t="shared" si="2"/>
        <v>0</v>
      </c>
      <c r="AS20" s="5">
        <v>0</v>
      </c>
      <c r="AT20" s="127">
        <f t="shared" si="3"/>
        <v>0</v>
      </c>
      <c r="AU20" s="5">
        <v>0</v>
      </c>
      <c r="AV20" s="118">
        <f t="shared" si="4"/>
        <v>0</v>
      </c>
      <c r="AW20" s="5">
        <v>0</v>
      </c>
      <c r="AX20" s="118">
        <f t="shared" si="5"/>
        <v>0</v>
      </c>
      <c r="AY20" s="5">
        <v>0</v>
      </c>
      <c r="AZ20" s="127">
        <f t="shared" si="6"/>
        <v>0</v>
      </c>
      <c r="BA20" s="105">
        <v>17490</v>
      </c>
      <c r="BB20" s="118">
        <f t="shared" si="7"/>
        <v>1749</v>
      </c>
      <c r="BC20" s="105">
        <v>34650</v>
      </c>
      <c r="BD20" s="118">
        <f t="shared" si="8"/>
        <v>3465</v>
      </c>
      <c r="BE20" s="5">
        <v>39820</v>
      </c>
      <c r="BF20" s="127">
        <f t="shared" si="9"/>
        <v>3982</v>
      </c>
      <c r="BG20" s="105">
        <v>54340</v>
      </c>
      <c r="BH20" s="118">
        <f t="shared" si="10"/>
        <v>10868</v>
      </c>
      <c r="BI20" s="5">
        <v>62320</v>
      </c>
      <c r="BJ20" s="118">
        <f t="shared" si="11"/>
        <v>8101.6</v>
      </c>
      <c r="BK20" s="5">
        <v>114190</v>
      </c>
      <c r="BL20" s="127">
        <f t="shared" si="12"/>
        <v>14844.7</v>
      </c>
    </row>
    <row r="21" spans="1:64">
      <c r="A21" s="112" t="s">
        <v>259</v>
      </c>
      <c r="B21" s="106" t="s">
        <v>362</v>
      </c>
      <c r="C21" s="66" t="s">
        <v>175</v>
      </c>
      <c r="D21" s="284"/>
      <c r="E21" s="136" t="s">
        <v>176</v>
      </c>
      <c r="F21" s="295"/>
      <c r="G21" s="71" t="s">
        <v>260</v>
      </c>
      <c r="H21" s="70" t="s">
        <v>363</v>
      </c>
      <c r="I21" s="70" t="s">
        <v>196</v>
      </c>
      <c r="J21" s="71" t="s">
        <v>197</v>
      </c>
      <c r="K21" s="70" t="s">
        <v>198</v>
      </c>
      <c r="L21" s="69" t="s">
        <v>185</v>
      </c>
      <c r="M21" s="68" t="s">
        <v>204</v>
      </c>
      <c r="N21" s="68">
        <v>4.75</v>
      </c>
      <c r="O21" s="68">
        <v>4.95</v>
      </c>
      <c r="P21" s="144">
        <v>4.95</v>
      </c>
      <c r="Q21" s="144">
        <v>4.95</v>
      </c>
      <c r="R21" s="144">
        <v>4.95</v>
      </c>
      <c r="S21" s="144">
        <v>4.95</v>
      </c>
      <c r="T21" s="144">
        <v>4.95</v>
      </c>
      <c r="U21" s="144">
        <v>4.95</v>
      </c>
      <c r="V21" s="144">
        <v>4.95</v>
      </c>
      <c r="W21" s="144">
        <v>4.95</v>
      </c>
      <c r="X21" s="144">
        <v>4.95</v>
      </c>
      <c r="Y21" s="144">
        <v>4.95</v>
      </c>
      <c r="Z21" s="144">
        <v>4.78</v>
      </c>
      <c r="AA21" s="58">
        <v>4.78</v>
      </c>
      <c r="AB21" s="58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0.1</v>
      </c>
      <c r="AJ21" s="10">
        <v>0.1</v>
      </c>
      <c r="AK21" s="10">
        <v>0.1</v>
      </c>
      <c r="AL21" s="10">
        <v>0.2</v>
      </c>
      <c r="AM21" s="10">
        <v>0.13</v>
      </c>
      <c r="AN21" s="149">
        <v>0.13</v>
      </c>
      <c r="AO21" s="5">
        <v>0</v>
      </c>
      <c r="AP21" s="118">
        <f t="shared" si="1"/>
        <v>0</v>
      </c>
      <c r="AQ21" s="5">
        <v>0</v>
      </c>
      <c r="AR21" s="118">
        <f t="shared" si="2"/>
        <v>0</v>
      </c>
      <c r="AS21" s="5">
        <v>0</v>
      </c>
      <c r="AT21" s="127">
        <f t="shared" si="3"/>
        <v>0</v>
      </c>
      <c r="AU21" s="5">
        <v>0</v>
      </c>
      <c r="AV21" s="118">
        <f t="shared" si="4"/>
        <v>0</v>
      </c>
      <c r="AW21" s="5">
        <v>0</v>
      </c>
      <c r="AX21" s="118">
        <f t="shared" si="5"/>
        <v>0</v>
      </c>
      <c r="AY21" s="5">
        <v>0</v>
      </c>
      <c r="AZ21" s="127">
        <f t="shared" si="6"/>
        <v>0</v>
      </c>
      <c r="BA21" s="105">
        <v>880</v>
      </c>
      <c r="BB21" s="118">
        <f t="shared" si="7"/>
        <v>88</v>
      </c>
      <c r="BC21" s="105">
        <v>10010</v>
      </c>
      <c r="BD21" s="118">
        <f t="shared" si="8"/>
        <v>1001</v>
      </c>
      <c r="BE21" s="5">
        <v>6710</v>
      </c>
      <c r="BF21" s="127">
        <f t="shared" si="9"/>
        <v>671</v>
      </c>
      <c r="BG21" s="105">
        <v>7750</v>
      </c>
      <c r="BH21" s="118">
        <f t="shared" si="10"/>
        <v>1550</v>
      </c>
      <c r="BI21" s="5">
        <v>14800</v>
      </c>
      <c r="BJ21" s="118">
        <f t="shared" si="11"/>
        <v>1924</v>
      </c>
      <c r="BK21" s="5">
        <v>18150</v>
      </c>
      <c r="BL21" s="127">
        <f t="shared" si="12"/>
        <v>2359.5</v>
      </c>
    </row>
    <row r="22" spans="1:64">
      <c r="A22" s="112" t="s">
        <v>259</v>
      </c>
      <c r="B22" s="106"/>
      <c r="C22" s="66" t="s">
        <v>175</v>
      </c>
      <c r="D22" s="284"/>
      <c r="E22" s="136" t="s">
        <v>176</v>
      </c>
      <c r="F22" s="295"/>
      <c r="G22" s="72"/>
      <c r="H22" s="75"/>
      <c r="I22" s="75"/>
      <c r="J22" s="72"/>
      <c r="K22" s="75"/>
      <c r="L22" s="74"/>
      <c r="M22" s="52"/>
      <c r="N22" s="52"/>
      <c r="O22" s="52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49"/>
      <c r="AB22" s="49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150"/>
      <c r="AO22" s="23"/>
      <c r="AP22" s="118">
        <f t="shared" si="1"/>
        <v>0</v>
      </c>
      <c r="AQ22" s="23"/>
      <c r="AR22" s="118">
        <f t="shared" si="2"/>
        <v>0</v>
      </c>
      <c r="AS22" s="23">
        <v>0</v>
      </c>
      <c r="AT22" s="127">
        <f t="shared" si="3"/>
        <v>0</v>
      </c>
      <c r="AU22" s="23">
        <v>0</v>
      </c>
      <c r="AV22" s="118">
        <f t="shared" si="4"/>
        <v>0</v>
      </c>
      <c r="AW22" s="23"/>
      <c r="AX22" s="118">
        <f t="shared" si="5"/>
        <v>0</v>
      </c>
      <c r="AY22" s="23"/>
      <c r="AZ22" s="127">
        <f t="shared" si="6"/>
        <v>0</v>
      </c>
      <c r="BA22" s="50">
        <v>0</v>
      </c>
      <c r="BB22" s="118">
        <f t="shared" si="7"/>
        <v>0</v>
      </c>
      <c r="BC22" s="50"/>
      <c r="BD22" s="118">
        <f t="shared" si="8"/>
        <v>0</v>
      </c>
      <c r="BE22" s="23"/>
      <c r="BF22" s="127">
        <f t="shared" si="9"/>
        <v>0</v>
      </c>
      <c r="BG22" s="50"/>
      <c r="BH22" s="118">
        <f t="shared" si="10"/>
        <v>0</v>
      </c>
      <c r="BI22" s="23"/>
      <c r="BJ22" s="118">
        <f t="shared" si="11"/>
        <v>0</v>
      </c>
      <c r="BK22" s="23">
        <v>0</v>
      </c>
      <c r="BL22" s="127">
        <f t="shared" si="12"/>
        <v>0</v>
      </c>
    </row>
    <row r="23" spans="1:64">
      <c r="A23" s="112" t="s">
        <v>259</v>
      </c>
      <c r="B23" s="106"/>
      <c r="C23" s="66" t="s">
        <v>175</v>
      </c>
      <c r="D23" s="284"/>
      <c r="E23" s="136" t="s">
        <v>176</v>
      </c>
      <c r="F23" s="289"/>
      <c r="G23" s="64"/>
      <c r="H23" s="63"/>
      <c r="I23" s="63"/>
      <c r="J23" s="64"/>
      <c r="K23" s="63"/>
      <c r="L23" s="62"/>
      <c r="M23" s="61"/>
      <c r="N23" s="61"/>
      <c r="O23" s="61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59"/>
      <c r="AB23" s="59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151"/>
      <c r="AO23" s="22"/>
      <c r="AP23" s="117">
        <f t="shared" si="1"/>
        <v>0</v>
      </c>
      <c r="AQ23" s="22"/>
      <c r="AR23" s="117">
        <f t="shared" si="2"/>
        <v>0</v>
      </c>
      <c r="AS23" s="22">
        <v>0</v>
      </c>
      <c r="AT23" s="126">
        <f t="shared" si="3"/>
        <v>0</v>
      </c>
      <c r="AU23" s="22">
        <v>0</v>
      </c>
      <c r="AV23" s="117">
        <f t="shared" si="4"/>
        <v>0</v>
      </c>
      <c r="AW23" s="22"/>
      <c r="AX23" s="117">
        <f t="shared" si="5"/>
        <v>0</v>
      </c>
      <c r="AY23" s="22"/>
      <c r="AZ23" s="126">
        <f t="shared" si="6"/>
        <v>0</v>
      </c>
      <c r="BA23" s="79">
        <v>0</v>
      </c>
      <c r="BB23" s="117">
        <f t="shared" si="7"/>
        <v>0</v>
      </c>
      <c r="BC23" s="79"/>
      <c r="BD23" s="117">
        <f t="shared" si="8"/>
        <v>0</v>
      </c>
      <c r="BE23" s="22"/>
      <c r="BF23" s="126">
        <f t="shared" si="9"/>
        <v>0</v>
      </c>
      <c r="BG23" s="79"/>
      <c r="BH23" s="117">
        <f t="shared" si="10"/>
        <v>0</v>
      </c>
      <c r="BI23" s="22"/>
      <c r="BJ23" s="117">
        <f t="shared" si="11"/>
        <v>0</v>
      </c>
      <c r="BK23" s="22">
        <v>0</v>
      </c>
      <c r="BL23" s="126">
        <f t="shared" si="12"/>
        <v>0</v>
      </c>
    </row>
    <row r="24" spans="1:64">
      <c r="A24" s="112" t="s">
        <v>259</v>
      </c>
      <c r="B24" s="106"/>
      <c r="C24" s="66" t="s">
        <v>175</v>
      </c>
      <c r="D24" s="284"/>
      <c r="E24" s="136" t="s">
        <v>176</v>
      </c>
      <c r="F24" s="289"/>
      <c r="G24" s="72"/>
      <c r="H24" s="75"/>
      <c r="I24" s="75"/>
      <c r="J24" s="72"/>
      <c r="K24" s="75"/>
      <c r="L24" s="74"/>
      <c r="M24" s="52"/>
      <c r="N24" s="52"/>
      <c r="O24" s="52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49"/>
      <c r="AB24" s="49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150"/>
      <c r="AO24" s="23"/>
      <c r="AP24" s="118">
        <f t="shared" si="1"/>
        <v>0</v>
      </c>
      <c r="AQ24" s="23"/>
      <c r="AR24" s="118">
        <f t="shared" si="2"/>
        <v>0</v>
      </c>
      <c r="AS24" s="23">
        <v>0</v>
      </c>
      <c r="AT24" s="127">
        <f t="shared" si="3"/>
        <v>0</v>
      </c>
      <c r="AU24" s="23">
        <v>0</v>
      </c>
      <c r="AV24" s="118">
        <f t="shared" si="4"/>
        <v>0</v>
      </c>
      <c r="AW24" s="23"/>
      <c r="AX24" s="118">
        <f t="shared" si="5"/>
        <v>0</v>
      </c>
      <c r="AY24" s="23"/>
      <c r="AZ24" s="127">
        <f t="shared" si="6"/>
        <v>0</v>
      </c>
      <c r="BA24" s="50">
        <v>0</v>
      </c>
      <c r="BB24" s="118">
        <f t="shared" si="7"/>
        <v>0</v>
      </c>
      <c r="BC24" s="50"/>
      <c r="BD24" s="118">
        <f t="shared" si="8"/>
        <v>0</v>
      </c>
      <c r="BE24" s="23"/>
      <c r="BF24" s="127">
        <f t="shared" si="9"/>
        <v>0</v>
      </c>
      <c r="BG24" s="50"/>
      <c r="BH24" s="118">
        <f t="shared" si="10"/>
        <v>0</v>
      </c>
      <c r="BI24" s="23"/>
      <c r="BJ24" s="118">
        <f t="shared" si="11"/>
        <v>0</v>
      </c>
      <c r="BK24" s="23">
        <v>0</v>
      </c>
      <c r="BL24" s="127">
        <f t="shared" si="12"/>
        <v>0</v>
      </c>
    </row>
    <row r="25" spans="1:64">
      <c r="A25" s="112" t="s">
        <v>259</v>
      </c>
      <c r="B25" s="106" t="s">
        <v>362</v>
      </c>
      <c r="C25" s="66" t="s">
        <v>175</v>
      </c>
      <c r="D25" s="284"/>
      <c r="E25" s="136" t="s">
        <v>176</v>
      </c>
      <c r="F25" s="289">
        <v>800</v>
      </c>
      <c r="G25" s="64" t="s">
        <v>178</v>
      </c>
      <c r="H25" s="63" t="s">
        <v>205</v>
      </c>
      <c r="I25" s="63" t="s">
        <v>196</v>
      </c>
      <c r="J25" s="64" t="s">
        <v>191</v>
      </c>
      <c r="K25" s="63" t="s">
        <v>206</v>
      </c>
      <c r="L25" s="62" t="s">
        <v>185</v>
      </c>
      <c r="M25" s="61" t="s">
        <v>183</v>
      </c>
      <c r="N25" s="61">
        <v>6.93</v>
      </c>
      <c r="O25" s="61">
        <v>8.1199999999999992</v>
      </c>
      <c r="P25" s="154">
        <v>8.1199999999999992</v>
      </c>
      <c r="Q25" s="154">
        <v>8.1199999999999992</v>
      </c>
      <c r="R25" s="154">
        <v>8.1199999999999992</v>
      </c>
      <c r="S25" s="154">
        <v>8.1199999999999992</v>
      </c>
      <c r="T25" s="154">
        <v>8.1199999999999992</v>
      </c>
      <c r="U25" s="154">
        <v>8.1199999999999992</v>
      </c>
      <c r="V25" s="154">
        <v>8.1199999999999992</v>
      </c>
      <c r="W25" s="154">
        <v>8.1199999999999992</v>
      </c>
      <c r="X25" s="154">
        <v>8.1199999999999992</v>
      </c>
      <c r="Y25" s="154">
        <v>8.1199999999999992</v>
      </c>
      <c r="Z25" s="154">
        <v>8.1199999999999992</v>
      </c>
      <c r="AA25" s="59">
        <v>8.1199999999999992</v>
      </c>
      <c r="AB25" s="59">
        <v>0.2</v>
      </c>
      <c r="AC25" s="10">
        <v>0.26</v>
      </c>
      <c r="AD25" s="10">
        <v>0.26</v>
      </c>
      <c r="AE25" s="10">
        <v>0.26</v>
      </c>
      <c r="AF25" s="10">
        <v>0.26</v>
      </c>
      <c r="AG25" s="10">
        <v>0.26</v>
      </c>
      <c r="AH25" s="10">
        <v>0.26</v>
      </c>
      <c r="AI25" s="10">
        <v>0.26</v>
      </c>
      <c r="AJ25" s="10">
        <v>0.26</v>
      </c>
      <c r="AK25" s="10">
        <v>0.26</v>
      </c>
      <c r="AL25" s="10">
        <v>1.32</v>
      </c>
      <c r="AM25" s="10">
        <v>1.32</v>
      </c>
      <c r="AN25" s="149">
        <v>1.32</v>
      </c>
      <c r="AO25" s="5">
        <v>54900</v>
      </c>
      <c r="AP25" s="117">
        <f t="shared" si="1"/>
        <v>14274</v>
      </c>
      <c r="AQ25" s="5">
        <v>46225</v>
      </c>
      <c r="AR25" s="117">
        <f t="shared" si="2"/>
        <v>12018.5</v>
      </c>
      <c r="AS25" s="5">
        <v>26736</v>
      </c>
      <c r="AT25" s="126">
        <f t="shared" si="3"/>
        <v>6951.3600000000006</v>
      </c>
      <c r="AU25" s="5">
        <v>20940</v>
      </c>
      <c r="AV25" s="117">
        <f t="shared" si="4"/>
        <v>5444.4000000000005</v>
      </c>
      <c r="AW25" s="5">
        <v>12520</v>
      </c>
      <c r="AX25" s="117">
        <f t="shared" si="5"/>
        <v>3255.2000000000003</v>
      </c>
      <c r="AY25" s="5">
        <v>7700</v>
      </c>
      <c r="AZ25" s="126">
        <f t="shared" si="6"/>
        <v>2002</v>
      </c>
      <c r="BA25" s="105">
        <v>10200</v>
      </c>
      <c r="BB25" s="117">
        <f t="shared" si="7"/>
        <v>2652</v>
      </c>
      <c r="BC25" s="105">
        <v>0</v>
      </c>
      <c r="BD25" s="117">
        <f t="shared" si="8"/>
        <v>0</v>
      </c>
      <c r="BE25" s="5">
        <v>0</v>
      </c>
      <c r="BF25" s="126">
        <f t="shared" si="9"/>
        <v>0</v>
      </c>
      <c r="BG25" s="105">
        <v>0</v>
      </c>
      <c r="BH25" s="117">
        <f t="shared" si="10"/>
        <v>0</v>
      </c>
      <c r="BI25" s="5">
        <v>0</v>
      </c>
      <c r="BJ25" s="117">
        <f t="shared" si="11"/>
        <v>0</v>
      </c>
      <c r="BK25" s="5">
        <v>0</v>
      </c>
      <c r="BL25" s="126">
        <f t="shared" si="12"/>
        <v>0</v>
      </c>
    </row>
    <row r="26" spans="1:64">
      <c r="A26" s="112" t="s">
        <v>259</v>
      </c>
      <c r="B26" s="106" t="s">
        <v>362</v>
      </c>
      <c r="C26" s="66" t="s">
        <v>175</v>
      </c>
      <c r="D26" s="284"/>
      <c r="E26" s="136" t="s">
        <v>176</v>
      </c>
      <c r="F26" s="290"/>
      <c r="G26" s="71" t="s">
        <v>202</v>
      </c>
      <c r="H26" s="70" t="s">
        <v>207</v>
      </c>
      <c r="I26" s="70" t="s">
        <v>196</v>
      </c>
      <c r="J26" s="71" t="s">
        <v>191</v>
      </c>
      <c r="K26" s="70" t="s">
        <v>206</v>
      </c>
      <c r="L26" s="69" t="s">
        <v>185</v>
      </c>
      <c r="M26" s="68" t="s">
        <v>186</v>
      </c>
      <c r="N26" s="68">
        <v>6.93</v>
      </c>
      <c r="O26" s="68">
        <v>8.1199999999999992</v>
      </c>
      <c r="P26" s="144">
        <v>8.1199999999999992</v>
      </c>
      <c r="Q26" s="144">
        <v>8.1199999999999992</v>
      </c>
      <c r="R26" s="144">
        <v>8.1199999999999992</v>
      </c>
      <c r="S26" s="144">
        <v>8.1199999999999992</v>
      </c>
      <c r="T26" s="144">
        <v>8.1199999999999992</v>
      </c>
      <c r="U26" s="144">
        <v>8.1199999999999992</v>
      </c>
      <c r="V26" s="144">
        <v>8.1199999999999992</v>
      </c>
      <c r="W26" s="144">
        <v>8.1199999999999992</v>
      </c>
      <c r="X26" s="144">
        <v>8.1199999999999992</v>
      </c>
      <c r="Y26" s="144">
        <v>8.1199999999999992</v>
      </c>
      <c r="Z26" s="144">
        <v>8.1199999999999992</v>
      </c>
      <c r="AA26" s="58">
        <v>8.1199999999999992</v>
      </c>
      <c r="AB26" s="58">
        <v>0.26</v>
      </c>
      <c r="AC26" s="10">
        <v>0.26</v>
      </c>
      <c r="AD26" s="10">
        <v>0.26</v>
      </c>
      <c r="AE26" s="10">
        <v>0.26</v>
      </c>
      <c r="AF26" s="10">
        <v>0.26</v>
      </c>
      <c r="AG26" s="10">
        <v>0.26</v>
      </c>
      <c r="AH26" s="10">
        <v>0.26</v>
      </c>
      <c r="AI26" s="10">
        <v>0.26</v>
      </c>
      <c r="AJ26" s="10">
        <v>0.26</v>
      </c>
      <c r="AK26" s="10">
        <v>0.26</v>
      </c>
      <c r="AL26" s="10">
        <v>1.32</v>
      </c>
      <c r="AM26" s="10">
        <v>1.32</v>
      </c>
      <c r="AN26" s="149">
        <v>1.32</v>
      </c>
      <c r="AO26" s="5">
        <v>187550</v>
      </c>
      <c r="AP26" s="118">
        <f t="shared" si="1"/>
        <v>48763</v>
      </c>
      <c r="AQ26" s="5">
        <v>122936</v>
      </c>
      <c r="AR26" s="118">
        <f t="shared" si="2"/>
        <v>31963.360000000001</v>
      </c>
      <c r="AS26" s="5">
        <v>133400</v>
      </c>
      <c r="AT26" s="127">
        <f t="shared" si="3"/>
        <v>34684</v>
      </c>
      <c r="AU26" s="5">
        <v>154200</v>
      </c>
      <c r="AV26" s="118">
        <f t="shared" si="4"/>
        <v>40092</v>
      </c>
      <c r="AW26" s="5">
        <v>135190</v>
      </c>
      <c r="AX26" s="118">
        <f t="shared" si="5"/>
        <v>35149.4</v>
      </c>
      <c r="AY26" s="5">
        <v>147800</v>
      </c>
      <c r="AZ26" s="127">
        <f t="shared" si="6"/>
        <v>38428</v>
      </c>
      <c r="BA26" s="105">
        <v>120076</v>
      </c>
      <c r="BB26" s="118">
        <f t="shared" si="7"/>
        <v>31219.760000000002</v>
      </c>
      <c r="BC26" s="105">
        <v>104600</v>
      </c>
      <c r="BD26" s="118">
        <f t="shared" si="8"/>
        <v>27196</v>
      </c>
      <c r="BE26" s="5">
        <v>64560</v>
      </c>
      <c r="BF26" s="127">
        <f t="shared" si="9"/>
        <v>16785.600000000002</v>
      </c>
      <c r="BG26" s="105">
        <v>92200</v>
      </c>
      <c r="BH26" s="118">
        <f t="shared" si="10"/>
        <v>121704</v>
      </c>
      <c r="BI26" s="5">
        <v>72200</v>
      </c>
      <c r="BJ26" s="118">
        <f t="shared" si="11"/>
        <v>95304</v>
      </c>
      <c r="BK26" s="5">
        <v>92880</v>
      </c>
      <c r="BL26" s="127">
        <f t="shared" si="12"/>
        <v>122601.60000000001</v>
      </c>
    </row>
    <row r="27" spans="1:64">
      <c r="A27" s="112" t="s">
        <v>259</v>
      </c>
      <c r="B27" s="106"/>
      <c r="C27" s="66" t="s">
        <v>175</v>
      </c>
      <c r="D27" s="284"/>
      <c r="E27" s="136" t="s">
        <v>176</v>
      </c>
      <c r="F27" s="290"/>
      <c r="G27" s="72"/>
      <c r="H27" s="75" t="s">
        <v>208</v>
      </c>
      <c r="I27" s="75"/>
      <c r="J27" s="72"/>
      <c r="K27" s="75" t="s">
        <v>208</v>
      </c>
      <c r="L27" s="74"/>
      <c r="M27" s="52"/>
      <c r="N27" s="52"/>
      <c r="O27" s="52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49"/>
      <c r="AB27" s="49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49"/>
      <c r="AP27" s="118">
        <f t="shared" si="1"/>
        <v>0</v>
      </c>
      <c r="AR27" s="118">
        <f t="shared" si="2"/>
        <v>0</v>
      </c>
      <c r="AS27" s="5">
        <v>0</v>
      </c>
      <c r="AT27" s="127">
        <f t="shared" si="3"/>
        <v>0</v>
      </c>
      <c r="AU27" s="5">
        <v>0</v>
      </c>
      <c r="AV27" s="118">
        <f t="shared" si="4"/>
        <v>0</v>
      </c>
      <c r="AW27" s="5"/>
      <c r="AX27" s="118">
        <f t="shared" si="5"/>
        <v>0</v>
      </c>
      <c r="AY27" s="5"/>
      <c r="AZ27" s="127">
        <f t="shared" si="6"/>
        <v>0</v>
      </c>
      <c r="BA27" s="105">
        <v>0</v>
      </c>
      <c r="BB27" s="118">
        <f t="shared" si="7"/>
        <v>0</v>
      </c>
      <c r="BC27" s="105"/>
      <c r="BD27" s="118">
        <f t="shared" si="8"/>
        <v>0</v>
      </c>
      <c r="BE27" s="5"/>
      <c r="BF27" s="127">
        <f t="shared" si="9"/>
        <v>0</v>
      </c>
      <c r="BG27" s="105"/>
      <c r="BH27" s="118">
        <f t="shared" si="10"/>
        <v>0</v>
      </c>
      <c r="BI27" s="5"/>
      <c r="BJ27" s="118">
        <f t="shared" si="11"/>
        <v>0</v>
      </c>
      <c r="BK27" s="5">
        <v>0</v>
      </c>
      <c r="BL27" s="127">
        <f t="shared" si="12"/>
        <v>0</v>
      </c>
    </row>
    <row r="28" spans="1:64">
      <c r="A28" s="112" t="s">
        <v>259</v>
      </c>
      <c r="B28" s="106" t="s">
        <v>362</v>
      </c>
      <c r="C28" s="66" t="s">
        <v>175</v>
      </c>
      <c r="D28" s="284"/>
      <c r="E28" s="136" t="s">
        <v>176</v>
      </c>
      <c r="F28" s="292">
        <v>1000</v>
      </c>
      <c r="G28" s="64" t="s">
        <v>187</v>
      </c>
      <c r="H28" s="63" t="s">
        <v>209</v>
      </c>
      <c r="I28" s="63" t="s">
        <v>196</v>
      </c>
      <c r="J28" s="64" t="s">
        <v>191</v>
      </c>
      <c r="K28" s="63" t="s">
        <v>198</v>
      </c>
      <c r="L28" s="62" t="s">
        <v>210</v>
      </c>
      <c r="M28" s="61" t="s">
        <v>211</v>
      </c>
      <c r="N28" s="61">
        <v>6.89</v>
      </c>
      <c r="O28" s="61">
        <v>6.94</v>
      </c>
      <c r="P28" s="154">
        <v>6.94</v>
      </c>
      <c r="Q28" s="154">
        <v>6.94</v>
      </c>
      <c r="R28" s="154">
        <v>6.94</v>
      </c>
      <c r="S28" s="154">
        <v>6.94</v>
      </c>
      <c r="T28" s="154">
        <v>6.94</v>
      </c>
      <c r="U28" s="154">
        <v>6.94</v>
      </c>
      <c r="V28" s="154">
        <v>6.94</v>
      </c>
      <c r="W28" s="154">
        <v>6.94</v>
      </c>
      <c r="X28" s="154">
        <v>6.94</v>
      </c>
      <c r="Y28" s="154">
        <v>6.94</v>
      </c>
      <c r="Z28" s="154">
        <v>6.94</v>
      </c>
      <c r="AA28" s="59">
        <v>6.94</v>
      </c>
      <c r="AB28" s="59">
        <v>0.05</v>
      </c>
      <c r="AC28" s="78">
        <v>0.05</v>
      </c>
      <c r="AD28" s="78">
        <v>0.05</v>
      </c>
      <c r="AE28" s="78">
        <v>0.05</v>
      </c>
      <c r="AF28" s="78">
        <v>0.05</v>
      </c>
      <c r="AG28" s="78">
        <v>0.05</v>
      </c>
      <c r="AH28" s="78">
        <v>0.05</v>
      </c>
      <c r="AI28" s="78">
        <v>0.05</v>
      </c>
      <c r="AJ28" s="78">
        <v>0.05</v>
      </c>
      <c r="AK28" s="78">
        <v>0.05</v>
      </c>
      <c r="AL28" s="78">
        <v>0.05</v>
      </c>
      <c r="AM28" s="78">
        <v>0.05</v>
      </c>
      <c r="AN28" s="151">
        <v>0.05</v>
      </c>
      <c r="AO28" s="22">
        <v>0</v>
      </c>
      <c r="AP28" s="117">
        <f t="shared" si="1"/>
        <v>0</v>
      </c>
      <c r="AQ28" s="22">
        <v>0</v>
      </c>
      <c r="AR28" s="117">
        <f t="shared" si="2"/>
        <v>0</v>
      </c>
      <c r="AS28" s="22">
        <v>0</v>
      </c>
      <c r="AT28" s="126">
        <f t="shared" si="3"/>
        <v>0</v>
      </c>
      <c r="AU28" s="22">
        <v>0</v>
      </c>
      <c r="AV28" s="117">
        <f t="shared" si="4"/>
        <v>0</v>
      </c>
      <c r="AW28" s="22">
        <v>0</v>
      </c>
      <c r="AX28" s="117">
        <f t="shared" si="5"/>
        <v>0</v>
      </c>
      <c r="AY28" s="22">
        <v>0</v>
      </c>
      <c r="AZ28" s="126">
        <f t="shared" si="6"/>
        <v>0</v>
      </c>
      <c r="BA28" s="79">
        <v>0</v>
      </c>
      <c r="BB28" s="117">
        <f t="shared" si="7"/>
        <v>0</v>
      </c>
      <c r="BC28" s="79">
        <v>0</v>
      </c>
      <c r="BD28" s="117">
        <f t="shared" si="8"/>
        <v>0</v>
      </c>
      <c r="BE28" s="22">
        <v>0</v>
      </c>
      <c r="BF28" s="126">
        <f t="shared" si="9"/>
        <v>0</v>
      </c>
      <c r="BG28" s="79">
        <v>0</v>
      </c>
      <c r="BH28" s="117">
        <f t="shared" si="10"/>
        <v>0</v>
      </c>
      <c r="BI28" s="22">
        <v>0</v>
      </c>
      <c r="BJ28" s="117">
        <f t="shared" si="11"/>
        <v>0</v>
      </c>
      <c r="BK28" s="22">
        <v>0</v>
      </c>
      <c r="BL28" s="126">
        <f t="shared" si="12"/>
        <v>0</v>
      </c>
    </row>
    <row r="29" spans="1:64">
      <c r="A29" s="112" t="s">
        <v>259</v>
      </c>
      <c r="B29" s="106" t="s">
        <v>362</v>
      </c>
      <c r="C29" s="66" t="s">
        <v>175</v>
      </c>
      <c r="D29" s="284"/>
      <c r="E29" s="136" t="s">
        <v>176</v>
      </c>
      <c r="F29" s="293"/>
      <c r="G29" s="71" t="s">
        <v>187</v>
      </c>
      <c r="H29" s="70" t="s">
        <v>209</v>
      </c>
      <c r="I29" s="70" t="s">
        <v>196</v>
      </c>
      <c r="J29" s="71" t="s">
        <v>212</v>
      </c>
      <c r="K29" s="70" t="s">
        <v>198</v>
      </c>
      <c r="L29" s="69" t="s">
        <v>213</v>
      </c>
      <c r="M29" s="68" t="s">
        <v>214</v>
      </c>
      <c r="N29" s="68">
        <v>6.64</v>
      </c>
      <c r="O29" s="68">
        <v>6.69</v>
      </c>
      <c r="P29" s="144">
        <v>6.69</v>
      </c>
      <c r="Q29" s="144">
        <v>6.69</v>
      </c>
      <c r="R29" s="144">
        <v>6.69</v>
      </c>
      <c r="S29" s="144">
        <v>6.69</v>
      </c>
      <c r="T29" s="144">
        <v>6.69</v>
      </c>
      <c r="U29" s="144">
        <v>6.69</v>
      </c>
      <c r="V29" s="144">
        <v>6.69</v>
      </c>
      <c r="W29" s="144">
        <v>6.69</v>
      </c>
      <c r="X29" s="144">
        <v>6.69</v>
      </c>
      <c r="Y29" s="144">
        <v>6.69</v>
      </c>
      <c r="Z29" s="144">
        <v>6.69</v>
      </c>
      <c r="AA29" s="58">
        <v>6.69</v>
      </c>
      <c r="AB29" s="58">
        <v>0.05</v>
      </c>
      <c r="AC29" s="10">
        <v>0.05</v>
      </c>
      <c r="AD29" s="10">
        <v>0.05</v>
      </c>
      <c r="AE29" s="10">
        <v>0.05</v>
      </c>
      <c r="AF29" s="10">
        <v>0.05</v>
      </c>
      <c r="AG29" s="10">
        <v>0.05</v>
      </c>
      <c r="AH29" s="10">
        <v>0.05</v>
      </c>
      <c r="AI29" s="10">
        <v>0.05</v>
      </c>
      <c r="AJ29" s="10">
        <v>0.05</v>
      </c>
      <c r="AK29" s="10">
        <v>0.05</v>
      </c>
      <c r="AL29" s="10">
        <v>0.05</v>
      </c>
      <c r="AM29" s="10">
        <v>0.05</v>
      </c>
      <c r="AN29" s="149">
        <v>0.05</v>
      </c>
      <c r="AO29" s="5">
        <v>0</v>
      </c>
      <c r="AP29" s="118">
        <f t="shared" si="1"/>
        <v>0</v>
      </c>
      <c r="AQ29" s="5">
        <v>0</v>
      </c>
      <c r="AR29" s="118">
        <f t="shared" si="2"/>
        <v>0</v>
      </c>
      <c r="AS29" s="5">
        <v>0</v>
      </c>
      <c r="AT29" s="127">
        <f t="shared" si="3"/>
        <v>0</v>
      </c>
      <c r="AU29" s="5">
        <v>0</v>
      </c>
      <c r="AV29" s="118">
        <f t="shared" si="4"/>
        <v>0</v>
      </c>
      <c r="AW29" s="5">
        <v>0</v>
      </c>
      <c r="AX29" s="118">
        <f t="shared" si="5"/>
        <v>0</v>
      </c>
      <c r="AY29" s="5">
        <v>0</v>
      </c>
      <c r="AZ29" s="127">
        <f t="shared" si="6"/>
        <v>0</v>
      </c>
      <c r="BA29" s="105">
        <v>0</v>
      </c>
      <c r="BB29" s="118">
        <f t="shared" si="7"/>
        <v>0</v>
      </c>
      <c r="BC29" s="105">
        <v>0</v>
      </c>
      <c r="BD29" s="118">
        <f t="shared" si="8"/>
        <v>0</v>
      </c>
      <c r="BE29" s="5">
        <v>0</v>
      </c>
      <c r="BF29" s="127">
        <f t="shared" si="9"/>
        <v>0</v>
      </c>
      <c r="BG29" s="105">
        <v>0</v>
      </c>
      <c r="BH29" s="118">
        <f t="shared" si="10"/>
        <v>0</v>
      </c>
      <c r="BI29" s="5">
        <v>0</v>
      </c>
      <c r="BJ29" s="118">
        <f t="shared" si="11"/>
        <v>0</v>
      </c>
      <c r="BK29" s="5">
        <v>0</v>
      </c>
      <c r="BL29" s="127">
        <f t="shared" si="12"/>
        <v>0</v>
      </c>
    </row>
    <row r="30" spans="1:64">
      <c r="A30" s="112" t="s">
        <v>259</v>
      </c>
      <c r="B30" s="106" t="s">
        <v>362</v>
      </c>
      <c r="C30" s="66" t="s">
        <v>175</v>
      </c>
      <c r="D30" s="284"/>
      <c r="E30" s="136" t="s">
        <v>176</v>
      </c>
      <c r="F30" s="293"/>
      <c r="G30" s="71" t="s">
        <v>215</v>
      </c>
      <c r="H30" s="70" t="s">
        <v>216</v>
      </c>
      <c r="I30" s="70" t="s">
        <v>196</v>
      </c>
      <c r="J30" s="71" t="s">
        <v>212</v>
      </c>
      <c r="K30" s="70" t="s">
        <v>217</v>
      </c>
      <c r="L30" s="69" t="s">
        <v>185</v>
      </c>
      <c r="M30" s="68" t="s">
        <v>186</v>
      </c>
      <c r="N30" s="68">
        <v>6.42</v>
      </c>
      <c r="O30" s="68">
        <v>6.52</v>
      </c>
      <c r="P30" s="144">
        <v>6.52</v>
      </c>
      <c r="Q30" s="144">
        <v>6.52</v>
      </c>
      <c r="R30" s="144">
        <v>6.52</v>
      </c>
      <c r="S30" s="144">
        <v>6.52</v>
      </c>
      <c r="T30" s="144">
        <v>6.52</v>
      </c>
      <c r="U30" s="144">
        <v>6.52</v>
      </c>
      <c r="V30" s="144">
        <v>6.52</v>
      </c>
      <c r="W30" s="144">
        <v>6.52</v>
      </c>
      <c r="X30" s="144">
        <v>6.52</v>
      </c>
      <c r="Y30" s="144">
        <v>6.52</v>
      </c>
      <c r="Z30" s="144">
        <v>6.52</v>
      </c>
      <c r="AA30" s="58">
        <v>6.52</v>
      </c>
      <c r="AB30" s="58">
        <v>0.1</v>
      </c>
      <c r="AC30" s="10">
        <v>0.1</v>
      </c>
      <c r="AD30" s="10">
        <v>0.1</v>
      </c>
      <c r="AE30" s="10">
        <v>0.1</v>
      </c>
      <c r="AF30" s="10">
        <v>0.1</v>
      </c>
      <c r="AG30" s="10">
        <v>0.1</v>
      </c>
      <c r="AH30" s="10">
        <v>0.1</v>
      </c>
      <c r="AI30" s="10">
        <v>0.1</v>
      </c>
      <c r="AJ30" s="10">
        <v>0.1</v>
      </c>
      <c r="AK30" s="10">
        <v>0.1</v>
      </c>
      <c r="AL30" s="10">
        <v>0.1</v>
      </c>
      <c r="AM30" s="10">
        <v>0.1</v>
      </c>
      <c r="AN30" s="149">
        <v>0.1</v>
      </c>
      <c r="AO30" s="5">
        <v>0</v>
      </c>
      <c r="AP30" s="118">
        <f t="shared" si="1"/>
        <v>0</v>
      </c>
      <c r="AQ30" s="5">
        <v>0</v>
      </c>
      <c r="AR30" s="118">
        <f t="shared" si="2"/>
        <v>0</v>
      </c>
      <c r="AS30" s="5">
        <v>0</v>
      </c>
      <c r="AT30" s="127">
        <f t="shared" si="3"/>
        <v>0</v>
      </c>
      <c r="AU30" s="5">
        <v>0</v>
      </c>
      <c r="AV30" s="118">
        <f t="shared" si="4"/>
        <v>0</v>
      </c>
      <c r="AW30" s="5">
        <v>0</v>
      </c>
      <c r="AX30" s="118">
        <f t="shared" si="5"/>
        <v>0</v>
      </c>
      <c r="AY30" s="5">
        <v>0</v>
      </c>
      <c r="AZ30" s="127">
        <f t="shared" si="6"/>
        <v>0</v>
      </c>
      <c r="BA30" s="5">
        <v>0</v>
      </c>
      <c r="BB30" s="118">
        <f t="shared" si="7"/>
        <v>0</v>
      </c>
      <c r="BC30" s="5">
        <v>0</v>
      </c>
      <c r="BD30" s="118">
        <f t="shared" si="8"/>
        <v>0</v>
      </c>
      <c r="BE30" s="5">
        <v>0</v>
      </c>
      <c r="BF30" s="127">
        <f t="shared" si="9"/>
        <v>0</v>
      </c>
      <c r="BG30" s="105">
        <v>0</v>
      </c>
      <c r="BH30" s="118">
        <f t="shared" si="10"/>
        <v>0</v>
      </c>
      <c r="BI30" s="5">
        <v>0</v>
      </c>
      <c r="BJ30" s="118">
        <f t="shared" si="11"/>
        <v>0</v>
      </c>
      <c r="BK30" s="5">
        <v>0</v>
      </c>
      <c r="BL30" s="127">
        <f t="shared" si="12"/>
        <v>0</v>
      </c>
    </row>
    <row r="31" spans="1:64">
      <c r="A31" s="112" t="s">
        <v>259</v>
      </c>
      <c r="B31" s="106" t="s">
        <v>362</v>
      </c>
      <c r="C31" s="66" t="s">
        <v>175</v>
      </c>
      <c r="D31" s="284"/>
      <c r="E31" s="136" t="s">
        <v>176</v>
      </c>
      <c r="F31" s="293"/>
      <c r="G31" s="71" t="s">
        <v>187</v>
      </c>
      <c r="H31" s="70" t="s">
        <v>218</v>
      </c>
      <c r="I31" s="70" t="s">
        <v>196</v>
      </c>
      <c r="J31" s="71" t="s">
        <v>212</v>
      </c>
      <c r="K31" s="70" t="s">
        <v>219</v>
      </c>
      <c r="L31" s="69" t="s">
        <v>185</v>
      </c>
      <c r="M31" s="68" t="s">
        <v>186</v>
      </c>
      <c r="N31" s="68">
        <v>6.43</v>
      </c>
      <c r="O31" s="68">
        <v>6.53</v>
      </c>
      <c r="P31" s="144">
        <v>6.53</v>
      </c>
      <c r="Q31" s="144">
        <v>6.53</v>
      </c>
      <c r="R31" s="144">
        <v>6.53</v>
      </c>
      <c r="S31" s="144">
        <v>6.53</v>
      </c>
      <c r="T31" s="144">
        <v>6.53</v>
      </c>
      <c r="U31" s="144">
        <v>6.53</v>
      </c>
      <c r="V31" s="144">
        <v>6.53</v>
      </c>
      <c r="W31" s="144">
        <v>6.53</v>
      </c>
      <c r="X31" s="144">
        <v>6.53</v>
      </c>
      <c r="Y31" s="144">
        <v>6.53</v>
      </c>
      <c r="Z31" s="144">
        <v>6.53</v>
      </c>
      <c r="AA31" s="58">
        <v>6.53</v>
      </c>
      <c r="AB31" s="58">
        <v>0.1</v>
      </c>
      <c r="AC31" s="10">
        <v>0.1</v>
      </c>
      <c r="AD31" s="10">
        <v>0.1</v>
      </c>
      <c r="AE31" s="10">
        <v>0.1</v>
      </c>
      <c r="AF31" s="10">
        <v>0.1</v>
      </c>
      <c r="AG31" s="10">
        <v>0.1</v>
      </c>
      <c r="AH31" s="10">
        <v>0.1</v>
      </c>
      <c r="AI31" s="10">
        <v>0.1</v>
      </c>
      <c r="AJ31" s="10">
        <v>0.1</v>
      </c>
      <c r="AK31" s="10">
        <v>0.1</v>
      </c>
      <c r="AL31" s="10">
        <v>0.1</v>
      </c>
      <c r="AM31" s="10">
        <v>0.1</v>
      </c>
      <c r="AN31" s="149">
        <v>0.1</v>
      </c>
      <c r="AO31" s="5">
        <v>0</v>
      </c>
      <c r="AP31" s="118">
        <f t="shared" si="1"/>
        <v>0</v>
      </c>
      <c r="AQ31" s="5">
        <v>0</v>
      </c>
      <c r="AR31" s="118">
        <f t="shared" si="2"/>
        <v>0</v>
      </c>
      <c r="AS31" s="5">
        <v>0</v>
      </c>
      <c r="AT31" s="127">
        <f t="shared" si="3"/>
        <v>0</v>
      </c>
      <c r="AU31" s="5">
        <v>0</v>
      </c>
      <c r="AV31" s="118">
        <f t="shared" si="4"/>
        <v>0</v>
      </c>
      <c r="AW31" s="5">
        <v>0</v>
      </c>
      <c r="AX31" s="118">
        <f t="shared" si="5"/>
        <v>0</v>
      </c>
      <c r="AY31" s="5">
        <v>0</v>
      </c>
      <c r="AZ31" s="127">
        <f t="shared" si="6"/>
        <v>0</v>
      </c>
      <c r="BA31" s="5">
        <v>0</v>
      </c>
      <c r="BB31" s="118">
        <f t="shared" si="7"/>
        <v>0</v>
      </c>
      <c r="BC31" s="5">
        <v>0</v>
      </c>
      <c r="BD31" s="118">
        <f t="shared" si="8"/>
        <v>0</v>
      </c>
      <c r="BE31" s="5">
        <v>0</v>
      </c>
      <c r="BF31" s="127">
        <f t="shared" si="9"/>
        <v>0</v>
      </c>
      <c r="BG31" s="105">
        <v>0</v>
      </c>
      <c r="BH31" s="118">
        <f t="shared" si="10"/>
        <v>0</v>
      </c>
      <c r="BI31" s="5">
        <v>0</v>
      </c>
      <c r="BJ31" s="118">
        <f t="shared" si="11"/>
        <v>0</v>
      </c>
      <c r="BK31" s="5">
        <v>0</v>
      </c>
      <c r="BL31" s="127">
        <f t="shared" si="12"/>
        <v>0</v>
      </c>
    </row>
    <row r="32" spans="1:64">
      <c r="A32" s="112" t="s">
        <v>259</v>
      </c>
      <c r="B32" s="106" t="s">
        <v>362</v>
      </c>
      <c r="C32" s="66" t="s">
        <v>175</v>
      </c>
      <c r="D32" s="284"/>
      <c r="E32" s="136" t="s">
        <v>176</v>
      </c>
      <c r="F32" s="293"/>
      <c r="G32" s="71" t="s">
        <v>178</v>
      </c>
      <c r="H32" s="70" t="s">
        <v>220</v>
      </c>
      <c r="I32" s="70" t="s">
        <v>196</v>
      </c>
      <c r="J32" s="71" t="s">
        <v>212</v>
      </c>
      <c r="K32" s="70" t="s">
        <v>221</v>
      </c>
      <c r="L32" s="69" t="s">
        <v>185</v>
      </c>
      <c r="M32" s="68" t="s">
        <v>186</v>
      </c>
      <c r="N32" s="68">
        <v>7.52</v>
      </c>
      <c r="O32" s="68">
        <v>8.18</v>
      </c>
      <c r="P32" s="144">
        <v>8.18</v>
      </c>
      <c r="Q32" s="144">
        <v>8.18</v>
      </c>
      <c r="R32" s="144">
        <v>8.18</v>
      </c>
      <c r="S32" s="144">
        <v>8.18</v>
      </c>
      <c r="T32" s="144">
        <v>8.18</v>
      </c>
      <c r="U32" s="144">
        <v>8.18</v>
      </c>
      <c r="V32" s="144">
        <v>8.18</v>
      </c>
      <c r="W32" s="144">
        <v>8.18</v>
      </c>
      <c r="X32" s="144">
        <v>8.18</v>
      </c>
      <c r="Y32" s="144">
        <v>8.18</v>
      </c>
      <c r="Z32" s="144">
        <v>8.18</v>
      </c>
      <c r="AA32" s="58">
        <v>8.18</v>
      </c>
      <c r="AB32" s="58">
        <v>0.25</v>
      </c>
      <c r="AC32" s="10">
        <v>0.31</v>
      </c>
      <c r="AD32" s="10">
        <v>0.31</v>
      </c>
      <c r="AE32" s="10">
        <v>0.31</v>
      </c>
      <c r="AF32" s="10">
        <v>0.31</v>
      </c>
      <c r="AG32" s="10">
        <v>0.31</v>
      </c>
      <c r="AH32" s="10">
        <v>0.31</v>
      </c>
      <c r="AI32" s="10">
        <v>0.31</v>
      </c>
      <c r="AJ32" s="10">
        <v>0.31</v>
      </c>
      <c r="AK32" s="10">
        <v>0.31</v>
      </c>
      <c r="AL32" s="10">
        <v>0.31</v>
      </c>
      <c r="AM32" s="10">
        <v>0.31</v>
      </c>
      <c r="AN32" s="149">
        <v>0.31</v>
      </c>
      <c r="AO32" s="5">
        <v>21751</v>
      </c>
      <c r="AP32" s="118">
        <f t="shared" si="1"/>
        <v>6742.81</v>
      </c>
      <c r="AQ32" s="5">
        <v>15586</v>
      </c>
      <c r="AR32" s="118">
        <f t="shared" si="2"/>
        <v>4831.66</v>
      </c>
      <c r="AS32" s="5">
        <v>16190</v>
      </c>
      <c r="AT32" s="127">
        <f t="shared" si="3"/>
        <v>5018.8999999999996</v>
      </c>
      <c r="AU32" s="5">
        <v>22800</v>
      </c>
      <c r="AV32" s="118">
        <f t="shared" si="4"/>
        <v>7068</v>
      </c>
      <c r="AW32" s="5">
        <v>9154</v>
      </c>
      <c r="AX32" s="118">
        <f t="shared" si="5"/>
        <v>2837.74</v>
      </c>
      <c r="AY32" s="5">
        <v>0</v>
      </c>
      <c r="AZ32" s="127">
        <f t="shared" si="6"/>
        <v>0</v>
      </c>
      <c r="BA32" s="105">
        <v>18237</v>
      </c>
      <c r="BB32" s="118">
        <f t="shared" si="7"/>
        <v>5653.47</v>
      </c>
      <c r="BC32" s="105">
        <v>11800</v>
      </c>
      <c r="BD32" s="118">
        <f t="shared" si="8"/>
        <v>3658</v>
      </c>
      <c r="BE32" s="5">
        <v>10166</v>
      </c>
      <c r="BF32" s="127">
        <f t="shared" si="9"/>
        <v>3151.46</v>
      </c>
      <c r="BG32" s="105">
        <v>15600</v>
      </c>
      <c r="BH32" s="118">
        <f t="shared" si="10"/>
        <v>4836</v>
      </c>
      <c r="BI32" s="5">
        <v>28200</v>
      </c>
      <c r="BJ32" s="118">
        <f t="shared" si="11"/>
        <v>8742</v>
      </c>
      <c r="BK32" s="5">
        <v>800</v>
      </c>
      <c r="BL32" s="127">
        <f t="shared" si="12"/>
        <v>248</v>
      </c>
    </row>
    <row r="33" spans="1:64">
      <c r="A33" s="112" t="s">
        <v>259</v>
      </c>
      <c r="B33" s="106" t="s">
        <v>362</v>
      </c>
      <c r="C33" s="66" t="s">
        <v>175</v>
      </c>
      <c r="D33" s="284"/>
      <c r="E33" s="136" t="s">
        <v>176</v>
      </c>
      <c r="F33" s="293"/>
      <c r="G33" s="71" t="s">
        <v>187</v>
      </c>
      <c r="H33" s="70" t="s">
        <v>223</v>
      </c>
      <c r="I33" s="70" t="s">
        <v>196</v>
      </c>
      <c r="J33" s="71" t="s">
        <v>212</v>
      </c>
      <c r="K33" s="70" t="s">
        <v>198</v>
      </c>
      <c r="L33" s="69" t="s">
        <v>185</v>
      </c>
      <c r="M33" s="68" t="s">
        <v>186</v>
      </c>
      <c r="N33" s="68">
        <v>6.59</v>
      </c>
      <c r="O33" s="68">
        <v>6.69</v>
      </c>
      <c r="P33" s="144">
        <v>6.69</v>
      </c>
      <c r="Q33" s="144">
        <v>6.69</v>
      </c>
      <c r="R33" s="144">
        <v>6.69</v>
      </c>
      <c r="S33" s="144">
        <v>6.69</v>
      </c>
      <c r="T33" s="144">
        <v>6.69</v>
      </c>
      <c r="U33" s="144">
        <v>6.69</v>
      </c>
      <c r="V33" s="144">
        <v>6.69</v>
      </c>
      <c r="W33" s="144">
        <v>6.69</v>
      </c>
      <c r="X33" s="144">
        <v>6.69</v>
      </c>
      <c r="Y33" s="144">
        <v>6.69</v>
      </c>
      <c r="Z33" s="144">
        <v>6.69</v>
      </c>
      <c r="AA33" s="58">
        <v>6.69</v>
      </c>
      <c r="AB33" s="58">
        <v>0.1</v>
      </c>
      <c r="AC33" s="10">
        <v>0.1</v>
      </c>
      <c r="AD33" s="10">
        <v>0.1</v>
      </c>
      <c r="AE33" s="10">
        <v>0.1</v>
      </c>
      <c r="AF33" s="10">
        <v>0.1</v>
      </c>
      <c r="AG33" s="10">
        <v>0.1</v>
      </c>
      <c r="AH33" s="10">
        <v>0.1</v>
      </c>
      <c r="AI33" s="10">
        <v>0.1</v>
      </c>
      <c r="AJ33" s="10">
        <v>0.1</v>
      </c>
      <c r="AK33" s="10">
        <v>0.1</v>
      </c>
      <c r="AL33" s="10">
        <v>0.1</v>
      </c>
      <c r="AM33" s="10">
        <v>0.1</v>
      </c>
      <c r="AN33" s="149">
        <v>0.1</v>
      </c>
      <c r="AO33" s="5">
        <v>8907</v>
      </c>
      <c r="AP33" s="118">
        <f t="shared" si="1"/>
        <v>890.7</v>
      </c>
      <c r="AQ33" s="5">
        <v>0</v>
      </c>
      <c r="AR33" s="118">
        <f t="shared" si="2"/>
        <v>0</v>
      </c>
      <c r="AS33" s="5">
        <v>0</v>
      </c>
      <c r="AT33" s="127">
        <f t="shared" si="3"/>
        <v>0</v>
      </c>
      <c r="AU33" s="5">
        <v>0</v>
      </c>
      <c r="AV33" s="118">
        <f t="shared" si="4"/>
        <v>0</v>
      </c>
      <c r="AW33" s="5">
        <v>0</v>
      </c>
      <c r="AX33" s="118">
        <f t="shared" si="5"/>
        <v>0</v>
      </c>
      <c r="AY33" s="5">
        <v>0</v>
      </c>
      <c r="AZ33" s="127">
        <f t="shared" si="6"/>
        <v>0</v>
      </c>
      <c r="BA33" s="105">
        <v>0</v>
      </c>
      <c r="BB33" s="118">
        <f t="shared" si="7"/>
        <v>0</v>
      </c>
      <c r="BC33" s="105">
        <v>0</v>
      </c>
      <c r="BD33" s="118">
        <f t="shared" si="8"/>
        <v>0</v>
      </c>
      <c r="BE33" s="5">
        <v>0</v>
      </c>
      <c r="BF33" s="127">
        <f t="shared" si="9"/>
        <v>0</v>
      </c>
      <c r="BG33" s="105">
        <v>0</v>
      </c>
      <c r="BH33" s="118">
        <f t="shared" si="10"/>
        <v>0</v>
      </c>
      <c r="BI33" s="5">
        <v>0</v>
      </c>
      <c r="BJ33" s="118">
        <f t="shared" si="11"/>
        <v>0</v>
      </c>
      <c r="BK33" s="5">
        <v>0</v>
      </c>
      <c r="BL33" s="127">
        <f t="shared" si="12"/>
        <v>0</v>
      </c>
    </row>
    <row r="34" spans="1:64">
      <c r="A34" s="112" t="s">
        <v>259</v>
      </c>
      <c r="B34" s="106"/>
      <c r="C34" s="66" t="s">
        <v>175</v>
      </c>
      <c r="D34" s="284"/>
      <c r="E34" s="136" t="s">
        <v>176</v>
      </c>
      <c r="F34" s="290"/>
      <c r="G34" s="72"/>
      <c r="H34" s="75" t="s">
        <v>208</v>
      </c>
      <c r="I34" s="75"/>
      <c r="J34" s="72"/>
      <c r="K34" s="75" t="s">
        <v>208</v>
      </c>
      <c r="L34" s="74"/>
      <c r="M34" s="52"/>
      <c r="N34" s="52"/>
      <c r="O34" s="52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49"/>
      <c r="AB34" s="49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152"/>
      <c r="AO34" s="23"/>
      <c r="AP34" s="118">
        <f t="shared" si="1"/>
        <v>0</v>
      </c>
      <c r="AQ34" s="23"/>
      <c r="AR34" s="118">
        <f t="shared" si="2"/>
        <v>0</v>
      </c>
      <c r="AS34" s="23"/>
      <c r="AT34" s="127">
        <f t="shared" si="3"/>
        <v>0</v>
      </c>
      <c r="AU34" s="23"/>
      <c r="AV34" s="118">
        <f t="shared" si="4"/>
        <v>0</v>
      </c>
      <c r="AW34" s="23">
        <v>0</v>
      </c>
      <c r="AX34" s="118">
        <f t="shared" si="5"/>
        <v>0</v>
      </c>
      <c r="AY34" s="23"/>
      <c r="AZ34" s="127">
        <f t="shared" si="6"/>
        <v>0</v>
      </c>
      <c r="BA34" s="50"/>
      <c r="BB34" s="118">
        <f t="shared" si="7"/>
        <v>0</v>
      </c>
      <c r="BC34" s="50"/>
      <c r="BD34" s="118">
        <f t="shared" si="8"/>
        <v>0</v>
      </c>
      <c r="BE34" s="23"/>
      <c r="BF34" s="127">
        <f t="shared" si="9"/>
        <v>0</v>
      </c>
      <c r="BG34" s="50"/>
      <c r="BH34" s="118">
        <f t="shared" si="10"/>
        <v>0</v>
      </c>
      <c r="BI34" s="23"/>
      <c r="BJ34" s="118">
        <f t="shared" si="11"/>
        <v>0</v>
      </c>
      <c r="BK34" s="23"/>
      <c r="BL34" s="127">
        <f t="shared" si="12"/>
        <v>0</v>
      </c>
    </row>
    <row r="35" spans="1:64">
      <c r="A35" s="112" t="s">
        <v>259</v>
      </c>
      <c r="B35" s="106"/>
      <c r="C35" s="66" t="s">
        <v>175</v>
      </c>
      <c r="D35" s="284"/>
      <c r="E35" s="77" t="s">
        <v>176</v>
      </c>
      <c r="F35" s="291" t="s">
        <v>222</v>
      </c>
      <c r="G35" s="64"/>
      <c r="H35" s="63"/>
      <c r="I35" s="63"/>
      <c r="J35" s="64"/>
      <c r="K35" s="63"/>
      <c r="L35" s="62"/>
      <c r="M35" s="61"/>
      <c r="N35" s="61"/>
      <c r="O35" s="61"/>
      <c r="P35" s="154"/>
      <c r="Q35" s="154"/>
      <c r="R35" s="154"/>
      <c r="S35" s="154"/>
      <c r="T35" s="154"/>
      <c r="U35" s="154"/>
      <c r="V35" s="154"/>
      <c r="W35" s="154"/>
      <c r="X35" s="154"/>
      <c r="Y35" s="154"/>
      <c r="Z35" s="154"/>
      <c r="AA35" s="59"/>
      <c r="AB35" s="59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151"/>
      <c r="AO35" s="22"/>
      <c r="AP35" s="117">
        <f t="shared" si="1"/>
        <v>0</v>
      </c>
      <c r="AQ35" s="22"/>
      <c r="AR35" s="117">
        <f t="shared" si="2"/>
        <v>0</v>
      </c>
      <c r="AS35" s="22"/>
      <c r="AT35" s="126">
        <f t="shared" si="3"/>
        <v>0</v>
      </c>
      <c r="AU35" s="22"/>
      <c r="AV35" s="117">
        <f t="shared" si="4"/>
        <v>0</v>
      </c>
      <c r="AW35" s="22"/>
      <c r="AX35" s="117">
        <f t="shared" si="5"/>
        <v>0</v>
      </c>
      <c r="AY35" s="22"/>
      <c r="AZ35" s="126">
        <f t="shared" si="6"/>
        <v>0</v>
      </c>
      <c r="BA35" s="79"/>
      <c r="BB35" s="117">
        <f t="shared" si="7"/>
        <v>0</v>
      </c>
      <c r="BC35" s="79"/>
      <c r="BD35" s="117">
        <f t="shared" si="8"/>
        <v>0</v>
      </c>
      <c r="BE35" s="22"/>
      <c r="BF35" s="126">
        <f t="shared" si="9"/>
        <v>0</v>
      </c>
      <c r="BG35" s="79"/>
      <c r="BH35" s="117">
        <f t="shared" si="10"/>
        <v>0</v>
      </c>
      <c r="BI35" s="22"/>
      <c r="BJ35" s="117">
        <f t="shared" si="11"/>
        <v>0</v>
      </c>
      <c r="BK35" s="22"/>
      <c r="BL35" s="126">
        <f t="shared" si="12"/>
        <v>0</v>
      </c>
    </row>
    <row r="36" spans="1:64">
      <c r="A36" s="112" t="s">
        <v>259</v>
      </c>
      <c r="B36" s="106"/>
      <c r="C36" s="66" t="s">
        <v>175</v>
      </c>
      <c r="D36" s="284"/>
      <c r="E36" s="77" t="s">
        <v>176</v>
      </c>
      <c r="F36" s="282"/>
      <c r="G36" s="72"/>
      <c r="H36" s="75"/>
      <c r="I36" s="75"/>
      <c r="J36" s="72"/>
      <c r="K36" s="75"/>
      <c r="L36" s="74"/>
      <c r="M36" s="52"/>
      <c r="N36" s="52"/>
      <c r="O36" s="52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49"/>
      <c r="AB36" s="49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150"/>
      <c r="AO36" s="23"/>
      <c r="AP36" s="118">
        <f t="shared" si="1"/>
        <v>0</v>
      </c>
      <c r="AQ36" s="23"/>
      <c r="AR36" s="118">
        <f t="shared" si="2"/>
        <v>0</v>
      </c>
      <c r="AS36" s="23"/>
      <c r="AT36" s="127">
        <f t="shared" si="3"/>
        <v>0</v>
      </c>
      <c r="AU36" s="23"/>
      <c r="AV36" s="118">
        <f t="shared" si="4"/>
        <v>0</v>
      </c>
      <c r="AW36" s="23"/>
      <c r="AX36" s="118">
        <f t="shared" si="5"/>
        <v>0</v>
      </c>
      <c r="AY36" s="23"/>
      <c r="AZ36" s="127">
        <f t="shared" si="6"/>
        <v>0</v>
      </c>
      <c r="BA36" s="50"/>
      <c r="BB36" s="118">
        <f t="shared" si="7"/>
        <v>0</v>
      </c>
      <c r="BC36" s="50"/>
      <c r="BD36" s="118">
        <f t="shared" si="8"/>
        <v>0</v>
      </c>
      <c r="BE36" s="23"/>
      <c r="BF36" s="127">
        <f t="shared" si="9"/>
        <v>0</v>
      </c>
      <c r="BG36" s="50"/>
      <c r="BH36" s="118">
        <f t="shared" si="10"/>
        <v>0</v>
      </c>
      <c r="BI36" s="23"/>
      <c r="BJ36" s="118">
        <f t="shared" si="11"/>
        <v>0</v>
      </c>
      <c r="BK36" s="23"/>
      <c r="BL36" s="127">
        <f t="shared" si="12"/>
        <v>0</v>
      </c>
    </row>
    <row r="37" spans="1:64">
      <c r="A37" s="112" t="s">
        <v>259</v>
      </c>
      <c r="B37" s="106"/>
      <c r="C37" s="66" t="s">
        <v>175</v>
      </c>
      <c r="D37" s="284"/>
      <c r="E37" s="77" t="s">
        <v>176</v>
      </c>
      <c r="F37" s="282" t="s">
        <v>71</v>
      </c>
      <c r="G37" s="64"/>
      <c r="H37" s="63"/>
      <c r="I37" s="63"/>
      <c r="J37" s="64"/>
      <c r="K37" s="63"/>
      <c r="L37" s="62"/>
      <c r="M37" s="61"/>
      <c r="N37" s="61"/>
      <c r="O37" s="61"/>
      <c r="P37" s="154"/>
      <c r="Q37" s="154"/>
      <c r="R37" s="154"/>
      <c r="S37" s="154"/>
      <c r="T37" s="154"/>
      <c r="U37" s="154"/>
      <c r="V37" s="154"/>
      <c r="W37" s="154"/>
      <c r="X37" s="154"/>
      <c r="Y37" s="154"/>
      <c r="Z37" s="154"/>
      <c r="AA37" s="59"/>
      <c r="AB37" s="59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151"/>
      <c r="AO37" s="22"/>
      <c r="AP37" s="117">
        <f t="shared" si="1"/>
        <v>0</v>
      </c>
      <c r="AQ37" s="22"/>
      <c r="AR37" s="117">
        <f t="shared" si="2"/>
        <v>0</v>
      </c>
      <c r="AS37" s="22"/>
      <c r="AT37" s="126">
        <f t="shared" si="3"/>
        <v>0</v>
      </c>
      <c r="AU37" s="22"/>
      <c r="AV37" s="117">
        <f t="shared" si="4"/>
        <v>0</v>
      </c>
      <c r="AW37" s="22"/>
      <c r="AX37" s="117">
        <f t="shared" si="5"/>
        <v>0</v>
      </c>
      <c r="AY37" s="22"/>
      <c r="AZ37" s="126">
        <f t="shared" si="6"/>
        <v>0</v>
      </c>
      <c r="BA37" s="79"/>
      <c r="BB37" s="117">
        <f t="shared" si="7"/>
        <v>0</v>
      </c>
      <c r="BC37" s="79"/>
      <c r="BD37" s="117">
        <f t="shared" si="8"/>
        <v>0</v>
      </c>
      <c r="BE37" s="22"/>
      <c r="BF37" s="126">
        <f t="shared" si="9"/>
        <v>0</v>
      </c>
      <c r="BG37" s="79"/>
      <c r="BH37" s="117">
        <f t="shared" si="10"/>
        <v>0</v>
      </c>
      <c r="BI37" s="22"/>
      <c r="BJ37" s="117">
        <f t="shared" si="11"/>
        <v>0</v>
      </c>
      <c r="BK37" s="22"/>
      <c r="BL37" s="126">
        <f t="shared" si="12"/>
        <v>0</v>
      </c>
    </row>
    <row r="38" spans="1:64">
      <c r="A38" s="112" t="s">
        <v>259</v>
      </c>
      <c r="B38" s="106"/>
      <c r="C38" s="66" t="s">
        <v>175</v>
      </c>
      <c r="D38" s="284"/>
      <c r="E38" s="77" t="s">
        <v>176</v>
      </c>
      <c r="F38" s="282"/>
      <c r="G38" s="72"/>
      <c r="H38" s="75"/>
      <c r="I38" s="75"/>
      <c r="J38" s="72"/>
      <c r="K38" s="75"/>
      <c r="L38" s="74"/>
      <c r="M38" s="52"/>
      <c r="N38" s="52"/>
      <c r="O38" s="52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49"/>
      <c r="AB38" s="49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150"/>
      <c r="AO38" s="23"/>
      <c r="AP38" s="118">
        <f t="shared" si="1"/>
        <v>0</v>
      </c>
      <c r="AQ38" s="23"/>
      <c r="AR38" s="118">
        <f t="shared" si="2"/>
        <v>0</v>
      </c>
      <c r="AS38" s="23"/>
      <c r="AT38" s="127">
        <f t="shared" si="3"/>
        <v>0</v>
      </c>
      <c r="AU38" s="23"/>
      <c r="AV38" s="118">
        <f t="shared" si="4"/>
        <v>0</v>
      </c>
      <c r="AW38" s="23"/>
      <c r="AX38" s="118">
        <f t="shared" si="5"/>
        <v>0</v>
      </c>
      <c r="AY38" s="23"/>
      <c r="AZ38" s="127">
        <f t="shared" si="6"/>
        <v>0</v>
      </c>
      <c r="BA38" s="50"/>
      <c r="BB38" s="118">
        <f t="shared" si="7"/>
        <v>0</v>
      </c>
      <c r="BC38" s="50"/>
      <c r="BD38" s="118">
        <f t="shared" si="8"/>
        <v>0</v>
      </c>
      <c r="BE38" s="23"/>
      <c r="BF38" s="127">
        <f t="shared" si="9"/>
        <v>0</v>
      </c>
      <c r="BG38" s="50"/>
      <c r="BH38" s="118">
        <f t="shared" si="10"/>
        <v>0</v>
      </c>
      <c r="BI38" s="23"/>
      <c r="BJ38" s="118">
        <f t="shared" si="11"/>
        <v>0</v>
      </c>
      <c r="BK38" s="23"/>
      <c r="BL38" s="127">
        <f t="shared" si="12"/>
        <v>0</v>
      </c>
    </row>
    <row r="39" spans="1:64">
      <c r="A39" s="112" t="s">
        <v>259</v>
      </c>
      <c r="B39" s="106"/>
      <c r="C39" s="66" t="s">
        <v>175</v>
      </c>
      <c r="D39" s="284"/>
      <c r="E39" s="77" t="s">
        <v>176</v>
      </c>
      <c r="F39" s="291" t="s">
        <v>364</v>
      </c>
      <c r="G39" s="64"/>
      <c r="H39" s="63"/>
      <c r="I39" s="63"/>
      <c r="J39" s="64"/>
      <c r="K39" s="63"/>
      <c r="L39" s="62"/>
      <c r="M39" s="61"/>
      <c r="N39" s="61"/>
      <c r="O39" s="61"/>
      <c r="P39" s="154"/>
      <c r="Q39" s="154"/>
      <c r="R39" s="154"/>
      <c r="S39" s="154"/>
      <c r="T39" s="154"/>
      <c r="U39" s="154"/>
      <c r="V39" s="154"/>
      <c r="W39" s="154"/>
      <c r="X39" s="154"/>
      <c r="Y39" s="154"/>
      <c r="Z39" s="154"/>
      <c r="AA39" s="59"/>
      <c r="AB39" s="59"/>
      <c r="AC39" s="78"/>
      <c r="AD39" s="78"/>
      <c r="AE39" s="78"/>
      <c r="AF39" s="78"/>
      <c r="AG39" s="78"/>
      <c r="AH39" s="78"/>
      <c r="AI39" s="78"/>
      <c r="AJ39" s="78"/>
      <c r="AK39" s="78"/>
      <c r="AL39" s="78"/>
      <c r="AM39" s="78"/>
      <c r="AN39" s="151"/>
      <c r="AO39" s="22"/>
      <c r="AP39" s="117">
        <f t="shared" si="1"/>
        <v>0</v>
      </c>
      <c r="AQ39" s="22"/>
      <c r="AR39" s="117">
        <f t="shared" si="2"/>
        <v>0</v>
      </c>
      <c r="AS39" s="22"/>
      <c r="AT39" s="126">
        <f t="shared" si="3"/>
        <v>0</v>
      </c>
      <c r="AU39" s="22"/>
      <c r="AV39" s="117">
        <f t="shared" si="4"/>
        <v>0</v>
      </c>
      <c r="AW39" s="22"/>
      <c r="AX39" s="117">
        <f t="shared" si="5"/>
        <v>0</v>
      </c>
      <c r="AY39" s="22"/>
      <c r="AZ39" s="126">
        <f t="shared" si="6"/>
        <v>0</v>
      </c>
      <c r="BA39" s="79"/>
      <c r="BB39" s="117">
        <f t="shared" si="7"/>
        <v>0</v>
      </c>
      <c r="BC39" s="79"/>
      <c r="BD39" s="117">
        <f t="shared" si="8"/>
        <v>0</v>
      </c>
      <c r="BE39" s="22"/>
      <c r="BF39" s="126">
        <f t="shared" si="9"/>
        <v>0</v>
      </c>
      <c r="BG39" s="79"/>
      <c r="BH39" s="117">
        <f t="shared" si="10"/>
        <v>0</v>
      </c>
      <c r="BI39" s="22"/>
      <c r="BJ39" s="117">
        <f t="shared" si="11"/>
        <v>0</v>
      </c>
      <c r="BK39" s="22"/>
      <c r="BL39" s="126">
        <f t="shared" si="12"/>
        <v>0</v>
      </c>
    </row>
    <row r="40" spans="1:64">
      <c r="A40" s="112" t="s">
        <v>259</v>
      </c>
      <c r="B40" s="106"/>
      <c r="C40" s="66" t="s">
        <v>175</v>
      </c>
      <c r="D40" s="284"/>
      <c r="E40" s="77" t="s">
        <v>176</v>
      </c>
      <c r="F40" s="291"/>
      <c r="G40" s="72"/>
      <c r="H40" s="75"/>
      <c r="I40" s="75"/>
      <c r="J40" s="72"/>
      <c r="K40" s="75"/>
      <c r="L40" s="74"/>
      <c r="M40" s="52"/>
      <c r="N40" s="52"/>
      <c r="O40" s="52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49"/>
      <c r="AB40" s="49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150"/>
      <c r="AO40" s="23"/>
      <c r="AP40" s="118">
        <f t="shared" si="1"/>
        <v>0</v>
      </c>
      <c r="AQ40" s="23"/>
      <c r="AR40" s="118">
        <f t="shared" si="2"/>
        <v>0</v>
      </c>
      <c r="AS40" s="23"/>
      <c r="AT40" s="127">
        <f t="shared" si="3"/>
        <v>0</v>
      </c>
      <c r="AU40" s="23"/>
      <c r="AV40" s="118">
        <f t="shared" si="4"/>
        <v>0</v>
      </c>
      <c r="AW40" s="23"/>
      <c r="AX40" s="118">
        <f t="shared" si="5"/>
        <v>0</v>
      </c>
      <c r="AY40" s="23"/>
      <c r="AZ40" s="127">
        <f t="shared" si="6"/>
        <v>0</v>
      </c>
      <c r="BA40" s="50"/>
      <c r="BB40" s="118">
        <f t="shared" si="7"/>
        <v>0</v>
      </c>
      <c r="BC40" s="50"/>
      <c r="BD40" s="118">
        <f t="shared" si="8"/>
        <v>0</v>
      </c>
      <c r="BE40" s="23"/>
      <c r="BF40" s="127">
        <f t="shared" si="9"/>
        <v>0</v>
      </c>
      <c r="BG40" s="50"/>
      <c r="BH40" s="118">
        <f t="shared" si="10"/>
        <v>0</v>
      </c>
      <c r="BI40" s="23"/>
      <c r="BJ40" s="118">
        <f t="shared" si="11"/>
        <v>0</v>
      </c>
      <c r="BK40" s="23"/>
      <c r="BL40" s="127">
        <f t="shared" si="12"/>
        <v>0</v>
      </c>
    </row>
    <row r="41" spans="1:64">
      <c r="A41" s="112" t="s">
        <v>259</v>
      </c>
      <c r="B41" s="106"/>
      <c r="C41" s="66" t="s">
        <v>175</v>
      </c>
      <c r="D41" s="284"/>
      <c r="E41" s="77" t="s">
        <v>176</v>
      </c>
      <c r="F41" s="282" t="s">
        <v>68</v>
      </c>
      <c r="G41" s="64"/>
      <c r="H41" s="63"/>
      <c r="I41" s="63"/>
      <c r="J41" s="64"/>
      <c r="K41" s="63"/>
      <c r="L41" s="62"/>
      <c r="M41" s="61"/>
      <c r="N41" s="61"/>
      <c r="O41" s="61"/>
      <c r="P41" s="154"/>
      <c r="Q41" s="154"/>
      <c r="R41" s="154"/>
      <c r="S41" s="154"/>
      <c r="T41" s="154"/>
      <c r="U41" s="154"/>
      <c r="V41" s="154"/>
      <c r="W41" s="154"/>
      <c r="X41" s="154"/>
      <c r="Y41" s="154"/>
      <c r="Z41" s="154"/>
      <c r="AA41" s="59"/>
      <c r="AB41" s="59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49"/>
      <c r="AP41" s="117">
        <f t="shared" si="1"/>
        <v>0</v>
      </c>
      <c r="AQ41" s="22"/>
      <c r="AR41" s="117">
        <f t="shared" si="2"/>
        <v>0</v>
      </c>
      <c r="AS41" s="22"/>
      <c r="AT41" s="126">
        <f t="shared" si="3"/>
        <v>0</v>
      </c>
      <c r="AU41" s="22"/>
      <c r="AV41" s="117">
        <f t="shared" si="4"/>
        <v>0</v>
      </c>
      <c r="AW41" s="22"/>
      <c r="AX41" s="117">
        <f t="shared" si="5"/>
        <v>0</v>
      </c>
      <c r="AY41" s="22"/>
      <c r="AZ41" s="126">
        <f t="shared" si="6"/>
        <v>0</v>
      </c>
      <c r="BA41" s="79"/>
      <c r="BB41" s="117">
        <f t="shared" si="7"/>
        <v>0</v>
      </c>
      <c r="BC41" s="79"/>
      <c r="BD41" s="117">
        <f t="shared" si="8"/>
        <v>0</v>
      </c>
      <c r="BE41" s="22"/>
      <c r="BF41" s="126">
        <f t="shared" si="9"/>
        <v>0</v>
      </c>
      <c r="BG41" s="79"/>
      <c r="BH41" s="117">
        <f t="shared" si="10"/>
        <v>0</v>
      </c>
      <c r="BI41" s="22"/>
      <c r="BJ41" s="117">
        <f t="shared" si="11"/>
        <v>0</v>
      </c>
      <c r="BK41" s="22"/>
      <c r="BL41" s="126">
        <f t="shared" si="12"/>
        <v>0</v>
      </c>
    </row>
    <row r="42" spans="1:64">
      <c r="A42" s="112" t="s">
        <v>259</v>
      </c>
      <c r="B42" s="106"/>
      <c r="C42" s="66" t="s">
        <v>175</v>
      </c>
      <c r="D42" s="284"/>
      <c r="E42" s="77" t="s">
        <v>176</v>
      </c>
      <c r="F42" s="282"/>
      <c r="G42" s="72"/>
      <c r="H42" s="75"/>
      <c r="I42" s="75"/>
      <c r="J42" s="72"/>
      <c r="K42" s="75"/>
      <c r="L42" s="74"/>
      <c r="M42" s="52"/>
      <c r="N42" s="52"/>
      <c r="O42" s="52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49"/>
      <c r="AB42" s="49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150"/>
      <c r="AO42" s="23"/>
      <c r="AP42" s="118">
        <f t="shared" si="1"/>
        <v>0</v>
      </c>
      <c r="AQ42" s="23"/>
      <c r="AR42" s="118">
        <f t="shared" si="2"/>
        <v>0</v>
      </c>
      <c r="AS42" s="23"/>
      <c r="AT42" s="127">
        <f t="shared" si="3"/>
        <v>0</v>
      </c>
      <c r="AU42" s="23"/>
      <c r="AV42" s="118">
        <f t="shared" si="4"/>
        <v>0</v>
      </c>
      <c r="AW42" s="23"/>
      <c r="AX42" s="118">
        <f t="shared" si="5"/>
        <v>0</v>
      </c>
      <c r="AY42" s="23"/>
      <c r="AZ42" s="127">
        <f t="shared" si="6"/>
        <v>0</v>
      </c>
      <c r="BA42" s="50"/>
      <c r="BB42" s="118">
        <f t="shared" si="7"/>
        <v>0</v>
      </c>
      <c r="BC42" s="50"/>
      <c r="BD42" s="118">
        <f t="shared" si="8"/>
        <v>0</v>
      </c>
      <c r="BE42" s="23"/>
      <c r="BF42" s="127">
        <f t="shared" si="9"/>
        <v>0</v>
      </c>
      <c r="BG42" s="50"/>
      <c r="BH42" s="118">
        <f t="shared" si="10"/>
        <v>0</v>
      </c>
      <c r="BI42" s="23"/>
      <c r="BJ42" s="118">
        <f t="shared" si="11"/>
        <v>0</v>
      </c>
      <c r="BK42" s="23"/>
      <c r="BL42" s="127">
        <f t="shared" si="12"/>
        <v>0</v>
      </c>
    </row>
    <row r="43" spans="1:64">
      <c r="A43" s="112" t="s">
        <v>259</v>
      </c>
      <c r="B43" s="106" t="s">
        <v>267</v>
      </c>
      <c r="C43" s="66" t="s">
        <v>175</v>
      </c>
      <c r="D43" s="284"/>
      <c r="E43" s="77" t="s">
        <v>365</v>
      </c>
      <c r="F43" s="282" t="s">
        <v>365</v>
      </c>
      <c r="G43" s="64" t="s">
        <v>187</v>
      </c>
      <c r="H43" s="63" t="s">
        <v>226</v>
      </c>
      <c r="I43" s="63" t="s">
        <v>180</v>
      </c>
      <c r="J43" s="64" t="s">
        <v>191</v>
      </c>
      <c r="K43" s="63" t="s">
        <v>227</v>
      </c>
      <c r="L43" s="62" t="s">
        <v>185</v>
      </c>
      <c r="M43" s="61" t="s">
        <v>204</v>
      </c>
      <c r="N43" s="61">
        <v>2.98</v>
      </c>
      <c r="O43" s="61">
        <v>3.5</v>
      </c>
      <c r="P43" s="154">
        <v>3.5</v>
      </c>
      <c r="Q43" s="154">
        <v>3.5</v>
      </c>
      <c r="R43" s="154">
        <v>3.5</v>
      </c>
      <c r="S43" s="154">
        <v>3.5</v>
      </c>
      <c r="T43" s="154">
        <v>3.5</v>
      </c>
      <c r="U43" s="154">
        <v>3.5</v>
      </c>
      <c r="V43" s="154">
        <v>3.5</v>
      </c>
      <c r="W43" s="154">
        <v>3.5</v>
      </c>
      <c r="X43" s="154">
        <v>3.5</v>
      </c>
      <c r="Y43" s="154">
        <v>3.5</v>
      </c>
      <c r="Z43" s="154">
        <v>3.5</v>
      </c>
      <c r="AA43" s="59">
        <v>3.5</v>
      </c>
      <c r="AB43" s="59">
        <v>0.77</v>
      </c>
      <c r="AC43" s="144">
        <v>0.77</v>
      </c>
      <c r="AD43" s="144">
        <v>0.77</v>
      </c>
      <c r="AE43" s="144">
        <v>0.77</v>
      </c>
      <c r="AF43" s="144">
        <v>0.77</v>
      </c>
      <c r="AG43" s="144">
        <v>0.77</v>
      </c>
      <c r="AH43" s="144">
        <v>0.77</v>
      </c>
      <c r="AI43" s="144">
        <v>0.77</v>
      </c>
      <c r="AJ43" s="144">
        <v>0.77</v>
      </c>
      <c r="AK43" s="144">
        <v>0.77</v>
      </c>
      <c r="AL43" s="144">
        <v>0.77</v>
      </c>
      <c r="AM43" s="144">
        <v>0.77</v>
      </c>
      <c r="AN43" s="153">
        <v>0.77</v>
      </c>
      <c r="AO43" s="5">
        <v>8302</v>
      </c>
      <c r="AP43" s="117">
        <f t="shared" si="1"/>
        <v>6392.54</v>
      </c>
      <c r="AQ43" s="5">
        <v>4680</v>
      </c>
      <c r="AR43" s="117">
        <f t="shared" si="2"/>
        <v>3603.6</v>
      </c>
      <c r="AS43" s="5">
        <v>6838</v>
      </c>
      <c r="AT43" s="126">
        <f t="shared" si="3"/>
        <v>5265.26</v>
      </c>
      <c r="AU43" s="5">
        <v>0</v>
      </c>
      <c r="AV43" s="117">
        <f t="shared" si="4"/>
        <v>0</v>
      </c>
      <c r="AW43" s="5">
        <v>1438</v>
      </c>
      <c r="AX43" s="117">
        <f t="shared" si="5"/>
        <v>1107.26</v>
      </c>
      <c r="AY43" s="5">
        <v>0</v>
      </c>
      <c r="AZ43" s="126">
        <f t="shared" si="6"/>
        <v>0</v>
      </c>
      <c r="BA43" s="105">
        <v>0</v>
      </c>
      <c r="BB43" s="117">
        <f t="shared" si="7"/>
        <v>0</v>
      </c>
      <c r="BC43" s="105">
        <v>0</v>
      </c>
      <c r="BD43" s="117">
        <f t="shared" si="8"/>
        <v>0</v>
      </c>
      <c r="BE43" s="5">
        <v>0</v>
      </c>
      <c r="BF43" s="126">
        <f t="shared" si="9"/>
        <v>0</v>
      </c>
      <c r="BG43" s="105">
        <v>0</v>
      </c>
      <c r="BH43" s="117">
        <f t="shared" si="10"/>
        <v>0</v>
      </c>
      <c r="BI43" s="5">
        <v>0</v>
      </c>
      <c r="BJ43" s="117">
        <f t="shared" si="11"/>
        <v>0</v>
      </c>
      <c r="BK43" s="5">
        <v>0</v>
      </c>
      <c r="BL43" s="126">
        <f t="shared" si="12"/>
        <v>0</v>
      </c>
    </row>
    <row r="44" spans="1:64">
      <c r="A44" s="112" t="s">
        <v>259</v>
      </c>
      <c r="B44" s="106" t="s">
        <v>267</v>
      </c>
      <c r="C44" s="66" t="s">
        <v>175</v>
      </c>
      <c r="D44" s="284"/>
      <c r="E44" s="77" t="s">
        <v>225</v>
      </c>
      <c r="F44" s="282"/>
      <c r="G44" s="71" t="s">
        <v>187</v>
      </c>
      <c r="H44" s="70" t="s">
        <v>226</v>
      </c>
      <c r="I44" s="70" t="s">
        <v>184</v>
      </c>
      <c r="J44" s="71" t="s">
        <v>191</v>
      </c>
      <c r="K44" s="70" t="s">
        <v>228</v>
      </c>
      <c r="L44" s="69" t="s">
        <v>185</v>
      </c>
      <c r="M44" s="68" t="s">
        <v>204</v>
      </c>
      <c r="N44" s="68">
        <v>8.48</v>
      </c>
      <c r="O44" s="68">
        <v>11.45</v>
      </c>
      <c r="P44" s="144">
        <v>11.45</v>
      </c>
      <c r="Q44" s="144">
        <v>11.45</v>
      </c>
      <c r="R44" s="144">
        <v>11.45</v>
      </c>
      <c r="S44" s="144">
        <v>11.45</v>
      </c>
      <c r="T44" s="144">
        <v>11.45</v>
      </c>
      <c r="U44" s="144">
        <v>11.45</v>
      </c>
      <c r="V44" s="144">
        <v>11.45</v>
      </c>
      <c r="W44" s="144">
        <v>11.45</v>
      </c>
      <c r="X44" s="144">
        <v>11.45</v>
      </c>
      <c r="Y44" s="144">
        <v>11.45</v>
      </c>
      <c r="Z44" s="144">
        <v>11.45</v>
      </c>
      <c r="AA44" s="58">
        <v>11.45</v>
      </c>
      <c r="AB44" s="58">
        <v>2.2000000000000002</v>
      </c>
      <c r="AC44" s="144">
        <v>2.8</v>
      </c>
      <c r="AD44" s="144">
        <v>2.8</v>
      </c>
      <c r="AE44" s="144">
        <v>2.8</v>
      </c>
      <c r="AF44" s="144">
        <v>2.8</v>
      </c>
      <c r="AG44" s="144">
        <v>2.8</v>
      </c>
      <c r="AH44" s="144">
        <v>2.8</v>
      </c>
      <c r="AI44" s="144">
        <v>2.8</v>
      </c>
      <c r="AJ44" s="144">
        <v>2.8</v>
      </c>
      <c r="AK44" s="144">
        <v>2.8</v>
      </c>
      <c r="AL44" s="144">
        <v>2.8</v>
      </c>
      <c r="AM44" s="144">
        <v>2.8</v>
      </c>
      <c r="AN44" s="153">
        <v>2.8</v>
      </c>
      <c r="AO44" s="5">
        <v>1358</v>
      </c>
      <c r="AP44" s="118">
        <f t="shared" si="1"/>
        <v>3802.3999999999996</v>
      </c>
      <c r="AQ44" s="5">
        <v>39</v>
      </c>
      <c r="AR44" s="118">
        <f t="shared" si="2"/>
        <v>109.19999999999999</v>
      </c>
      <c r="AS44" s="5">
        <v>0</v>
      </c>
      <c r="AT44" s="127">
        <f t="shared" si="3"/>
        <v>0</v>
      </c>
      <c r="AU44" s="5">
        <v>880</v>
      </c>
      <c r="AV44" s="118">
        <f t="shared" si="4"/>
        <v>2464</v>
      </c>
      <c r="AW44" s="5">
        <v>198</v>
      </c>
      <c r="AX44" s="118">
        <f t="shared" si="5"/>
        <v>554.4</v>
      </c>
      <c r="AY44" s="5">
        <v>0</v>
      </c>
      <c r="AZ44" s="127">
        <f t="shared" si="6"/>
        <v>0</v>
      </c>
      <c r="BA44" s="105">
        <v>0</v>
      </c>
      <c r="BB44" s="118">
        <f t="shared" si="7"/>
        <v>0</v>
      </c>
      <c r="BC44" s="105">
        <v>40</v>
      </c>
      <c r="BD44" s="118">
        <f t="shared" si="8"/>
        <v>112</v>
      </c>
      <c r="BE44" s="5">
        <v>0</v>
      </c>
      <c r="BF44" s="127">
        <f t="shared" si="9"/>
        <v>0</v>
      </c>
      <c r="BG44" s="105">
        <v>0</v>
      </c>
      <c r="BH44" s="118">
        <f t="shared" si="10"/>
        <v>0</v>
      </c>
      <c r="BI44" s="5">
        <v>0</v>
      </c>
      <c r="BJ44" s="118">
        <f t="shared" si="11"/>
        <v>0</v>
      </c>
      <c r="BK44" s="5">
        <v>0</v>
      </c>
      <c r="BL44" s="127">
        <f t="shared" si="12"/>
        <v>0</v>
      </c>
    </row>
    <row r="45" spans="1:64">
      <c r="A45" s="112" t="s">
        <v>259</v>
      </c>
      <c r="B45" s="106" t="s">
        <v>267</v>
      </c>
      <c r="C45" s="66" t="s">
        <v>175</v>
      </c>
      <c r="D45" s="284"/>
      <c r="E45" s="77" t="s">
        <v>225</v>
      </c>
      <c r="F45" s="282"/>
      <c r="G45" s="71" t="s">
        <v>187</v>
      </c>
      <c r="H45" s="70" t="s">
        <v>226</v>
      </c>
      <c r="I45" s="70" t="s">
        <v>184</v>
      </c>
      <c r="J45" s="71" t="s">
        <v>191</v>
      </c>
      <c r="K45" s="70" t="s">
        <v>229</v>
      </c>
      <c r="L45" s="69" t="s">
        <v>185</v>
      </c>
      <c r="M45" s="68" t="s">
        <v>204</v>
      </c>
      <c r="N45" s="68">
        <v>9.35</v>
      </c>
      <c r="O45" s="68">
        <v>12.15</v>
      </c>
      <c r="P45" s="144">
        <v>12.15</v>
      </c>
      <c r="Q45" s="144">
        <v>12.15</v>
      </c>
      <c r="R45" s="144">
        <v>12.15</v>
      </c>
      <c r="S45" s="144">
        <v>12.15</v>
      </c>
      <c r="T45" s="144">
        <v>12.15</v>
      </c>
      <c r="U45" s="144">
        <v>12.15</v>
      </c>
      <c r="V45" s="144">
        <v>12.15</v>
      </c>
      <c r="W45" s="144">
        <v>12.15</v>
      </c>
      <c r="X45" s="144">
        <v>12.15</v>
      </c>
      <c r="Y45" s="144">
        <v>12.15</v>
      </c>
      <c r="Z45" s="144">
        <v>12.15</v>
      </c>
      <c r="AA45" s="58">
        <v>12.15</v>
      </c>
      <c r="AB45" s="58">
        <v>2.2000000000000002</v>
      </c>
      <c r="AC45" s="144">
        <v>2.8</v>
      </c>
      <c r="AD45" s="144">
        <v>2.8</v>
      </c>
      <c r="AE45" s="144">
        <v>2.8</v>
      </c>
      <c r="AF45" s="144">
        <v>2.8</v>
      </c>
      <c r="AG45" s="144">
        <v>2.8</v>
      </c>
      <c r="AH45" s="144">
        <v>2.8</v>
      </c>
      <c r="AI45" s="144">
        <v>2.8</v>
      </c>
      <c r="AJ45" s="144">
        <v>2.8</v>
      </c>
      <c r="AK45" s="144">
        <v>2.8</v>
      </c>
      <c r="AL45" s="144">
        <v>2.8</v>
      </c>
      <c r="AM45" s="144">
        <v>2.8</v>
      </c>
      <c r="AN45" s="153">
        <v>2.8</v>
      </c>
      <c r="AO45" s="5">
        <v>40</v>
      </c>
      <c r="AP45" s="118">
        <f t="shared" si="1"/>
        <v>112</v>
      </c>
      <c r="AQ45" s="5">
        <v>0</v>
      </c>
      <c r="AR45" s="118">
        <f t="shared" si="2"/>
        <v>0</v>
      </c>
      <c r="AS45" s="5">
        <v>0</v>
      </c>
      <c r="AT45" s="127">
        <f t="shared" si="3"/>
        <v>0</v>
      </c>
      <c r="AU45" s="5">
        <v>0</v>
      </c>
      <c r="AV45" s="118">
        <f t="shared" si="4"/>
        <v>0</v>
      </c>
      <c r="AW45" s="5">
        <v>0</v>
      </c>
      <c r="AX45" s="118">
        <f t="shared" si="5"/>
        <v>0</v>
      </c>
      <c r="AY45" s="5">
        <v>0</v>
      </c>
      <c r="AZ45" s="127">
        <f t="shared" si="6"/>
        <v>0</v>
      </c>
      <c r="BA45" s="105">
        <v>0</v>
      </c>
      <c r="BB45" s="118">
        <f t="shared" si="7"/>
        <v>0</v>
      </c>
      <c r="BC45" s="105">
        <v>0</v>
      </c>
      <c r="BD45" s="118">
        <f t="shared" si="8"/>
        <v>0</v>
      </c>
      <c r="BE45" s="105">
        <v>0</v>
      </c>
      <c r="BF45" s="127">
        <f t="shared" si="9"/>
        <v>0</v>
      </c>
      <c r="BG45" s="105">
        <v>0</v>
      </c>
      <c r="BH45" s="118">
        <f t="shared" si="10"/>
        <v>0</v>
      </c>
      <c r="BI45" s="105">
        <v>0</v>
      </c>
      <c r="BJ45" s="118">
        <f t="shared" si="11"/>
        <v>0</v>
      </c>
      <c r="BK45" s="105">
        <v>0</v>
      </c>
      <c r="BL45" s="127">
        <f t="shared" si="12"/>
        <v>0</v>
      </c>
    </row>
    <row r="46" spans="1:64">
      <c r="A46" s="112" t="s">
        <v>259</v>
      </c>
      <c r="B46" s="106" t="s">
        <v>267</v>
      </c>
      <c r="C46" s="66" t="s">
        <v>175</v>
      </c>
      <c r="D46" s="284"/>
      <c r="E46" s="77" t="s">
        <v>225</v>
      </c>
      <c r="F46" s="282"/>
      <c r="G46" s="71" t="s">
        <v>187</v>
      </c>
      <c r="H46" s="70" t="s">
        <v>230</v>
      </c>
      <c r="I46" s="70" t="s">
        <v>180</v>
      </c>
      <c r="J46" s="71" t="s">
        <v>191</v>
      </c>
      <c r="K46" s="70" t="s">
        <v>231</v>
      </c>
      <c r="L46" s="69" t="s">
        <v>185</v>
      </c>
      <c r="M46" s="68" t="s">
        <v>204</v>
      </c>
      <c r="N46" s="68">
        <v>2.98</v>
      </c>
      <c r="O46" s="68">
        <v>3.5</v>
      </c>
      <c r="P46" s="144">
        <v>3.5</v>
      </c>
      <c r="Q46" s="144">
        <v>3.5</v>
      </c>
      <c r="R46" s="144">
        <v>3.5</v>
      </c>
      <c r="S46" s="144">
        <v>3.5</v>
      </c>
      <c r="T46" s="144">
        <v>3.5</v>
      </c>
      <c r="U46" s="144">
        <v>3.5</v>
      </c>
      <c r="V46" s="144">
        <v>3.5</v>
      </c>
      <c r="W46" s="144">
        <v>3.5</v>
      </c>
      <c r="X46" s="144">
        <v>3.5</v>
      </c>
      <c r="Y46" s="144">
        <v>3.5</v>
      </c>
      <c r="Z46" s="144">
        <v>3.5</v>
      </c>
      <c r="AA46" s="58">
        <v>3.5</v>
      </c>
      <c r="AB46" s="58">
        <v>0.5</v>
      </c>
      <c r="AC46" s="144">
        <v>0.52</v>
      </c>
      <c r="AD46" s="144">
        <v>0.52</v>
      </c>
      <c r="AE46" s="144">
        <v>0.52</v>
      </c>
      <c r="AF46" s="144">
        <v>0.52</v>
      </c>
      <c r="AG46" s="144">
        <v>0.52</v>
      </c>
      <c r="AH46" s="144">
        <v>0.52</v>
      </c>
      <c r="AI46" s="144">
        <v>0.52</v>
      </c>
      <c r="AJ46" s="144">
        <v>0.52</v>
      </c>
      <c r="AK46" s="144">
        <v>0.52</v>
      </c>
      <c r="AL46" s="144">
        <v>0.52</v>
      </c>
      <c r="AM46" s="144">
        <v>0.52</v>
      </c>
      <c r="AN46" s="153">
        <v>0.52</v>
      </c>
      <c r="AO46" s="5">
        <v>4815</v>
      </c>
      <c r="AP46" s="118">
        <f t="shared" si="1"/>
        <v>2503.8000000000002</v>
      </c>
      <c r="AQ46" s="5">
        <v>4225</v>
      </c>
      <c r="AR46" s="118">
        <f t="shared" si="2"/>
        <v>2197</v>
      </c>
      <c r="AS46" s="5">
        <v>3520</v>
      </c>
      <c r="AT46" s="127">
        <f t="shared" si="3"/>
        <v>1830.4</v>
      </c>
      <c r="AU46" s="5">
        <v>1599</v>
      </c>
      <c r="AV46" s="118">
        <f t="shared" si="4"/>
        <v>831.48</v>
      </c>
      <c r="AW46" s="5">
        <v>839</v>
      </c>
      <c r="AX46" s="118">
        <f t="shared" si="5"/>
        <v>436.28000000000003</v>
      </c>
      <c r="AY46" s="5">
        <v>200</v>
      </c>
      <c r="AZ46" s="127">
        <f t="shared" si="6"/>
        <v>104</v>
      </c>
      <c r="BA46" s="105">
        <v>0</v>
      </c>
      <c r="BB46" s="118">
        <f t="shared" si="7"/>
        <v>0</v>
      </c>
      <c r="BC46" s="105">
        <v>0</v>
      </c>
      <c r="BD46" s="118">
        <f t="shared" si="8"/>
        <v>0</v>
      </c>
      <c r="BE46" s="105">
        <v>200</v>
      </c>
      <c r="BF46" s="127">
        <f t="shared" si="9"/>
        <v>104</v>
      </c>
      <c r="BG46" s="105">
        <v>0</v>
      </c>
      <c r="BH46" s="118">
        <f t="shared" si="10"/>
        <v>0</v>
      </c>
      <c r="BI46" s="105">
        <v>0</v>
      </c>
      <c r="BJ46" s="118">
        <f t="shared" si="11"/>
        <v>0</v>
      </c>
      <c r="BK46" s="105">
        <v>0</v>
      </c>
      <c r="BL46" s="127">
        <f t="shared" si="12"/>
        <v>0</v>
      </c>
    </row>
    <row r="47" spans="1:64">
      <c r="A47" s="112" t="s">
        <v>259</v>
      </c>
      <c r="B47" s="106" t="s">
        <v>267</v>
      </c>
      <c r="C47" s="66" t="s">
        <v>175</v>
      </c>
      <c r="D47" s="284"/>
      <c r="E47" s="77" t="s">
        <v>225</v>
      </c>
      <c r="F47" s="282"/>
      <c r="G47" s="71" t="s">
        <v>187</v>
      </c>
      <c r="H47" s="70" t="s">
        <v>230</v>
      </c>
      <c r="I47" s="70" t="s">
        <v>180</v>
      </c>
      <c r="J47" s="71" t="s">
        <v>191</v>
      </c>
      <c r="K47" s="70" t="s">
        <v>198</v>
      </c>
      <c r="L47" s="69" t="s">
        <v>185</v>
      </c>
      <c r="M47" s="68" t="s">
        <v>204</v>
      </c>
      <c r="N47" s="68">
        <v>4.93</v>
      </c>
      <c r="O47" s="68">
        <v>5.7</v>
      </c>
      <c r="P47" s="144">
        <v>5.7</v>
      </c>
      <c r="Q47" s="144">
        <v>5.7</v>
      </c>
      <c r="R47" s="144">
        <v>5.7</v>
      </c>
      <c r="S47" s="144">
        <v>5.7</v>
      </c>
      <c r="T47" s="144">
        <v>5.7</v>
      </c>
      <c r="U47" s="144">
        <v>5.7</v>
      </c>
      <c r="V47" s="144">
        <v>5.7</v>
      </c>
      <c r="W47" s="144">
        <v>5.7</v>
      </c>
      <c r="X47" s="144">
        <v>5.7</v>
      </c>
      <c r="Y47" s="144">
        <v>5.7</v>
      </c>
      <c r="Z47" s="144">
        <v>5.7</v>
      </c>
      <c r="AA47" s="58">
        <v>5.7</v>
      </c>
      <c r="AB47" s="58">
        <v>0.7</v>
      </c>
      <c r="AC47" s="144">
        <v>1.02</v>
      </c>
      <c r="AD47" s="144">
        <v>1.02</v>
      </c>
      <c r="AE47" s="144">
        <v>1.02</v>
      </c>
      <c r="AF47" s="144">
        <v>1.02</v>
      </c>
      <c r="AG47" s="144">
        <v>1.02</v>
      </c>
      <c r="AH47" s="144">
        <v>1.02</v>
      </c>
      <c r="AI47" s="144">
        <v>1.02</v>
      </c>
      <c r="AJ47" s="144">
        <v>1.02</v>
      </c>
      <c r="AK47" s="144">
        <v>1.02</v>
      </c>
      <c r="AL47" s="144">
        <v>1.02</v>
      </c>
      <c r="AM47" s="144">
        <v>1.02</v>
      </c>
      <c r="AN47" s="153">
        <v>1.02</v>
      </c>
      <c r="AO47" s="5">
        <v>1393</v>
      </c>
      <c r="AP47" s="118">
        <f t="shared" si="1"/>
        <v>1420.8600000000001</v>
      </c>
      <c r="AQ47" s="5">
        <v>40</v>
      </c>
      <c r="AR47" s="118">
        <f t="shared" si="2"/>
        <v>40.799999999999997</v>
      </c>
      <c r="AS47" s="5">
        <v>116</v>
      </c>
      <c r="AT47" s="127">
        <f t="shared" si="3"/>
        <v>118.32000000000001</v>
      </c>
      <c r="AU47" s="5">
        <v>0</v>
      </c>
      <c r="AV47" s="118">
        <f t="shared" si="4"/>
        <v>0</v>
      </c>
      <c r="AW47" s="5">
        <v>1200</v>
      </c>
      <c r="AX47" s="118">
        <f t="shared" si="5"/>
        <v>1224</v>
      </c>
      <c r="AY47" s="5">
        <v>400</v>
      </c>
      <c r="AZ47" s="127">
        <f t="shared" si="6"/>
        <v>408</v>
      </c>
      <c r="BA47" s="105">
        <v>360</v>
      </c>
      <c r="BB47" s="118">
        <f t="shared" si="7"/>
        <v>367.2</v>
      </c>
      <c r="BC47" s="105">
        <v>320</v>
      </c>
      <c r="BD47" s="118">
        <f t="shared" si="8"/>
        <v>326.39999999999998</v>
      </c>
      <c r="BE47" s="105">
        <v>40</v>
      </c>
      <c r="BF47" s="127">
        <f t="shared" si="9"/>
        <v>40.799999999999997</v>
      </c>
      <c r="BG47" s="105">
        <v>0</v>
      </c>
      <c r="BH47" s="118">
        <f t="shared" si="10"/>
        <v>0</v>
      </c>
      <c r="BI47" s="105">
        <v>0</v>
      </c>
      <c r="BJ47" s="118">
        <f t="shared" si="11"/>
        <v>0</v>
      </c>
      <c r="BK47" s="105">
        <v>0</v>
      </c>
      <c r="BL47" s="127">
        <f t="shared" si="12"/>
        <v>0</v>
      </c>
    </row>
    <row r="48" spans="1:64">
      <c r="A48" s="112" t="s">
        <v>259</v>
      </c>
      <c r="B48" s="106" t="s">
        <v>267</v>
      </c>
      <c r="C48" s="66" t="s">
        <v>175</v>
      </c>
      <c r="D48" s="284"/>
      <c r="E48" s="77" t="s">
        <v>225</v>
      </c>
      <c r="F48" s="282"/>
      <c r="G48" s="71" t="s">
        <v>187</v>
      </c>
      <c r="H48" s="70" t="s">
        <v>230</v>
      </c>
      <c r="I48" s="70" t="s">
        <v>184</v>
      </c>
      <c r="J48" s="71" t="s">
        <v>191</v>
      </c>
      <c r="K48" s="70" t="s">
        <v>232</v>
      </c>
      <c r="L48" s="69" t="s">
        <v>185</v>
      </c>
      <c r="M48" s="68" t="s">
        <v>204</v>
      </c>
      <c r="N48" s="68">
        <v>9.35</v>
      </c>
      <c r="O48" s="68">
        <v>12.15</v>
      </c>
      <c r="P48" s="144">
        <v>12.15</v>
      </c>
      <c r="Q48" s="144">
        <v>12.15</v>
      </c>
      <c r="R48" s="144">
        <v>12.15</v>
      </c>
      <c r="S48" s="144">
        <v>12.15</v>
      </c>
      <c r="T48" s="144">
        <v>12.15</v>
      </c>
      <c r="U48" s="144">
        <v>12.15</v>
      </c>
      <c r="V48" s="144">
        <v>12.15</v>
      </c>
      <c r="W48" s="144">
        <v>12.15</v>
      </c>
      <c r="X48" s="144">
        <v>12.15</v>
      </c>
      <c r="Y48" s="144">
        <v>12.15</v>
      </c>
      <c r="Z48" s="144">
        <v>12.15</v>
      </c>
      <c r="AA48" s="58">
        <v>12.15</v>
      </c>
      <c r="AB48" s="58">
        <v>2</v>
      </c>
      <c r="AC48" s="144">
        <v>3.27</v>
      </c>
      <c r="AD48" s="144">
        <v>3.27</v>
      </c>
      <c r="AE48" s="144">
        <v>3.27</v>
      </c>
      <c r="AF48" s="144">
        <v>3.27</v>
      </c>
      <c r="AG48" s="144">
        <v>3.27</v>
      </c>
      <c r="AH48" s="144">
        <v>3.27</v>
      </c>
      <c r="AI48" s="144">
        <v>3.27</v>
      </c>
      <c r="AJ48" s="144">
        <v>3.27</v>
      </c>
      <c r="AK48" s="144">
        <v>3.27</v>
      </c>
      <c r="AL48" s="144">
        <v>3.27</v>
      </c>
      <c r="AM48" s="144">
        <v>3.27</v>
      </c>
      <c r="AN48" s="153">
        <v>3.27</v>
      </c>
      <c r="AO48" s="5">
        <v>0</v>
      </c>
      <c r="AP48" s="118">
        <f t="shared" si="1"/>
        <v>0</v>
      </c>
      <c r="AQ48" s="5">
        <v>0</v>
      </c>
      <c r="AR48" s="118">
        <f t="shared" si="2"/>
        <v>0</v>
      </c>
      <c r="AS48" s="5">
        <v>0</v>
      </c>
      <c r="AT48" s="127">
        <f t="shared" si="3"/>
        <v>0</v>
      </c>
      <c r="AU48" s="5">
        <v>0</v>
      </c>
      <c r="AV48" s="118">
        <f t="shared" si="4"/>
        <v>0</v>
      </c>
      <c r="AW48" s="5">
        <v>0</v>
      </c>
      <c r="AX48" s="118">
        <f t="shared" si="5"/>
        <v>0</v>
      </c>
      <c r="AY48" s="5">
        <v>0</v>
      </c>
      <c r="AZ48" s="127">
        <f t="shared" si="6"/>
        <v>0</v>
      </c>
      <c r="BA48" s="105">
        <v>0</v>
      </c>
      <c r="BB48" s="118">
        <f t="shared" si="7"/>
        <v>0</v>
      </c>
      <c r="BC48" s="105">
        <v>0</v>
      </c>
      <c r="BD48" s="118">
        <f t="shared" si="8"/>
        <v>0</v>
      </c>
      <c r="BE48" s="105">
        <v>0</v>
      </c>
      <c r="BF48" s="127">
        <f t="shared" si="9"/>
        <v>0</v>
      </c>
      <c r="BG48" s="105">
        <v>0</v>
      </c>
      <c r="BH48" s="118">
        <f t="shared" si="10"/>
        <v>0</v>
      </c>
      <c r="BI48" s="105">
        <v>0</v>
      </c>
      <c r="BJ48" s="118">
        <f t="shared" si="11"/>
        <v>0</v>
      </c>
      <c r="BK48" s="105">
        <v>0</v>
      </c>
      <c r="BL48" s="127">
        <f t="shared" si="12"/>
        <v>0</v>
      </c>
    </row>
    <row r="49" spans="1:67">
      <c r="A49" s="112" t="s">
        <v>259</v>
      </c>
      <c r="B49" s="106" t="s">
        <v>267</v>
      </c>
      <c r="C49" s="66" t="s">
        <v>175</v>
      </c>
      <c r="D49" s="284"/>
      <c r="E49" s="77" t="s">
        <v>225</v>
      </c>
      <c r="F49" s="282"/>
      <c r="G49" s="71" t="s">
        <v>187</v>
      </c>
      <c r="H49" s="70" t="s">
        <v>230</v>
      </c>
      <c r="I49" s="70" t="s">
        <v>184</v>
      </c>
      <c r="J49" s="71" t="s">
        <v>191</v>
      </c>
      <c r="K49" s="70" t="s">
        <v>233</v>
      </c>
      <c r="L49" s="69" t="s">
        <v>185</v>
      </c>
      <c r="M49" s="68" t="s">
        <v>204</v>
      </c>
      <c r="N49" s="68">
        <v>8.48</v>
      </c>
      <c r="O49" s="68">
        <v>11.45</v>
      </c>
      <c r="P49" s="144">
        <v>11.45</v>
      </c>
      <c r="Q49" s="144">
        <v>11.45</v>
      </c>
      <c r="R49" s="144">
        <v>11.45</v>
      </c>
      <c r="S49" s="144">
        <v>11.45</v>
      </c>
      <c r="T49" s="144">
        <v>11.45</v>
      </c>
      <c r="U49" s="144">
        <v>11.45</v>
      </c>
      <c r="V49" s="144">
        <v>11.45</v>
      </c>
      <c r="W49" s="144">
        <v>11.45</v>
      </c>
      <c r="X49" s="144">
        <v>11.45</v>
      </c>
      <c r="Y49" s="144">
        <v>11.45</v>
      </c>
      <c r="Z49" s="144">
        <v>11.45</v>
      </c>
      <c r="AA49" s="58">
        <v>11.45</v>
      </c>
      <c r="AB49" s="58">
        <v>2</v>
      </c>
      <c r="AC49" s="144">
        <v>2.97</v>
      </c>
      <c r="AD49" s="144">
        <v>2.97</v>
      </c>
      <c r="AE49" s="144">
        <v>2.97</v>
      </c>
      <c r="AF49" s="144">
        <v>2.97</v>
      </c>
      <c r="AG49" s="144">
        <v>2.97</v>
      </c>
      <c r="AH49" s="144">
        <v>2.97</v>
      </c>
      <c r="AI49" s="144">
        <v>2.97</v>
      </c>
      <c r="AJ49" s="144">
        <v>2.97</v>
      </c>
      <c r="AK49" s="144">
        <v>2.97</v>
      </c>
      <c r="AL49" s="144">
        <v>2.97</v>
      </c>
      <c r="AM49" s="144">
        <v>2.97</v>
      </c>
      <c r="AN49" s="153">
        <v>2.97</v>
      </c>
      <c r="AO49" s="5">
        <v>2664</v>
      </c>
      <c r="AP49" s="118">
        <f t="shared" si="1"/>
        <v>7912.0800000000008</v>
      </c>
      <c r="AQ49" s="5">
        <v>520</v>
      </c>
      <c r="AR49" s="118">
        <f t="shared" si="2"/>
        <v>1544.4</v>
      </c>
      <c r="AS49" s="5">
        <v>284</v>
      </c>
      <c r="AT49" s="127">
        <f t="shared" si="3"/>
        <v>843.48</v>
      </c>
      <c r="AU49" s="5">
        <v>0</v>
      </c>
      <c r="AV49" s="118">
        <f t="shared" si="4"/>
        <v>0</v>
      </c>
      <c r="AW49" s="5">
        <v>0</v>
      </c>
      <c r="AX49" s="118">
        <f t="shared" si="5"/>
        <v>0</v>
      </c>
      <c r="AY49" s="5">
        <v>0</v>
      </c>
      <c r="AZ49" s="127">
        <f t="shared" si="6"/>
        <v>0</v>
      </c>
      <c r="BA49" s="105">
        <v>0</v>
      </c>
      <c r="BB49" s="118">
        <f t="shared" si="7"/>
        <v>0</v>
      </c>
      <c r="BC49" s="105">
        <v>0</v>
      </c>
      <c r="BD49" s="118">
        <f t="shared" si="8"/>
        <v>0</v>
      </c>
      <c r="BE49" s="105">
        <v>0</v>
      </c>
      <c r="BF49" s="127">
        <f t="shared" si="9"/>
        <v>0</v>
      </c>
      <c r="BG49" s="105">
        <v>0</v>
      </c>
      <c r="BH49" s="118">
        <f t="shared" si="10"/>
        <v>0</v>
      </c>
      <c r="BI49" s="105">
        <v>0</v>
      </c>
      <c r="BJ49" s="118">
        <f t="shared" si="11"/>
        <v>0</v>
      </c>
      <c r="BK49" s="105">
        <v>0</v>
      </c>
      <c r="BL49" s="127">
        <f t="shared" si="12"/>
        <v>0</v>
      </c>
    </row>
    <row r="50" spans="1:67">
      <c r="A50" s="112" t="s">
        <v>259</v>
      </c>
      <c r="B50" s="106" t="s">
        <v>267</v>
      </c>
      <c r="C50" s="66" t="s">
        <v>175</v>
      </c>
      <c r="D50" s="284"/>
      <c r="E50" s="77" t="s">
        <v>225</v>
      </c>
      <c r="F50" s="282"/>
      <c r="G50" s="71" t="s">
        <v>187</v>
      </c>
      <c r="H50" s="70" t="s">
        <v>230</v>
      </c>
      <c r="I50" s="70" t="s">
        <v>184</v>
      </c>
      <c r="J50" s="71" t="s">
        <v>191</v>
      </c>
      <c r="K50" s="70" t="s">
        <v>198</v>
      </c>
      <c r="L50" s="69" t="s">
        <v>185</v>
      </c>
      <c r="M50" s="68" t="s">
        <v>204</v>
      </c>
      <c r="N50" s="68">
        <v>8.8800000000000008</v>
      </c>
      <c r="O50" s="68">
        <v>12.15</v>
      </c>
      <c r="P50" s="144">
        <v>12.15</v>
      </c>
      <c r="Q50" s="144">
        <v>12.15</v>
      </c>
      <c r="R50" s="144">
        <v>12.15</v>
      </c>
      <c r="S50" s="144">
        <v>12.15</v>
      </c>
      <c r="T50" s="144">
        <v>12.15</v>
      </c>
      <c r="U50" s="144">
        <v>12.15</v>
      </c>
      <c r="V50" s="144">
        <v>12.15</v>
      </c>
      <c r="W50" s="144">
        <v>12.15</v>
      </c>
      <c r="X50" s="144">
        <v>12.15</v>
      </c>
      <c r="Y50" s="144">
        <v>12.15</v>
      </c>
      <c r="Z50" s="144">
        <v>12.15</v>
      </c>
      <c r="AA50" s="58">
        <v>12.15</v>
      </c>
      <c r="AB50" s="58">
        <v>2</v>
      </c>
      <c r="AC50" s="144">
        <v>2.97</v>
      </c>
      <c r="AD50" s="144">
        <v>2.97</v>
      </c>
      <c r="AE50" s="144">
        <v>2.97</v>
      </c>
      <c r="AF50" s="144">
        <v>2.97</v>
      </c>
      <c r="AG50" s="144">
        <v>2.97</v>
      </c>
      <c r="AH50" s="144">
        <v>2.97</v>
      </c>
      <c r="AI50" s="144">
        <v>2.97</v>
      </c>
      <c r="AJ50" s="144">
        <v>2.97</v>
      </c>
      <c r="AK50" s="144">
        <v>2.97</v>
      </c>
      <c r="AL50" s="144">
        <v>2.97</v>
      </c>
      <c r="AM50" s="144">
        <v>2.97</v>
      </c>
      <c r="AN50" s="153">
        <v>2.97</v>
      </c>
      <c r="AO50" s="5">
        <v>840</v>
      </c>
      <c r="AP50" s="118">
        <f t="shared" si="1"/>
        <v>2494.8000000000002</v>
      </c>
      <c r="AQ50" s="5">
        <v>0</v>
      </c>
      <c r="AR50" s="118">
        <f t="shared" si="2"/>
        <v>0</v>
      </c>
      <c r="AS50" s="5">
        <v>0</v>
      </c>
      <c r="AT50" s="127">
        <f t="shared" si="3"/>
        <v>0</v>
      </c>
      <c r="AU50" s="5">
        <v>0</v>
      </c>
      <c r="AV50" s="118">
        <f t="shared" si="4"/>
        <v>0</v>
      </c>
      <c r="AW50" s="5">
        <v>0</v>
      </c>
      <c r="AX50" s="118">
        <f t="shared" si="5"/>
        <v>0</v>
      </c>
      <c r="AY50" s="5">
        <v>0</v>
      </c>
      <c r="AZ50" s="127">
        <f t="shared" si="6"/>
        <v>0</v>
      </c>
      <c r="BA50" s="105">
        <v>0</v>
      </c>
      <c r="BB50" s="118">
        <f t="shared" si="7"/>
        <v>0</v>
      </c>
      <c r="BC50" s="105">
        <v>0</v>
      </c>
      <c r="BD50" s="118">
        <f t="shared" si="8"/>
        <v>0</v>
      </c>
      <c r="BE50" s="105">
        <v>0</v>
      </c>
      <c r="BF50" s="127">
        <f t="shared" si="9"/>
        <v>0</v>
      </c>
      <c r="BG50" s="105">
        <v>0</v>
      </c>
      <c r="BH50" s="118">
        <f t="shared" si="10"/>
        <v>0</v>
      </c>
      <c r="BI50" s="105">
        <v>0</v>
      </c>
      <c r="BJ50" s="118">
        <f t="shared" si="11"/>
        <v>0</v>
      </c>
      <c r="BK50" s="105">
        <v>0</v>
      </c>
      <c r="BL50" s="127">
        <f t="shared" si="12"/>
        <v>0</v>
      </c>
    </row>
    <row r="51" spans="1:67">
      <c r="A51" s="112" t="s">
        <v>259</v>
      </c>
      <c r="B51" s="106" t="s">
        <v>267</v>
      </c>
      <c r="C51" s="66" t="s">
        <v>175</v>
      </c>
      <c r="D51" s="284"/>
      <c r="E51" s="77" t="s">
        <v>225</v>
      </c>
      <c r="F51" s="282"/>
      <c r="G51" s="71" t="s">
        <v>178</v>
      </c>
      <c r="H51" s="70" t="s">
        <v>234</v>
      </c>
      <c r="I51" s="70" t="s">
        <v>180</v>
      </c>
      <c r="J51" s="71" t="s">
        <v>235</v>
      </c>
      <c r="K51" s="70" t="s">
        <v>236</v>
      </c>
      <c r="L51" s="69" t="s">
        <v>185</v>
      </c>
      <c r="M51" s="68" t="s">
        <v>204</v>
      </c>
      <c r="N51" s="68">
        <v>3.14</v>
      </c>
      <c r="O51" s="68">
        <v>4.0999999999999996</v>
      </c>
      <c r="P51" s="144">
        <v>4.0999999999999996</v>
      </c>
      <c r="Q51" s="144">
        <v>4.0999999999999996</v>
      </c>
      <c r="R51" s="144">
        <v>4.0999999999999996</v>
      </c>
      <c r="S51" s="144">
        <v>4.0999999999999996</v>
      </c>
      <c r="T51" s="144">
        <v>4.0999999999999996</v>
      </c>
      <c r="U51" s="144">
        <v>4.0999999999999996</v>
      </c>
      <c r="V51" s="144">
        <v>4.0999999999999996</v>
      </c>
      <c r="W51" s="144">
        <v>4.0999999999999996</v>
      </c>
      <c r="X51" s="144">
        <v>4.0999999999999996</v>
      </c>
      <c r="Y51" s="144">
        <v>4.0999999999999996</v>
      </c>
      <c r="Z51" s="144">
        <v>4.0999999999999996</v>
      </c>
      <c r="AA51" s="58">
        <v>4.0999999999999996</v>
      </c>
      <c r="AB51" s="58">
        <v>0.7</v>
      </c>
      <c r="AC51" s="144">
        <v>0.96</v>
      </c>
      <c r="AD51" s="144">
        <v>0.96</v>
      </c>
      <c r="AE51" s="144">
        <v>0.96</v>
      </c>
      <c r="AF51" s="144">
        <v>0.96</v>
      </c>
      <c r="AG51" s="144">
        <v>0.96</v>
      </c>
      <c r="AH51" s="144">
        <v>0.96</v>
      </c>
      <c r="AI51" s="144">
        <v>1.1200000000000001</v>
      </c>
      <c r="AJ51" s="144">
        <v>1.1200000000000001</v>
      </c>
      <c r="AK51" s="144">
        <v>1.1200000000000001</v>
      </c>
      <c r="AL51" s="144">
        <v>1.1200000000000001</v>
      </c>
      <c r="AM51" s="144">
        <v>1.1200000000000001</v>
      </c>
      <c r="AN51" s="153">
        <v>1.1200000000000001</v>
      </c>
      <c r="AO51" s="5">
        <v>0</v>
      </c>
      <c r="AP51" s="118">
        <f t="shared" si="1"/>
        <v>0</v>
      </c>
      <c r="AQ51" s="5">
        <v>67200</v>
      </c>
      <c r="AR51" s="118">
        <f t="shared" si="2"/>
        <v>64512</v>
      </c>
      <c r="AS51" s="5">
        <v>11239</v>
      </c>
      <c r="AT51" s="127">
        <f t="shared" si="3"/>
        <v>10789.44</v>
      </c>
      <c r="AU51" s="5">
        <v>16920</v>
      </c>
      <c r="AV51" s="118">
        <f t="shared" si="4"/>
        <v>16243.199999999999</v>
      </c>
      <c r="AW51" s="5">
        <v>132524</v>
      </c>
      <c r="AX51" s="118">
        <f t="shared" si="5"/>
        <v>127223.03999999999</v>
      </c>
      <c r="AY51" s="5">
        <v>84480</v>
      </c>
      <c r="AZ51" s="127">
        <f t="shared" si="6"/>
        <v>81100.800000000003</v>
      </c>
      <c r="BA51" s="105">
        <v>102329</v>
      </c>
      <c r="BB51" s="118">
        <f t="shared" si="7"/>
        <v>114608.48000000001</v>
      </c>
      <c r="BC51" s="105">
        <v>36720</v>
      </c>
      <c r="BD51" s="118">
        <f t="shared" si="8"/>
        <v>41126.400000000001</v>
      </c>
      <c r="BE51" s="5">
        <v>5629</v>
      </c>
      <c r="BF51" s="127">
        <f t="shared" si="9"/>
        <v>6304.4800000000005</v>
      </c>
      <c r="BG51" s="105">
        <v>18520</v>
      </c>
      <c r="BH51" s="118">
        <f t="shared" si="10"/>
        <v>20742.400000000001</v>
      </c>
      <c r="BI51" s="5">
        <v>8716</v>
      </c>
      <c r="BJ51" s="118">
        <f t="shared" si="11"/>
        <v>9761.92</v>
      </c>
      <c r="BK51" s="5">
        <v>1073</v>
      </c>
      <c r="BL51" s="127">
        <f t="shared" si="12"/>
        <v>1201.7600000000002</v>
      </c>
    </row>
    <row r="52" spans="1:67">
      <c r="A52" s="112" t="s">
        <v>259</v>
      </c>
      <c r="B52" s="106" t="s">
        <v>267</v>
      </c>
      <c r="C52" s="66" t="s">
        <v>175</v>
      </c>
      <c r="D52" s="284"/>
      <c r="E52" s="77" t="s">
        <v>225</v>
      </c>
      <c r="F52" s="282"/>
      <c r="G52" s="71" t="s">
        <v>178</v>
      </c>
      <c r="H52" s="70" t="s">
        <v>237</v>
      </c>
      <c r="I52" s="70" t="s">
        <v>180</v>
      </c>
      <c r="J52" s="71" t="s">
        <v>235</v>
      </c>
      <c r="K52" s="70" t="s">
        <v>236</v>
      </c>
      <c r="L52" s="69" t="s">
        <v>185</v>
      </c>
      <c r="M52" s="68" t="s">
        <v>204</v>
      </c>
      <c r="N52" s="68">
        <v>3.29</v>
      </c>
      <c r="O52" s="68">
        <v>4.4000000000000004</v>
      </c>
      <c r="P52" s="144">
        <v>4.4000000000000004</v>
      </c>
      <c r="Q52" s="144">
        <v>4.4000000000000004</v>
      </c>
      <c r="R52" s="144">
        <v>4.4000000000000004</v>
      </c>
      <c r="S52" s="144">
        <v>4.4000000000000004</v>
      </c>
      <c r="T52" s="144">
        <v>4.4000000000000004</v>
      </c>
      <c r="U52" s="144">
        <v>4.4000000000000004</v>
      </c>
      <c r="V52" s="144">
        <v>4.4000000000000004</v>
      </c>
      <c r="W52" s="144">
        <v>4.4000000000000004</v>
      </c>
      <c r="X52" s="144">
        <v>4.4000000000000004</v>
      </c>
      <c r="Y52" s="144">
        <v>4.4000000000000004</v>
      </c>
      <c r="Z52" s="144">
        <v>4.4000000000000004</v>
      </c>
      <c r="AA52" s="58">
        <v>4.4000000000000004</v>
      </c>
      <c r="AB52" s="58">
        <v>0.75</v>
      </c>
      <c r="AC52" s="10">
        <v>1.1100000000000001</v>
      </c>
      <c r="AD52" s="10">
        <v>1.1100000000000001</v>
      </c>
      <c r="AE52" s="10">
        <v>1.1100000000000001</v>
      </c>
      <c r="AF52" s="10">
        <v>1.1100000000000001</v>
      </c>
      <c r="AG52" s="10">
        <v>1.1100000000000001</v>
      </c>
      <c r="AH52" s="10">
        <v>1.1100000000000001</v>
      </c>
      <c r="AI52" s="10">
        <v>1.1100000000000001</v>
      </c>
      <c r="AJ52" s="10">
        <v>1.1100000000000001</v>
      </c>
      <c r="AK52" s="10">
        <v>1.1100000000000001</v>
      </c>
      <c r="AL52" s="10">
        <v>1.1100000000000001</v>
      </c>
      <c r="AM52" s="10">
        <v>1.1100000000000001</v>
      </c>
      <c r="AN52" s="149">
        <v>1.1100000000000001</v>
      </c>
      <c r="AO52" s="5">
        <v>0</v>
      </c>
      <c r="AP52" s="118">
        <f t="shared" si="1"/>
        <v>0</v>
      </c>
      <c r="AQ52" s="5">
        <v>17317</v>
      </c>
      <c r="AR52" s="118">
        <f t="shared" si="2"/>
        <v>19221.870000000003</v>
      </c>
      <c r="AS52" s="5">
        <v>12359</v>
      </c>
      <c r="AT52" s="127">
        <f t="shared" si="3"/>
        <v>13718.490000000002</v>
      </c>
      <c r="AU52" s="5">
        <v>3702</v>
      </c>
      <c r="AV52" s="118">
        <f t="shared" si="4"/>
        <v>4109.22</v>
      </c>
      <c r="AW52" s="5">
        <v>13920</v>
      </c>
      <c r="AX52" s="118">
        <f t="shared" si="5"/>
        <v>15451.2</v>
      </c>
      <c r="AY52" s="5">
        <v>8400</v>
      </c>
      <c r="AZ52" s="127">
        <f t="shared" si="6"/>
        <v>9324</v>
      </c>
      <c r="BA52" s="105">
        <v>25200</v>
      </c>
      <c r="BB52" s="118">
        <f t="shared" si="7"/>
        <v>27972.000000000004</v>
      </c>
      <c r="BC52" s="105">
        <v>3264</v>
      </c>
      <c r="BD52" s="118">
        <f t="shared" si="8"/>
        <v>3623.0400000000004</v>
      </c>
      <c r="BE52" s="5">
        <v>1471</v>
      </c>
      <c r="BF52" s="127">
        <f t="shared" si="9"/>
        <v>1632.8100000000002</v>
      </c>
      <c r="BG52" s="105">
        <v>1149</v>
      </c>
      <c r="BH52" s="118">
        <f t="shared" si="10"/>
        <v>1275.3900000000001</v>
      </c>
      <c r="BI52" s="5">
        <v>30979</v>
      </c>
      <c r="BJ52" s="118">
        <f t="shared" si="11"/>
        <v>34386.69</v>
      </c>
      <c r="BK52" s="5">
        <v>720</v>
      </c>
      <c r="BL52" s="127">
        <f t="shared" si="12"/>
        <v>799.2</v>
      </c>
    </row>
    <row r="53" spans="1:67">
      <c r="A53" s="112" t="s">
        <v>259</v>
      </c>
      <c r="B53" s="106" t="s">
        <v>267</v>
      </c>
      <c r="C53" s="66" t="s">
        <v>175</v>
      </c>
      <c r="D53" s="284"/>
      <c r="E53" s="77" t="s">
        <v>225</v>
      </c>
      <c r="F53" s="282"/>
      <c r="G53" s="71" t="s">
        <v>238</v>
      </c>
      <c r="H53" s="70" t="s">
        <v>239</v>
      </c>
      <c r="I53" s="70" t="s">
        <v>180</v>
      </c>
      <c r="J53" s="71" t="s">
        <v>191</v>
      </c>
      <c r="K53" s="70" t="s">
        <v>228</v>
      </c>
      <c r="L53" s="69" t="s">
        <v>213</v>
      </c>
      <c r="M53" s="68" t="s">
        <v>214</v>
      </c>
      <c r="N53" s="68">
        <v>2.98</v>
      </c>
      <c r="O53" s="68">
        <v>3.5</v>
      </c>
      <c r="P53" s="144">
        <v>3.5</v>
      </c>
      <c r="Q53" s="144">
        <v>3.5</v>
      </c>
      <c r="R53" s="144">
        <v>3.5</v>
      </c>
      <c r="S53" s="144">
        <v>3.5</v>
      </c>
      <c r="T53" s="144">
        <v>3.5</v>
      </c>
      <c r="U53" s="144">
        <v>3.5</v>
      </c>
      <c r="V53" s="144">
        <v>3.5</v>
      </c>
      <c r="W53" s="144">
        <v>3.5</v>
      </c>
      <c r="X53" s="144">
        <v>3.5</v>
      </c>
      <c r="Y53" s="144">
        <v>3.5</v>
      </c>
      <c r="Z53" s="144">
        <v>3.5</v>
      </c>
      <c r="AA53" s="58">
        <v>3.5</v>
      </c>
      <c r="AB53" s="58">
        <v>0.5</v>
      </c>
      <c r="AC53" s="10">
        <v>0.52</v>
      </c>
      <c r="AD53" s="10">
        <v>0.52</v>
      </c>
      <c r="AE53" s="10">
        <v>0.52</v>
      </c>
      <c r="AF53" s="10">
        <v>0.52</v>
      </c>
      <c r="AG53" s="10">
        <v>0.52</v>
      </c>
      <c r="AH53" s="10">
        <v>0.52</v>
      </c>
      <c r="AI53" s="10">
        <v>0.52</v>
      </c>
      <c r="AJ53" s="10">
        <v>0.52</v>
      </c>
      <c r="AK53" s="10">
        <v>0.52</v>
      </c>
      <c r="AL53" s="10">
        <v>0.52</v>
      </c>
      <c r="AM53" s="10">
        <v>0.52</v>
      </c>
      <c r="AN53" s="149">
        <v>0.52</v>
      </c>
      <c r="AO53" s="5">
        <v>0</v>
      </c>
      <c r="AP53" s="118">
        <f t="shared" si="1"/>
        <v>0</v>
      </c>
      <c r="AQ53" s="5">
        <v>0</v>
      </c>
      <c r="AR53" s="118">
        <f t="shared" si="2"/>
        <v>0</v>
      </c>
      <c r="AS53" s="5">
        <v>0</v>
      </c>
      <c r="AT53" s="127">
        <f t="shared" si="3"/>
        <v>0</v>
      </c>
      <c r="AU53" s="5">
        <v>0</v>
      </c>
      <c r="AV53" s="118">
        <f t="shared" si="4"/>
        <v>0</v>
      </c>
      <c r="AW53" s="5">
        <v>0</v>
      </c>
      <c r="AX53" s="118">
        <f t="shared" si="5"/>
        <v>0</v>
      </c>
      <c r="AY53" s="5">
        <v>0</v>
      </c>
      <c r="AZ53" s="127">
        <f t="shared" si="6"/>
        <v>0</v>
      </c>
      <c r="BA53" s="105">
        <v>0</v>
      </c>
      <c r="BB53" s="118">
        <f t="shared" si="7"/>
        <v>0</v>
      </c>
      <c r="BC53" s="105">
        <v>0</v>
      </c>
      <c r="BD53" s="118">
        <f t="shared" si="8"/>
        <v>0</v>
      </c>
      <c r="BE53" s="5">
        <v>0</v>
      </c>
      <c r="BF53" s="127">
        <f t="shared" si="9"/>
        <v>0</v>
      </c>
      <c r="BG53" s="105">
        <v>0</v>
      </c>
      <c r="BH53" s="118">
        <f t="shared" si="10"/>
        <v>0</v>
      </c>
      <c r="BI53" s="5">
        <v>0</v>
      </c>
      <c r="BJ53" s="118">
        <f t="shared" si="11"/>
        <v>0</v>
      </c>
      <c r="BK53" s="5">
        <v>0</v>
      </c>
      <c r="BL53" s="127">
        <f t="shared" si="12"/>
        <v>0</v>
      </c>
    </row>
    <row r="54" spans="1:67">
      <c r="A54" s="112" t="s">
        <v>259</v>
      </c>
      <c r="B54" s="106" t="s">
        <v>267</v>
      </c>
      <c r="C54" s="66" t="s">
        <v>175</v>
      </c>
      <c r="D54" s="284"/>
      <c r="E54" s="77" t="s">
        <v>225</v>
      </c>
      <c r="F54" s="282"/>
      <c r="G54" s="71" t="s">
        <v>238</v>
      </c>
      <c r="H54" s="70" t="s">
        <v>239</v>
      </c>
      <c r="I54" s="70" t="s">
        <v>180</v>
      </c>
      <c r="J54" s="71" t="s">
        <v>191</v>
      </c>
      <c r="K54" s="70" t="s">
        <v>242</v>
      </c>
      <c r="L54" s="69" t="s">
        <v>213</v>
      </c>
      <c r="M54" s="68" t="s">
        <v>214</v>
      </c>
      <c r="N54" s="68">
        <v>4.68</v>
      </c>
      <c r="O54" s="68">
        <v>5.7</v>
      </c>
      <c r="P54" s="144">
        <v>5.7</v>
      </c>
      <c r="Q54" s="144">
        <v>5.7</v>
      </c>
      <c r="R54" s="144">
        <v>5.7</v>
      </c>
      <c r="S54" s="144">
        <v>5.7</v>
      </c>
      <c r="T54" s="144">
        <v>5.7</v>
      </c>
      <c r="U54" s="144">
        <v>5.7</v>
      </c>
      <c r="V54" s="144">
        <v>5.7</v>
      </c>
      <c r="W54" s="144">
        <v>5.7</v>
      </c>
      <c r="X54" s="144">
        <v>5.7</v>
      </c>
      <c r="Y54" s="144">
        <v>5.7</v>
      </c>
      <c r="Z54" s="144">
        <v>5.7</v>
      </c>
      <c r="AA54" s="58">
        <v>5.7</v>
      </c>
      <c r="AB54" s="58">
        <v>0.8</v>
      </c>
      <c r="AC54" s="10">
        <v>1.02</v>
      </c>
      <c r="AD54" s="10">
        <v>1.02</v>
      </c>
      <c r="AE54" s="10">
        <v>1.02</v>
      </c>
      <c r="AF54" s="10">
        <v>1.02</v>
      </c>
      <c r="AG54" s="10">
        <v>1.02</v>
      </c>
      <c r="AH54" s="10">
        <v>1.02</v>
      </c>
      <c r="AI54" s="10">
        <v>1.02</v>
      </c>
      <c r="AJ54" s="10">
        <v>1.02</v>
      </c>
      <c r="AK54" s="10">
        <v>1.02</v>
      </c>
      <c r="AL54" s="10">
        <v>1.02</v>
      </c>
      <c r="AM54" s="10">
        <v>1.02</v>
      </c>
      <c r="AN54" s="149">
        <v>1.02</v>
      </c>
      <c r="AO54" s="5">
        <v>0</v>
      </c>
      <c r="AP54" s="118">
        <f t="shared" si="1"/>
        <v>0</v>
      </c>
      <c r="AQ54" s="5">
        <v>0</v>
      </c>
      <c r="AR54" s="118">
        <f t="shared" si="2"/>
        <v>0</v>
      </c>
      <c r="AS54" s="5">
        <v>0</v>
      </c>
      <c r="AT54" s="127">
        <f t="shared" si="3"/>
        <v>0</v>
      </c>
      <c r="AU54" s="5">
        <v>0</v>
      </c>
      <c r="AV54" s="118">
        <f t="shared" si="4"/>
        <v>0</v>
      </c>
      <c r="AW54" s="5">
        <v>0</v>
      </c>
      <c r="AX54" s="118">
        <f t="shared" si="5"/>
        <v>0</v>
      </c>
      <c r="AY54" s="5">
        <v>0</v>
      </c>
      <c r="AZ54" s="127">
        <f t="shared" si="6"/>
        <v>0</v>
      </c>
      <c r="BA54" s="105">
        <v>0</v>
      </c>
      <c r="BB54" s="118">
        <f t="shared" si="7"/>
        <v>0</v>
      </c>
      <c r="BC54" s="105">
        <v>0</v>
      </c>
      <c r="BD54" s="118">
        <f t="shared" si="8"/>
        <v>0</v>
      </c>
      <c r="BE54" s="5">
        <v>0</v>
      </c>
      <c r="BF54" s="127">
        <f t="shared" si="9"/>
        <v>0</v>
      </c>
      <c r="BG54" s="105">
        <v>0</v>
      </c>
      <c r="BH54" s="118">
        <f t="shared" si="10"/>
        <v>0</v>
      </c>
      <c r="BI54" s="5">
        <v>0</v>
      </c>
      <c r="BJ54" s="118">
        <f t="shared" si="11"/>
        <v>0</v>
      </c>
      <c r="BK54" s="5">
        <v>0</v>
      </c>
      <c r="BL54" s="127">
        <f t="shared" si="12"/>
        <v>0</v>
      </c>
    </row>
    <row r="55" spans="1:67">
      <c r="A55" s="112" t="s">
        <v>259</v>
      </c>
      <c r="B55" s="106" t="s">
        <v>267</v>
      </c>
      <c r="C55" s="66" t="s">
        <v>175</v>
      </c>
      <c r="D55" s="284"/>
      <c r="E55" s="77" t="s">
        <v>225</v>
      </c>
      <c r="F55" s="282"/>
      <c r="G55" s="71" t="s">
        <v>238</v>
      </c>
      <c r="H55" s="70" t="s">
        <v>239</v>
      </c>
      <c r="I55" s="70" t="s">
        <v>184</v>
      </c>
      <c r="J55" s="71" t="s">
        <v>191</v>
      </c>
      <c r="K55" s="70" t="s">
        <v>242</v>
      </c>
      <c r="L55" s="69" t="s">
        <v>213</v>
      </c>
      <c r="M55" s="68" t="s">
        <v>214</v>
      </c>
      <c r="N55" s="68">
        <v>9.58</v>
      </c>
      <c r="O55" s="68">
        <v>13.15</v>
      </c>
      <c r="P55" s="144">
        <v>13.15</v>
      </c>
      <c r="Q55" s="144">
        <v>13.15</v>
      </c>
      <c r="R55" s="144">
        <v>13.15</v>
      </c>
      <c r="S55" s="144">
        <v>13.15</v>
      </c>
      <c r="T55" s="144">
        <v>13.15</v>
      </c>
      <c r="U55" s="144">
        <v>13.15</v>
      </c>
      <c r="V55" s="144">
        <v>13.15</v>
      </c>
      <c r="W55" s="144">
        <v>13.15</v>
      </c>
      <c r="X55" s="144">
        <v>13.15</v>
      </c>
      <c r="Y55" s="144">
        <v>13.15</v>
      </c>
      <c r="Z55" s="144">
        <v>13.15</v>
      </c>
      <c r="AA55" s="58">
        <v>13.15</v>
      </c>
      <c r="AB55" s="58">
        <v>2.5</v>
      </c>
      <c r="AC55" s="10">
        <v>3.27</v>
      </c>
      <c r="AD55" s="10">
        <v>3.27</v>
      </c>
      <c r="AE55" s="10">
        <v>3.27</v>
      </c>
      <c r="AF55" s="10">
        <v>3.27</v>
      </c>
      <c r="AG55" s="10">
        <v>3.27</v>
      </c>
      <c r="AH55" s="10">
        <v>3.27</v>
      </c>
      <c r="AI55" s="10">
        <v>3.27</v>
      </c>
      <c r="AJ55" s="10">
        <v>3.27</v>
      </c>
      <c r="AK55" s="10">
        <v>3.27</v>
      </c>
      <c r="AL55" s="10">
        <v>3.27</v>
      </c>
      <c r="AM55" s="10">
        <v>3.27</v>
      </c>
      <c r="AN55" s="149">
        <v>3.27</v>
      </c>
      <c r="AO55" s="5">
        <v>0</v>
      </c>
      <c r="AP55" s="118">
        <f t="shared" si="1"/>
        <v>0</v>
      </c>
      <c r="AQ55" s="5">
        <v>0</v>
      </c>
      <c r="AR55" s="118">
        <f t="shared" si="2"/>
        <v>0</v>
      </c>
      <c r="AS55" s="5">
        <v>0</v>
      </c>
      <c r="AT55" s="127">
        <f t="shared" si="3"/>
        <v>0</v>
      </c>
      <c r="AU55" s="5">
        <v>0</v>
      </c>
      <c r="AV55" s="118">
        <f t="shared" si="4"/>
        <v>0</v>
      </c>
      <c r="AW55" s="5">
        <v>0</v>
      </c>
      <c r="AX55" s="118">
        <f t="shared" si="5"/>
        <v>0</v>
      </c>
      <c r="AY55" s="5">
        <v>0</v>
      </c>
      <c r="AZ55" s="127">
        <f t="shared" si="6"/>
        <v>0</v>
      </c>
      <c r="BA55" s="105">
        <v>0</v>
      </c>
      <c r="BB55" s="118">
        <f t="shared" si="7"/>
        <v>0</v>
      </c>
      <c r="BC55" s="105">
        <v>0</v>
      </c>
      <c r="BD55" s="118">
        <f t="shared" si="8"/>
        <v>0</v>
      </c>
      <c r="BE55" s="5">
        <v>0</v>
      </c>
      <c r="BF55" s="127">
        <f t="shared" si="9"/>
        <v>0</v>
      </c>
      <c r="BG55" s="105">
        <v>0</v>
      </c>
      <c r="BH55" s="118">
        <f t="shared" si="10"/>
        <v>0</v>
      </c>
      <c r="BI55" s="5">
        <v>0</v>
      </c>
      <c r="BJ55" s="118">
        <f t="shared" si="11"/>
        <v>0</v>
      </c>
      <c r="BK55" s="5">
        <v>0</v>
      </c>
      <c r="BL55" s="127">
        <f t="shared" si="12"/>
        <v>0</v>
      </c>
    </row>
    <row r="56" spans="1:67">
      <c r="A56" s="112" t="s">
        <v>259</v>
      </c>
      <c r="B56" s="106" t="s">
        <v>267</v>
      </c>
      <c r="C56" s="66" t="s">
        <v>175</v>
      </c>
      <c r="D56" s="284"/>
      <c r="E56" s="77" t="s">
        <v>225</v>
      </c>
      <c r="F56" s="282"/>
      <c r="G56" s="71" t="s">
        <v>178</v>
      </c>
      <c r="H56" s="70" t="s">
        <v>239</v>
      </c>
      <c r="I56" s="70" t="s">
        <v>184</v>
      </c>
      <c r="J56" s="71" t="s">
        <v>191</v>
      </c>
      <c r="K56" s="70" t="s">
        <v>243</v>
      </c>
      <c r="L56" s="69" t="s">
        <v>213</v>
      </c>
      <c r="M56" s="68" t="s">
        <v>214</v>
      </c>
      <c r="N56" s="68">
        <v>8.8800000000000008</v>
      </c>
      <c r="O56" s="68">
        <v>12.15</v>
      </c>
      <c r="P56" s="144">
        <v>12.15</v>
      </c>
      <c r="Q56" s="144">
        <v>12.15</v>
      </c>
      <c r="R56" s="144">
        <v>12.15</v>
      </c>
      <c r="S56" s="144">
        <v>12.15</v>
      </c>
      <c r="T56" s="144">
        <v>12.15</v>
      </c>
      <c r="U56" s="144">
        <v>12.15</v>
      </c>
      <c r="V56" s="144">
        <v>12.15</v>
      </c>
      <c r="W56" s="144">
        <v>12.15</v>
      </c>
      <c r="X56" s="144">
        <v>12.15</v>
      </c>
      <c r="Y56" s="144">
        <v>12.15</v>
      </c>
      <c r="Z56" s="144">
        <v>12.15</v>
      </c>
      <c r="AA56" s="58">
        <v>12.15</v>
      </c>
      <c r="AB56" s="58">
        <v>2</v>
      </c>
      <c r="AC56" s="10">
        <v>3.27</v>
      </c>
      <c r="AD56" s="10">
        <v>3.27</v>
      </c>
      <c r="AE56" s="10">
        <v>3.27</v>
      </c>
      <c r="AF56" s="10">
        <v>3.27</v>
      </c>
      <c r="AG56" s="10">
        <v>3.27</v>
      </c>
      <c r="AH56" s="10">
        <v>3.27</v>
      </c>
      <c r="AI56" s="10">
        <v>3.27</v>
      </c>
      <c r="AJ56" s="10">
        <v>3.27</v>
      </c>
      <c r="AK56" s="10">
        <v>3.27</v>
      </c>
      <c r="AL56" s="10">
        <v>3.27</v>
      </c>
      <c r="AM56" s="10">
        <v>3.27</v>
      </c>
      <c r="AN56" s="149">
        <v>3.27</v>
      </c>
      <c r="AO56" s="5">
        <v>0</v>
      </c>
      <c r="AP56" s="118">
        <f t="shared" si="1"/>
        <v>0</v>
      </c>
      <c r="AQ56" s="5">
        <v>0</v>
      </c>
      <c r="AR56" s="118">
        <f t="shared" si="2"/>
        <v>0</v>
      </c>
      <c r="AS56" s="5">
        <v>0</v>
      </c>
      <c r="AT56" s="127">
        <f t="shared" si="3"/>
        <v>0</v>
      </c>
      <c r="AU56" s="5">
        <v>0</v>
      </c>
      <c r="AV56" s="118">
        <f t="shared" si="4"/>
        <v>0</v>
      </c>
      <c r="AW56" s="5">
        <v>0</v>
      </c>
      <c r="AX56" s="118">
        <f t="shared" si="5"/>
        <v>0</v>
      </c>
      <c r="AY56" s="5">
        <v>0</v>
      </c>
      <c r="AZ56" s="127">
        <f t="shared" si="6"/>
        <v>0</v>
      </c>
      <c r="BA56" s="105">
        <v>0</v>
      </c>
      <c r="BB56" s="118">
        <f t="shared" si="7"/>
        <v>0</v>
      </c>
      <c r="BC56" s="105">
        <v>0</v>
      </c>
      <c r="BD56" s="118">
        <f t="shared" si="8"/>
        <v>0</v>
      </c>
      <c r="BE56" s="5">
        <v>0</v>
      </c>
      <c r="BF56" s="127">
        <f t="shared" si="9"/>
        <v>0</v>
      </c>
      <c r="BG56" s="105">
        <v>0</v>
      </c>
      <c r="BH56" s="118">
        <f t="shared" si="10"/>
        <v>0</v>
      </c>
      <c r="BI56" s="5">
        <v>0</v>
      </c>
      <c r="BJ56" s="118">
        <f t="shared" si="11"/>
        <v>0</v>
      </c>
      <c r="BK56" s="5">
        <v>0</v>
      </c>
      <c r="BL56" s="127">
        <f t="shared" si="12"/>
        <v>0</v>
      </c>
    </row>
    <row r="57" spans="1:67">
      <c r="A57" s="112" t="s">
        <v>259</v>
      </c>
      <c r="B57" s="106" t="s">
        <v>267</v>
      </c>
      <c r="C57" s="66" t="s">
        <v>175</v>
      </c>
      <c r="D57" s="284"/>
      <c r="E57" s="77" t="s">
        <v>225</v>
      </c>
      <c r="F57" s="282"/>
      <c r="G57" s="71" t="s">
        <v>260</v>
      </c>
      <c r="H57" s="70" t="s">
        <v>366</v>
      </c>
      <c r="I57" s="70" t="s">
        <v>240</v>
      </c>
      <c r="J57" s="71" t="s">
        <v>367</v>
      </c>
      <c r="K57" s="70" t="s">
        <v>368</v>
      </c>
      <c r="L57" s="69" t="s">
        <v>185</v>
      </c>
      <c r="M57" s="68" t="s">
        <v>204</v>
      </c>
      <c r="N57" s="68">
        <v>3.05</v>
      </c>
      <c r="O57" s="68">
        <v>3.95</v>
      </c>
      <c r="P57" s="144">
        <v>3.95</v>
      </c>
      <c r="Q57" s="144">
        <v>3.95</v>
      </c>
      <c r="R57" s="144">
        <v>3.95</v>
      </c>
      <c r="S57" s="144">
        <v>3.95</v>
      </c>
      <c r="T57" s="144">
        <v>3.95</v>
      </c>
      <c r="U57" s="144">
        <v>3.95</v>
      </c>
      <c r="V57" s="144">
        <v>3.95</v>
      </c>
      <c r="W57" s="144">
        <v>3.95</v>
      </c>
      <c r="X57" s="144">
        <v>3.95</v>
      </c>
      <c r="Y57" s="144">
        <v>3.95</v>
      </c>
      <c r="Z57" s="144">
        <v>3.95</v>
      </c>
      <c r="AA57" s="58">
        <v>3.95</v>
      </c>
      <c r="AB57" s="58">
        <v>0</v>
      </c>
      <c r="AC57" s="10">
        <v>0</v>
      </c>
      <c r="AD57" s="10">
        <v>0</v>
      </c>
      <c r="AE57" s="10">
        <v>0</v>
      </c>
      <c r="AF57" s="10">
        <v>0.9</v>
      </c>
      <c r="AG57" s="10">
        <v>0.9</v>
      </c>
      <c r="AH57" s="10">
        <v>0.9</v>
      </c>
      <c r="AI57" s="10">
        <v>0.9</v>
      </c>
      <c r="AJ57" s="10">
        <v>0.9</v>
      </c>
      <c r="AK57" s="10">
        <v>0.9</v>
      </c>
      <c r="AL57" s="10">
        <v>0.9</v>
      </c>
      <c r="AM57" s="10">
        <v>0.9</v>
      </c>
      <c r="AN57" s="149">
        <v>0.9</v>
      </c>
      <c r="AO57" s="5">
        <v>0</v>
      </c>
      <c r="AP57" s="118">
        <f t="shared" si="1"/>
        <v>0</v>
      </c>
      <c r="AQ57" s="5">
        <v>0</v>
      </c>
      <c r="AR57" s="118">
        <f t="shared" si="2"/>
        <v>0</v>
      </c>
      <c r="AS57" s="5">
        <v>80</v>
      </c>
      <c r="AT57" s="127">
        <f t="shared" si="3"/>
        <v>0</v>
      </c>
      <c r="AU57" s="5">
        <v>5360</v>
      </c>
      <c r="AV57" s="118">
        <f t="shared" si="4"/>
        <v>4824</v>
      </c>
      <c r="AW57" s="5">
        <v>54369</v>
      </c>
      <c r="AX57" s="118">
        <f t="shared" si="5"/>
        <v>48932.1</v>
      </c>
      <c r="AY57" s="5">
        <v>17799</v>
      </c>
      <c r="AZ57" s="127">
        <f t="shared" si="6"/>
        <v>16019.1</v>
      </c>
      <c r="BA57" s="105">
        <v>41680</v>
      </c>
      <c r="BB57" s="118">
        <f t="shared" si="7"/>
        <v>37512</v>
      </c>
      <c r="BC57" s="105">
        <v>40271</v>
      </c>
      <c r="BD57" s="118">
        <f t="shared" si="8"/>
        <v>36243.9</v>
      </c>
      <c r="BE57" s="5">
        <v>25194</v>
      </c>
      <c r="BF57" s="127">
        <f t="shared" si="9"/>
        <v>22674.600000000002</v>
      </c>
      <c r="BG57" s="105">
        <v>5760</v>
      </c>
      <c r="BH57" s="118">
        <f t="shared" si="10"/>
        <v>5184</v>
      </c>
      <c r="BI57" s="5">
        <v>31542</v>
      </c>
      <c r="BJ57" s="118">
        <f t="shared" si="11"/>
        <v>28387.8</v>
      </c>
      <c r="BK57" s="5">
        <v>31914</v>
      </c>
      <c r="BL57" s="127">
        <f t="shared" si="12"/>
        <v>28722.600000000002</v>
      </c>
    </row>
    <row r="58" spans="1:67">
      <c r="A58" s="112" t="s">
        <v>259</v>
      </c>
      <c r="B58" s="106" t="s">
        <v>267</v>
      </c>
      <c r="C58" s="66" t="s">
        <v>175</v>
      </c>
      <c r="D58" s="284"/>
      <c r="E58" s="77" t="s">
        <v>225</v>
      </c>
      <c r="F58" s="282"/>
      <c r="G58" s="71" t="s">
        <v>260</v>
      </c>
      <c r="H58" s="70" t="s">
        <v>369</v>
      </c>
      <c r="I58" s="70" t="s">
        <v>240</v>
      </c>
      <c r="J58" s="71" t="s">
        <v>367</v>
      </c>
      <c r="K58" s="70" t="s">
        <v>370</v>
      </c>
      <c r="L58" s="69" t="s">
        <v>185</v>
      </c>
      <c r="M58" s="68" t="s">
        <v>204</v>
      </c>
      <c r="N58" s="68">
        <v>3.05</v>
      </c>
      <c r="O58" s="68">
        <v>3.95</v>
      </c>
      <c r="P58" s="144">
        <v>3.95</v>
      </c>
      <c r="Q58" s="144">
        <v>3.95</v>
      </c>
      <c r="R58" s="144">
        <v>3.95</v>
      </c>
      <c r="S58" s="144">
        <v>3.95</v>
      </c>
      <c r="T58" s="144">
        <v>3.95</v>
      </c>
      <c r="U58" s="144">
        <v>3.95</v>
      </c>
      <c r="V58" s="144">
        <v>3.95</v>
      </c>
      <c r="W58" s="144">
        <v>3.95</v>
      </c>
      <c r="X58" s="144">
        <v>3.95</v>
      </c>
      <c r="Y58" s="144">
        <v>3.95</v>
      </c>
      <c r="Z58" s="144">
        <v>3.95</v>
      </c>
      <c r="AA58" s="58">
        <v>3.95</v>
      </c>
      <c r="AB58" s="58">
        <v>0</v>
      </c>
      <c r="AC58" s="10">
        <v>0</v>
      </c>
      <c r="AD58" s="10">
        <v>0</v>
      </c>
      <c r="AE58" s="10">
        <v>0</v>
      </c>
      <c r="AF58" s="10">
        <v>0.9</v>
      </c>
      <c r="AG58" s="10">
        <v>0.9</v>
      </c>
      <c r="AH58" s="10">
        <v>0.9</v>
      </c>
      <c r="AI58" s="10">
        <v>0.9</v>
      </c>
      <c r="AJ58" s="10">
        <v>0.9</v>
      </c>
      <c r="AK58" s="10">
        <v>0.9</v>
      </c>
      <c r="AL58" s="10">
        <v>0.9</v>
      </c>
      <c r="AM58" s="10">
        <v>0.9</v>
      </c>
      <c r="AN58" s="149">
        <v>0.9</v>
      </c>
      <c r="AO58" s="5">
        <v>0</v>
      </c>
      <c r="AP58" s="118">
        <f t="shared" si="1"/>
        <v>0</v>
      </c>
      <c r="AQ58" s="5">
        <v>0</v>
      </c>
      <c r="AR58" s="118">
        <f t="shared" si="2"/>
        <v>0</v>
      </c>
      <c r="AS58" s="5">
        <v>134</v>
      </c>
      <c r="AT58" s="127">
        <f t="shared" si="3"/>
        <v>0</v>
      </c>
      <c r="AU58" s="206">
        <v>214</v>
      </c>
      <c r="AV58" s="118">
        <f t="shared" si="4"/>
        <v>192.6</v>
      </c>
      <c r="AW58" s="5">
        <v>80</v>
      </c>
      <c r="AX58" s="118">
        <f t="shared" si="5"/>
        <v>72</v>
      </c>
      <c r="AY58" s="5">
        <v>1200</v>
      </c>
      <c r="AZ58" s="127">
        <f t="shared" si="6"/>
        <v>1080</v>
      </c>
      <c r="BA58" s="105">
        <v>800</v>
      </c>
      <c r="BB58" s="118">
        <f t="shared" si="7"/>
        <v>720</v>
      </c>
      <c r="BC58" s="105">
        <v>2840</v>
      </c>
      <c r="BD58" s="118">
        <f t="shared" si="8"/>
        <v>2556</v>
      </c>
      <c r="BE58" s="5">
        <v>1000</v>
      </c>
      <c r="BF58" s="127">
        <f t="shared" si="9"/>
        <v>900</v>
      </c>
      <c r="BG58" s="105">
        <v>560</v>
      </c>
      <c r="BH58" s="118">
        <f t="shared" si="10"/>
        <v>504</v>
      </c>
      <c r="BI58" s="5">
        <v>1275</v>
      </c>
      <c r="BJ58" s="118">
        <f t="shared" si="11"/>
        <v>1147.5</v>
      </c>
      <c r="BK58" s="5">
        <v>0</v>
      </c>
      <c r="BL58" s="127">
        <f t="shared" si="12"/>
        <v>0</v>
      </c>
    </row>
    <row r="59" spans="1:67">
      <c r="A59" s="112" t="s">
        <v>259</v>
      </c>
      <c r="B59" s="106" t="s">
        <v>267</v>
      </c>
      <c r="C59" s="66" t="s">
        <v>175</v>
      </c>
      <c r="D59" s="284"/>
      <c r="E59" s="77" t="s">
        <v>225</v>
      </c>
      <c r="F59" s="282"/>
      <c r="G59" s="71" t="s">
        <v>260</v>
      </c>
      <c r="H59" s="70" t="s">
        <v>371</v>
      </c>
      <c r="I59" s="70" t="s">
        <v>240</v>
      </c>
      <c r="J59" s="71" t="s">
        <v>367</v>
      </c>
      <c r="K59" s="70" t="s">
        <v>368</v>
      </c>
      <c r="L59" s="69" t="s">
        <v>185</v>
      </c>
      <c r="M59" s="68" t="s">
        <v>204</v>
      </c>
      <c r="N59" s="68">
        <v>3.05</v>
      </c>
      <c r="O59" s="68">
        <v>3.95</v>
      </c>
      <c r="P59" s="144">
        <v>3.95</v>
      </c>
      <c r="Q59" s="144">
        <v>3.95</v>
      </c>
      <c r="R59" s="144">
        <v>3.95</v>
      </c>
      <c r="S59" s="144">
        <v>3.95</v>
      </c>
      <c r="T59" s="144">
        <v>3.95</v>
      </c>
      <c r="U59" s="144">
        <v>3.95</v>
      </c>
      <c r="V59" s="144">
        <v>3.95</v>
      </c>
      <c r="W59" s="144">
        <v>3.95</v>
      </c>
      <c r="X59" s="144">
        <v>3.95</v>
      </c>
      <c r="Y59" s="144">
        <v>3.95</v>
      </c>
      <c r="Z59" s="144">
        <v>3.95</v>
      </c>
      <c r="AA59" s="58">
        <v>3.95</v>
      </c>
      <c r="AB59" s="68">
        <v>0</v>
      </c>
      <c r="AC59" s="10">
        <v>0</v>
      </c>
      <c r="AD59" s="10">
        <v>0</v>
      </c>
      <c r="AE59" s="10">
        <v>0</v>
      </c>
      <c r="AF59" s="10">
        <v>0.9</v>
      </c>
      <c r="AG59" s="10">
        <v>0.9</v>
      </c>
      <c r="AH59" s="10">
        <v>0.9</v>
      </c>
      <c r="AI59" s="10">
        <v>0.97</v>
      </c>
      <c r="AJ59" s="10">
        <v>0.97</v>
      </c>
      <c r="AK59" s="10">
        <v>0.97</v>
      </c>
      <c r="AL59" s="10">
        <v>0.97</v>
      </c>
      <c r="AM59" s="10">
        <v>0.97</v>
      </c>
      <c r="AN59" s="149">
        <v>0.97</v>
      </c>
      <c r="AO59" s="5">
        <v>0</v>
      </c>
      <c r="AP59" s="118">
        <f t="shared" si="1"/>
        <v>0</v>
      </c>
      <c r="AQ59" s="5">
        <v>0</v>
      </c>
      <c r="AR59" s="118">
        <f t="shared" si="2"/>
        <v>0</v>
      </c>
      <c r="AS59" s="5">
        <v>880</v>
      </c>
      <c r="AT59" s="127">
        <f t="shared" si="3"/>
        <v>0</v>
      </c>
      <c r="AU59" s="5">
        <v>16397</v>
      </c>
      <c r="AV59" s="118">
        <f t="shared" si="4"/>
        <v>14757.300000000001</v>
      </c>
      <c r="AW59" s="5">
        <v>39270</v>
      </c>
      <c r="AX59" s="118">
        <f t="shared" si="5"/>
        <v>35343</v>
      </c>
      <c r="AY59" s="5">
        <v>6640</v>
      </c>
      <c r="AZ59" s="127">
        <f t="shared" si="6"/>
        <v>5976</v>
      </c>
      <c r="BA59" s="105">
        <v>66267</v>
      </c>
      <c r="BB59" s="118">
        <f t="shared" si="7"/>
        <v>64278.99</v>
      </c>
      <c r="BC59" s="105">
        <v>22480</v>
      </c>
      <c r="BD59" s="118">
        <f t="shared" si="8"/>
        <v>21805.599999999999</v>
      </c>
      <c r="BE59" s="5">
        <v>10381</v>
      </c>
      <c r="BF59" s="127">
        <f t="shared" si="9"/>
        <v>10069.57</v>
      </c>
      <c r="BG59" s="105">
        <v>49076</v>
      </c>
      <c r="BH59" s="118">
        <f t="shared" si="10"/>
        <v>47603.72</v>
      </c>
      <c r="BI59" s="5">
        <v>25865</v>
      </c>
      <c r="BJ59" s="118">
        <f t="shared" si="11"/>
        <v>25089.05</v>
      </c>
      <c r="BK59" s="5">
        <v>5120</v>
      </c>
      <c r="BL59" s="127">
        <f t="shared" si="12"/>
        <v>4966.3999999999996</v>
      </c>
    </row>
    <row r="60" spans="1:67">
      <c r="A60" s="112" t="s">
        <v>259</v>
      </c>
      <c r="B60" s="106" t="s">
        <v>267</v>
      </c>
      <c r="C60" s="66" t="s">
        <v>175</v>
      </c>
      <c r="D60" s="284"/>
      <c r="E60" s="77" t="s">
        <v>225</v>
      </c>
      <c r="F60" s="282"/>
      <c r="G60" s="71" t="s">
        <v>260</v>
      </c>
      <c r="H60" s="70" t="s">
        <v>371</v>
      </c>
      <c r="I60" s="70" t="s">
        <v>240</v>
      </c>
      <c r="J60" s="71" t="s">
        <v>367</v>
      </c>
      <c r="K60" s="70" t="s">
        <v>370</v>
      </c>
      <c r="L60" s="69" t="s">
        <v>185</v>
      </c>
      <c r="M60" s="68" t="s">
        <v>204</v>
      </c>
      <c r="N60" s="68">
        <v>3.05</v>
      </c>
      <c r="O60" s="68">
        <v>3.95</v>
      </c>
      <c r="P60" s="144">
        <v>3.95</v>
      </c>
      <c r="Q60" s="144">
        <v>3.95</v>
      </c>
      <c r="R60" s="144">
        <v>3.95</v>
      </c>
      <c r="S60" s="144">
        <v>3.95</v>
      </c>
      <c r="T60" s="144">
        <v>3.95</v>
      </c>
      <c r="U60" s="144">
        <v>3.95</v>
      </c>
      <c r="V60" s="144">
        <v>3.95</v>
      </c>
      <c r="W60" s="144">
        <v>3.95</v>
      </c>
      <c r="X60" s="144">
        <v>3.95</v>
      </c>
      <c r="Y60" s="144">
        <v>3.95</v>
      </c>
      <c r="Z60" s="144">
        <v>3.95</v>
      </c>
      <c r="AA60" s="58">
        <v>3.95</v>
      </c>
      <c r="AB60" s="68">
        <v>0</v>
      </c>
      <c r="AC60" s="10">
        <v>0</v>
      </c>
      <c r="AD60" s="10">
        <v>0</v>
      </c>
      <c r="AE60" s="10">
        <v>0</v>
      </c>
      <c r="AF60" s="10">
        <v>0.9</v>
      </c>
      <c r="AG60" s="10">
        <v>0.9</v>
      </c>
      <c r="AH60" s="10">
        <v>0.9</v>
      </c>
      <c r="AI60" s="10">
        <v>0.97</v>
      </c>
      <c r="AJ60" s="10">
        <v>0.97</v>
      </c>
      <c r="AK60" s="10">
        <v>0.97</v>
      </c>
      <c r="AL60" s="10">
        <v>0.97</v>
      </c>
      <c r="AM60" s="10">
        <v>0.97</v>
      </c>
      <c r="AN60" s="149">
        <v>0.97</v>
      </c>
      <c r="AO60" s="5">
        <v>0</v>
      </c>
      <c r="AP60" s="118">
        <f t="shared" si="1"/>
        <v>0</v>
      </c>
      <c r="AQ60" s="5">
        <v>0</v>
      </c>
      <c r="AR60" s="118">
        <f t="shared" si="2"/>
        <v>0</v>
      </c>
      <c r="AS60" s="5">
        <v>0</v>
      </c>
      <c r="AT60" s="127">
        <f t="shared" si="3"/>
        <v>0</v>
      </c>
      <c r="AU60" s="206">
        <v>880</v>
      </c>
      <c r="AV60" s="118">
        <f t="shared" si="4"/>
        <v>792</v>
      </c>
      <c r="AW60" s="5">
        <v>920</v>
      </c>
      <c r="AX60" s="118">
        <f t="shared" si="5"/>
        <v>828</v>
      </c>
      <c r="AY60" s="5">
        <v>3000</v>
      </c>
      <c r="AZ60" s="127">
        <f t="shared" si="6"/>
        <v>2700</v>
      </c>
      <c r="BA60" s="105">
        <v>1840</v>
      </c>
      <c r="BB60" s="118">
        <f t="shared" si="7"/>
        <v>1784.8</v>
      </c>
      <c r="BC60" s="105">
        <v>0</v>
      </c>
      <c r="BD60" s="118">
        <f t="shared" si="8"/>
        <v>0</v>
      </c>
      <c r="BE60" s="5">
        <v>196</v>
      </c>
      <c r="BF60" s="127">
        <f t="shared" si="9"/>
        <v>190.12</v>
      </c>
      <c r="BG60" s="105">
        <v>80</v>
      </c>
      <c r="BH60" s="118">
        <f t="shared" si="10"/>
        <v>77.599999999999994</v>
      </c>
      <c r="BI60" s="5">
        <v>0</v>
      </c>
      <c r="BJ60" s="118">
        <f t="shared" si="11"/>
        <v>0</v>
      </c>
      <c r="BK60" s="5">
        <v>680</v>
      </c>
      <c r="BL60" s="127">
        <f t="shared" si="12"/>
        <v>659.6</v>
      </c>
    </row>
    <row r="61" spans="1:67">
      <c r="A61" s="112" t="s">
        <v>259</v>
      </c>
      <c r="B61" s="106"/>
      <c r="C61" s="66" t="s">
        <v>175</v>
      </c>
      <c r="D61" s="285"/>
      <c r="E61" s="143" t="s">
        <v>225</v>
      </c>
      <c r="F61" s="282"/>
      <c r="G61" s="72"/>
      <c r="H61" s="75"/>
      <c r="I61" s="75"/>
      <c r="J61" s="72"/>
      <c r="K61" s="75"/>
      <c r="L61" s="74"/>
      <c r="M61" s="52"/>
      <c r="N61" s="52"/>
      <c r="O61" s="52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49"/>
      <c r="AB61" s="52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150"/>
      <c r="AO61" s="23"/>
      <c r="AP61" s="184">
        <f t="shared" si="1"/>
        <v>0</v>
      </c>
      <c r="AQ61" s="23"/>
      <c r="AR61" s="184">
        <f t="shared" si="2"/>
        <v>0</v>
      </c>
      <c r="AS61" s="23"/>
      <c r="AT61" s="185">
        <f t="shared" si="3"/>
        <v>0</v>
      </c>
      <c r="AU61" s="23"/>
      <c r="AV61" s="184">
        <f t="shared" si="4"/>
        <v>0</v>
      </c>
      <c r="AW61" s="23"/>
      <c r="AX61" s="184">
        <f t="shared" si="5"/>
        <v>0</v>
      </c>
      <c r="AY61" s="23"/>
      <c r="AZ61" s="185">
        <f t="shared" si="6"/>
        <v>0</v>
      </c>
      <c r="BA61" s="50"/>
      <c r="BB61" s="184">
        <f t="shared" si="7"/>
        <v>0</v>
      </c>
      <c r="BC61" s="50"/>
      <c r="BD61" s="184">
        <f t="shared" si="8"/>
        <v>0</v>
      </c>
      <c r="BE61" s="23"/>
      <c r="BF61" s="185">
        <f t="shared" si="9"/>
        <v>0</v>
      </c>
      <c r="BG61" s="50"/>
      <c r="BH61" s="184">
        <f t="shared" si="10"/>
        <v>0</v>
      </c>
      <c r="BI61" s="23"/>
      <c r="BJ61" s="184">
        <f t="shared" si="11"/>
        <v>0</v>
      </c>
      <c r="BK61" s="23"/>
      <c r="BL61" s="185">
        <f t="shared" si="12"/>
        <v>0</v>
      </c>
    </row>
    <row r="62" spans="1:67">
      <c r="A62" s="112" t="s">
        <v>259</v>
      </c>
      <c r="B62" s="107" t="s">
        <v>244</v>
      </c>
      <c r="C62" s="66" t="s">
        <v>175</v>
      </c>
      <c r="D62" s="283" t="s">
        <v>245</v>
      </c>
      <c r="E62" s="186" t="s">
        <v>246</v>
      </c>
      <c r="F62" s="282" t="s">
        <v>372</v>
      </c>
      <c r="G62" s="64" t="s">
        <v>247</v>
      </c>
      <c r="H62" s="63" t="s">
        <v>248</v>
      </c>
      <c r="I62" s="63" t="s">
        <v>373</v>
      </c>
      <c r="J62" s="64"/>
      <c r="K62" s="63" t="s">
        <v>250</v>
      </c>
      <c r="L62" s="62" t="s">
        <v>251</v>
      </c>
      <c r="M62" s="179" t="s">
        <v>258</v>
      </c>
      <c r="N62" s="61">
        <v>12</v>
      </c>
      <c r="O62" s="59">
        <v>12</v>
      </c>
      <c r="P62" s="154">
        <v>12</v>
      </c>
      <c r="Q62" s="154">
        <v>12</v>
      </c>
      <c r="R62" s="154">
        <v>12</v>
      </c>
      <c r="S62" s="154">
        <v>12</v>
      </c>
      <c r="T62" s="154">
        <v>12</v>
      </c>
      <c r="U62" s="154">
        <v>12</v>
      </c>
      <c r="V62" s="154">
        <v>12</v>
      </c>
      <c r="W62" s="154">
        <v>12</v>
      </c>
      <c r="X62" s="154">
        <v>12</v>
      </c>
      <c r="Y62" s="154">
        <v>12</v>
      </c>
      <c r="Z62" s="154">
        <v>12</v>
      </c>
      <c r="AA62" s="59">
        <v>12</v>
      </c>
      <c r="AB62" s="61">
        <v>0.37</v>
      </c>
      <c r="AC62" s="78">
        <v>0.37</v>
      </c>
      <c r="AD62" s="78">
        <v>0.37</v>
      </c>
      <c r="AE62" s="78">
        <v>0.37</v>
      </c>
      <c r="AF62" s="78">
        <v>0.37</v>
      </c>
      <c r="AG62" s="78">
        <v>0.37</v>
      </c>
      <c r="AH62" s="78">
        <v>0.37</v>
      </c>
      <c r="AI62" s="78">
        <v>0.37</v>
      </c>
      <c r="AJ62" s="78">
        <v>0.37</v>
      </c>
      <c r="AK62" s="78">
        <v>0.37</v>
      </c>
      <c r="AL62" s="78">
        <v>0.37</v>
      </c>
      <c r="AM62" s="78">
        <v>0.37</v>
      </c>
      <c r="AN62" s="151">
        <v>0.37</v>
      </c>
      <c r="AO62" s="22">
        <v>7680</v>
      </c>
      <c r="AP62" s="117">
        <f t="shared" si="1"/>
        <v>2841.6</v>
      </c>
      <c r="AQ62" s="22">
        <v>8640</v>
      </c>
      <c r="AR62" s="117">
        <f t="shared" si="2"/>
        <v>3196.8</v>
      </c>
      <c r="AS62" s="203">
        <v>13440</v>
      </c>
      <c r="AT62" s="126">
        <f t="shared" si="3"/>
        <v>4972.8</v>
      </c>
      <c r="AU62" s="22">
        <v>3840</v>
      </c>
      <c r="AV62" s="117">
        <f t="shared" si="4"/>
        <v>1420.8</v>
      </c>
      <c r="AW62" s="22">
        <v>1920</v>
      </c>
      <c r="AX62" s="117">
        <f t="shared" si="5"/>
        <v>710.4</v>
      </c>
      <c r="AY62" s="22">
        <v>6720</v>
      </c>
      <c r="AZ62" s="126">
        <f t="shared" si="6"/>
        <v>2486.4</v>
      </c>
      <c r="BA62" s="79">
        <v>0</v>
      </c>
      <c r="BB62" s="117">
        <f t="shared" si="7"/>
        <v>0</v>
      </c>
      <c r="BC62" s="79">
        <v>0</v>
      </c>
      <c r="BD62" s="117">
        <f t="shared" si="8"/>
        <v>0</v>
      </c>
      <c r="BE62" s="22">
        <v>0</v>
      </c>
      <c r="BF62" s="126">
        <f t="shared" si="9"/>
        <v>0</v>
      </c>
      <c r="BG62" s="79">
        <v>0</v>
      </c>
      <c r="BH62" s="117">
        <f t="shared" si="10"/>
        <v>0</v>
      </c>
      <c r="BI62" s="22"/>
      <c r="BJ62" s="117">
        <f t="shared" si="11"/>
        <v>0</v>
      </c>
      <c r="BK62" s="22"/>
      <c r="BL62" s="126">
        <f t="shared" si="12"/>
        <v>0</v>
      </c>
      <c r="BO62" s="1" t="s">
        <v>374</v>
      </c>
    </row>
    <row r="63" spans="1:67">
      <c r="A63" s="112" t="s">
        <v>259</v>
      </c>
      <c r="B63" s="107" t="s">
        <v>244</v>
      </c>
      <c r="C63" s="66" t="s">
        <v>175</v>
      </c>
      <c r="D63" s="284"/>
      <c r="E63" s="77" t="s">
        <v>253</v>
      </c>
      <c r="F63" s="282"/>
      <c r="G63" s="71" t="s">
        <v>375</v>
      </c>
      <c r="H63" s="70" t="s">
        <v>248</v>
      </c>
      <c r="I63" s="70" t="s">
        <v>376</v>
      </c>
      <c r="J63" s="71"/>
      <c r="K63" s="70" t="s">
        <v>250</v>
      </c>
      <c r="L63" s="69" t="s">
        <v>257</v>
      </c>
      <c r="M63" s="180" t="s">
        <v>258</v>
      </c>
      <c r="N63" s="68">
        <v>12</v>
      </c>
      <c r="O63" s="58">
        <v>12</v>
      </c>
      <c r="P63" s="144">
        <v>12</v>
      </c>
      <c r="Q63" s="144">
        <v>12</v>
      </c>
      <c r="R63" s="144">
        <v>12</v>
      </c>
      <c r="S63" s="144">
        <v>12</v>
      </c>
      <c r="T63" s="144">
        <v>12</v>
      </c>
      <c r="U63" s="144">
        <v>12</v>
      </c>
      <c r="V63" s="144">
        <v>12</v>
      </c>
      <c r="W63" s="144">
        <v>12</v>
      </c>
      <c r="X63" s="144">
        <v>12</v>
      </c>
      <c r="Y63" s="144">
        <v>12</v>
      </c>
      <c r="Z63" s="144">
        <v>12</v>
      </c>
      <c r="AA63" s="58">
        <v>12</v>
      </c>
      <c r="AB63" s="68">
        <v>0.37</v>
      </c>
      <c r="AC63" s="10">
        <v>0.37</v>
      </c>
      <c r="AD63" s="10">
        <v>0.37</v>
      </c>
      <c r="AE63" s="10">
        <v>0.37</v>
      </c>
      <c r="AF63" s="10">
        <v>0.37</v>
      </c>
      <c r="AG63" s="10">
        <v>0.37</v>
      </c>
      <c r="AH63" s="10">
        <v>0.37</v>
      </c>
      <c r="AI63" s="10">
        <v>0.37</v>
      </c>
      <c r="AJ63" s="10">
        <v>0.37</v>
      </c>
      <c r="AK63" s="10">
        <v>0.37</v>
      </c>
      <c r="AL63" s="10">
        <v>0.37</v>
      </c>
      <c r="AM63" s="10">
        <v>0.37</v>
      </c>
      <c r="AN63" s="149">
        <v>0.37</v>
      </c>
      <c r="AP63" s="118">
        <f t="shared" si="1"/>
        <v>0</v>
      </c>
      <c r="AR63" s="118">
        <f t="shared" si="2"/>
        <v>0</v>
      </c>
      <c r="AS63" s="204"/>
      <c r="AT63" s="127">
        <f t="shared" si="3"/>
        <v>0</v>
      </c>
      <c r="AU63" s="5"/>
      <c r="AV63" s="118">
        <f t="shared" si="4"/>
        <v>0</v>
      </c>
      <c r="AW63" s="5"/>
      <c r="AX63" s="118">
        <f t="shared" si="5"/>
        <v>0</v>
      </c>
      <c r="AY63" s="5"/>
      <c r="AZ63" s="127">
        <f t="shared" si="6"/>
        <v>0</v>
      </c>
      <c r="BA63" s="105"/>
      <c r="BB63" s="118">
        <f t="shared" si="7"/>
        <v>0</v>
      </c>
      <c r="BC63" s="105">
        <v>1920</v>
      </c>
      <c r="BD63" s="118">
        <f t="shared" si="8"/>
        <v>710.4</v>
      </c>
      <c r="BE63" s="5">
        <v>18240</v>
      </c>
      <c r="BF63" s="127">
        <f t="shared" si="9"/>
        <v>6748.8</v>
      </c>
      <c r="BG63" s="105">
        <v>0</v>
      </c>
      <c r="BH63" s="118">
        <f t="shared" si="10"/>
        <v>0</v>
      </c>
      <c r="BI63" s="5"/>
      <c r="BJ63" s="118">
        <f t="shared" si="11"/>
        <v>0</v>
      </c>
      <c r="BK63" s="5"/>
      <c r="BL63" s="127">
        <f t="shared" si="12"/>
        <v>0</v>
      </c>
      <c r="BO63" s="1" t="s">
        <v>377</v>
      </c>
    </row>
    <row r="64" spans="1:67">
      <c r="A64" s="112" t="s">
        <v>259</v>
      </c>
      <c r="B64" s="107" t="s">
        <v>244</v>
      </c>
      <c r="C64" s="66" t="s">
        <v>175</v>
      </c>
      <c r="D64" s="284"/>
      <c r="E64" s="77" t="s">
        <v>253</v>
      </c>
      <c r="F64" s="282"/>
      <c r="G64" s="71" t="s">
        <v>375</v>
      </c>
      <c r="H64" s="70" t="s">
        <v>248</v>
      </c>
      <c r="I64" s="70" t="s">
        <v>376</v>
      </c>
      <c r="J64" s="71"/>
      <c r="K64" s="70" t="s">
        <v>250</v>
      </c>
      <c r="L64" s="69" t="s">
        <v>257</v>
      </c>
      <c r="M64" s="180" t="s">
        <v>258</v>
      </c>
      <c r="N64" s="68">
        <v>12</v>
      </c>
      <c r="O64" s="58">
        <v>12</v>
      </c>
      <c r="P64" s="144">
        <v>12</v>
      </c>
      <c r="Q64" s="144">
        <v>12</v>
      </c>
      <c r="R64" s="144">
        <v>12</v>
      </c>
      <c r="S64" s="144">
        <v>12</v>
      </c>
      <c r="T64" s="144">
        <v>12</v>
      </c>
      <c r="U64" s="144">
        <v>12</v>
      </c>
      <c r="V64" s="144">
        <v>12</v>
      </c>
      <c r="W64" s="144">
        <v>12</v>
      </c>
      <c r="X64" s="144">
        <v>12</v>
      </c>
      <c r="Y64" s="144">
        <v>12</v>
      </c>
      <c r="Z64" s="144">
        <v>12</v>
      </c>
      <c r="AA64" s="58">
        <v>12</v>
      </c>
      <c r="AB64" s="68">
        <v>0.37</v>
      </c>
      <c r="AC64" s="10">
        <v>0.37</v>
      </c>
      <c r="AD64" s="10">
        <v>0.37</v>
      </c>
      <c r="AE64" s="10">
        <v>0.37</v>
      </c>
      <c r="AF64" s="10">
        <v>0.37</v>
      </c>
      <c r="AG64" s="10">
        <v>0.37</v>
      </c>
      <c r="AH64" s="10">
        <v>0.37</v>
      </c>
      <c r="AI64" s="10">
        <v>0.37</v>
      </c>
      <c r="AJ64" s="10">
        <v>0.37</v>
      </c>
      <c r="AK64" s="10">
        <v>0.37</v>
      </c>
      <c r="AL64" s="10">
        <v>0.37</v>
      </c>
      <c r="AM64" s="10">
        <v>0.37</v>
      </c>
      <c r="AN64" s="149">
        <v>0.37</v>
      </c>
      <c r="AP64" s="118">
        <f t="shared" si="1"/>
        <v>0</v>
      </c>
      <c r="AR64" s="118">
        <f t="shared" si="2"/>
        <v>0</v>
      </c>
      <c r="AS64" s="204"/>
      <c r="AT64" s="127">
        <f t="shared" si="3"/>
        <v>0</v>
      </c>
      <c r="AU64" s="5"/>
      <c r="AV64" s="118">
        <f t="shared" si="4"/>
        <v>0</v>
      </c>
      <c r="AW64" s="5"/>
      <c r="AX64" s="118">
        <f t="shared" si="5"/>
        <v>0</v>
      </c>
      <c r="AY64" s="5"/>
      <c r="AZ64" s="127">
        <f t="shared" si="6"/>
        <v>0</v>
      </c>
      <c r="BA64" s="105"/>
      <c r="BB64" s="118">
        <f t="shared" si="7"/>
        <v>0</v>
      </c>
      <c r="BC64" s="105">
        <v>960</v>
      </c>
      <c r="BD64" s="118">
        <f t="shared" si="8"/>
        <v>355.2</v>
      </c>
      <c r="BE64" s="5">
        <v>960</v>
      </c>
      <c r="BF64" s="127">
        <f t="shared" si="9"/>
        <v>355.2</v>
      </c>
      <c r="BG64" s="105">
        <v>0</v>
      </c>
      <c r="BH64" s="118">
        <f t="shared" si="10"/>
        <v>0</v>
      </c>
      <c r="BI64" s="5"/>
      <c r="BJ64" s="118">
        <f t="shared" si="11"/>
        <v>0</v>
      </c>
      <c r="BK64" s="5"/>
      <c r="BL64" s="127">
        <f t="shared" si="12"/>
        <v>0</v>
      </c>
      <c r="BO64" s="1" t="s">
        <v>378</v>
      </c>
    </row>
    <row r="65" spans="1:67">
      <c r="A65" s="112" t="s">
        <v>259</v>
      </c>
      <c r="B65" s="107" t="s">
        <v>244</v>
      </c>
      <c r="C65" s="66" t="s">
        <v>175</v>
      </c>
      <c r="D65" s="284"/>
      <c r="E65" s="77" t="s">
        <v>253</v>
      </c>
      <c r="F65" s="282"/>
      <c r="G65" s="71" t="s">
        <v>254</v>
      </c>
      <c r="H65" s="70" t="s">
        <v>255</v>
      </c>
      <c r="I65" s="70" t="s">
        <v>379</v>
      </c>
      <c r="J65" s="71"/>
      <c r="K65" s="70" t="s">
        <v>250</v>
      </c>
      <c r="L65" s="69" t="s">
        <v>257</v>
      </c>
      <c r="M65" s="180" t="s">
        <v>258</v>
      </c>
      <c r="N65" s="68">
        <v>42.75</v>
      </c>
      <c r="O65" s="58">
        <v>42.75</v>
      </c>
      <c r="P65" s="144">
        <v>42.75</v>
      </c>
      <c r="Q65" s="144">
        <v>42.75</v>
      </c>
      <c r="R65" s="144">
        <v>42.75</v>
      </c>
      <c r="S65" s="144">
        <v>42.75</v>
      </c>
      <c r="T65" s="144">
        <v>42.75</v>
      </c>
      <c r="U65" s="144">
        <v>42.75</v>
      </c>
      <c r="V65" s="144">
        <v>42.75</v>
      </c>
      <c r="W65" s="144">
        <v>42.75</v>
      </c>
      <c r="X65" s="144">
        <v>42.75</v>
      </c>
      <c r="Y65" s="144">
        <v>42.75</v>
      </c>
      <c r="Z65" s="144">
        <v>42.75</v>
      </c>
      <c r="AA65" s="58">
        <v>42.75</v>
      </c>
      <c r="AB65" s="68">
        <v>2.6</v>
      </c>
      <c r="AC65" s="10">
        <v>2.6</v>
      </c>
      <c r="AD65" s="10">
        <v>2.6</v>
      </c>
      <c r="AE65" s="10">
        <v>2.6</v>
      </c>
      <c r="AF65" s="10">
        <v>2.6</v>
      </c>
      <c r="AG65" s="10">
        <v>2.6</v>
      </c>
      <c r="AH65" s="10">
        <v>2.6</v>
      </c>
      <c r="AI65" s="10">
        <v>2.6</v>
      </c>
      <c r="AJ65" s="10">
        <v>2.6</v>
      </c>
      <c r="AK65" s="10">
        <v>2.6</v>
      </c>
      <c r="AL65" s="10">
        <v>2.6</v>
      </c>
      <c r="AM65" s="10">
        <v>2.6</v>
      </c>
      <c r="AN65" s="149">
        <v>2.6</v>
      </c>
      <c r="AO65" s="5">
        <v>4850</v>
      </c>
      <c r="AP65" s="118">
        <f t="shared" si="1"/>
        <v>12610</v>
      </c>
      <c r="AQ65" s="5">
        <v>2770</v>
      </c>
      <c r="AR65" s="118">
        <f t="shared" si="2"/>
        <v>7202</v>
      </c>
      <c r="AS65" s="204">
        <v>2400</v>
      </c>
      <c r="AT65" s="127">
        <f t="shared" si="3"/>
        <v>6240</v>
      </c>
      <c r="AU65" s="5">
        <v>4560</v>
      </c>
      <c r="AV65" s="118">
        <f t="shared" si="4"/>
        <v>11856</v>
      </c>
      <c r="AW65" s="5">
        <v>1630</v>
      </c>
      <c r="AX65" s="118">
        <f t="shared" si="5"/>
        <v>4238</v>
      </c>
      <c r="AY65" s="5">
        <v>3340</v>
      </c>
      <c r="AZ65" s="127">
        <f t="shared" si="6"/>
        <v>8684</v>
      </c>
      <c r="BA65" s="105">
        <v>0</v>
      </c>
      <c r="BB65" s="118">
        <f t="shared" si="7"/>
        <v>0</v>
      </c>
      <c r="BC65" s="105">
        <v>0</v>
      </c>
      <c r="BD65" s="118">
        <f t="shared" si="8"/>
        <v>0</v>
      </c>
      <c r="BE65" s="5">
        <v>0</v>
      </c>
      <c r="BF65" s="127">
        <f t="shared" si="9"/>
        <v>0</v>
      </c>
      <c r="BG65" s="105">
        <v>0</v>
      </c>
      <c r="BH65" s="118">
        <f t="shared" si="10"/>
        <v>0</v>
      </c>
      <c r="BI65" s="5"/>
      <c r="BJ65" s="118">
        <f t="shared" si="11"/>
        <v>0</v>
      </c>
      <c r="BK65" s="5"/>
      <c r="BL65" s="127">
        <f t="shared" si="12"/>
        <v>0</v>
      </c>
      <c r="BO65" s="1" t="s">
        <v>374</v>
      </c>
    </row>
    <row r="66" spans="1:67">
      <c r="A66" s="112" t="s">
        <v>259</v>
      </c>
      <c r="B66" s="107" t="s">
        <v>244</v>
      </c>
      <c r="C66" s="66" t="s">
        <v>175</v>
      </c>
      <c r="D66" s="284"/>
      <c r="E66" s="77" t="s">
        <v>253</v>
      </c>
      <c r="F66" s="282"/>
      <c r="G66" s="71" t="s">
        <v>380</v>
      </c>
      <c r="H66" s="70" t="s">
        <v>255</v>
      </c>
      <c r="I66" s="70" t="s">
        <v>379</v>
      </c>
      <c r="J66" s="71"/>
      <c r="K66" s="70" t="s">
        <v>250</v>
      </c>
      <c r="L66" s="69" t="s">
        <v>257</v>
      </c>
      <c r="M66" s="180" t="s">
        <v>258</v>
      </c>
      <c r="N66" s="68">
        <v>42.75</v>
      </c>
      <c r="O66" s="58">
        <v>42.75</v>
      </c>
      <c r="P66" s="144">
        <v>42.75</v>
      </c>
      <c r="Q66" s="144">
        <v>42.75</v>
      </c>
      <c r="R66" s="144">
        <v>42.75</v>
      </c>
      <c r="S66" s="144">
        <v>42.75</v>
      </c>
      <c r="T66" s="144">
        <v>42.75</v>
      </c>
      <c r="U66" s="144">
        <v>42.75</v>
      </c>
      <c r="V66" s="144">
        <v>42.75</v>
      </c>
      <c r="W66" s="144">
        <v>42.75</v>
      </c>
      <c r="X66" s="144">
        <v>42.75</v>
      </c>
      <c r="Y66" s="144">
        <v>42.75</v>
      </c>
      <c r="Z66" s="144">
        <v>42.75</v>
      </c>
      <c r="AA66" s="58">
        <v>42.75</v>
      </c>
      <c r="AB66" s="68">
        <v>2.6</v>
      </c>
      <c r="AC66" s="10">
        <v>2.6</v>
      </c>
      <c r="AD66" s="10">
        <v>2.6</v>
      </c>
      <c r="AE66" s="10">
        <v>2.6</v>
      </c>
      <c r="AF66" s="10">
        <v>2.6</v>
      </c>
      <c r="AG66" s="10">
        <v>2.6</v>
      </c>
      <c r="AH66" s="10">
        <v>2.6</v>
      </c>
      <c r="AI66" s="10">
        <v>2.6</v>
      </c>
      <c r="AJ66" s="10">
        <v>2.6</v>
      </c>
      <c r="AK66" s="10">
        <v>2.6</v>
      </c>
      <c r="AL66" s="10">
        <v>2.6</v>
      </c>
      <c r="AM66" s="10">
        <v>2.6</v>
      </c>
      <c r="AN66" s="149">
        <v>2.6</v>
      </c>
      <c r="AP66" s="118">
        <f t="shared" si="1"/>
        <v>0</v>
      </c>
      <c r="AR66" s="118">
        <f t="shared" si="2"/>
        <v>0</v>
      </c>
      <c r="AS66" s="204"/>
      <c r="AT66" s="127">
        <f t="shared" si="3"/>
        <v>0</v>
      </c>
      <c r="AU66" s="5"/>
      <c r="AV66" s="118">
        <f t="shared" si="4"/>
        <v>0</v>
      </c>
      <c r="AW66" s="5"/>
      <c r="AX66" s="118">
        <f t="shared" si="5"/>
        <v>0</v>
      </c>
      <c r="AY66" s="5"/>
      <c r="AZ66" s="127">
        <f t="shared" si="6"/>
        <v>0</v>
      </c>
      <c r="BA66" s="105"/>
      <c r="BB66" s="118">
        <f t="shared" si="7"/>
        <v>0</v>
      </c>
      <c r="BC66" s="105">
        <v>1000</v>
      </c>
      <c r="BD66" s="118">
        <f t="shared" si="8"/>
        <v>2600</v>
      </c>
      <c r="BE66" s="5">
        <v>2130</v>
      </c>
      <c r="BF66" s="127">
        <f t="shared" si="9"/>
        <v>5538</v>
      </c>
      <c r="BG66" s="105">
        <v>0</v>
      </c>
      <c r="BH66" s="118">
        <f t="shared" si="10"/>
        <v>0</v>
      </c>
      <c r="BI66" s="5">
        <v>7680</v>
      </c>
      <c r="BJ66" s="118">
        <f t="shared" si="11"/>
        <v>19968</v>
      </c>
      <c r="BK66" s="5"/>
      <c r="BL66" s="127">
        <f t="shared" si="12"/>
        <v>0</v>
      </c>
      <c r="BO66" s="1" t="s">
        <v>377</v>
      </c>
    </row>
    <row r="67" spans="1:67">
      <c r="A67" s="112" t="s">
        <v>259</v>
      </c>
      <c r="B67" s="107" t="s">
        <v>244</v>
      </c>
      <c r="C67" s="66" t="s">
        <v>175</v>
      </c>
      <c r="D67" s="284"/>
      <c r="E67" s="77" t="s">
        <v>253</v>
      </c>
      <c r="F67" s="282"/>
      <c r="G67" s="71" t="s">
        <v>380</v>
      </c>
      <c r="H67" s="70" t="s">
        <v>255</v>
      </c>
      <c r="I67" s="70" t="s">
        <v>379</v>
      </c>
      <c r="J67" s="71"/>
      <c r="K67" s="70" t="s">
        <v>250</v>
      </c>
      <c r="L67" s="69" t="s">
        <v>257</v>
      </c>
      <c r="M67" s="180" t="s">
        <v>258</v>
      </c>
      <c r="N67" s="68">
        <v>42.75</v>
      </c>
      <c r="O67" s="58">
        <v>42.75</v>
      </c>
      <c r="P67" s="144">
        <v>42.75</v>
      </c>
      <c r="Q67" s="144">
        <v>42.75</v>
      </c>
      <c r="R67" s="144">
        <v>42.75</v>
      </c>
      <c r="S67" s="144">
        <v>42.75</v>
      </c>
      <c r="T67" s="144">
        <v>42.75</v>
      </c>
      <c r="U67" s="144">
        <v>42.75</v>
      </c>
      <c r="V67" s="144">
        <v>42.75</v>
      </c>
      <c r="W67" s="144">
        <v>42.75</v>
      </c>
      <c r="X67" s="144">
        <v>42.75</v>
      </c>
      <c r="Y67" s="144">
        <v>42.75</v>
      </c>
      <c r="Z67" s="144">
        <v>42.75</v>
      </c>
      <c r="AA67" s="58">
        <v>42.75</v>
      </c>
      <c r="AB67" s="68">
        <v>2.6</v>
      </c>
      <c r="AC67" s="10">
        <v>2.6</v>
      </c>
      <c r="AD67" s="10">
        <v>2.6</v>
      </c>
      <c r="AE67" s="10">
        <v>2.6</v>
      </c>
      <c r="AF67" s="10">
        <v>2.6</v>
      </c>
      <c r="AG67" s="10">
        <v>2.6</v>
      </c>
      <c r="AH67" s="10">
        <v>2.6</v>
      </c>
      <c r="AI67" s="10">
        <v>2.6</v>
      </c>
      <c r="AJ67" s="10">
        <v>2.6</v>
      </c>
      <c r="AK67" s="10">
        <v>2.6</v>
      </c>
      <c r="AL67" s="10">
        <v>2.6</v>
      </c>
      <c r="AM67" s="10">
        <v>2.6</v>
      </c>
      <c r="AN67" s="149">
        <v>2.6</v>
      </c>
      <c r="AP67" s="118">
        <f t="shared" si="1"/>
        <v>0</v>
      </c>
      <c r="AR67" s="118">
        <f t="shared" si="2"/>
        <v>0</v>
      </c>
      <c r="AS67" s="204"/>
      <c r="AT67" s="127">
        <f t="shared" si="3"/>
        <v>0</v>
      </c>
      <c r="AU67" s="5"/>
      <c r="AV67" s="118">
        <f t="shared" si="4"/>
        <v>0</v>
      </c>
      <c r="AW67" s="5"/>
      <c r="AX67" s="118">
        <f t="shared" si="5"/>
        <v>0</v>
      </c>
      <c r="AY67" s="5"/>
      <c r="AZ67" s="127">
        <f t="shared" si="6"/>
        <v>0</v>
      </c>
      <c r="BA67" s="105"/>
      <c r="BB67" s="118">
        <f t="shared" si="7"/>
        <v>0</v>
      </c>
      <c r="BC67" s="105">
        <v>0</v>
      </c>
      <c r="BD67" s="118">
        <f t="shared" si="8"/>
        <v>0</v>
      </c>
      <c r="BE67" s="5">
        <v>0</v>
      </c>
      <c r="BF67" s="127">
        <f t="shared" si="9"/>
        <v>0</v>
      </c>
      <c r="BG67" s="105">
        <v>0</v>
      </c>
      <c r="BH67" s="118">
        <f t="shared" si="10"/>
        <v>0</v>
      </c>
      <c r="BI67" s="5"/>
      <c r="BJ67" s="118">
        <f t="shared" si="11"/>
        <v>0</v>
      </c>
      <c r="BK67" s="5"/>
      <c r="BL67" s="127">
        <f t="shared" si="12"/>
        <v>0</v>
      </c>
      <c r="BO67" s="1" t="s">
        <v>378</v>
      </c>
    </row>
    <row r="68" spans="1:67">
      <c r="A68" s="112" t="s">
        <v>259</v>
      </c>
      <c r="B68" s="107" t="s">
        <v>244</v>
      </c>
      <c r="C68" s="66" t="s">
        <v>175</v>
      </c>
      <c r="D68" s="284"/>
      <c r="E68" s="77" t="s">
        <v>253</v>
      </c>
      <c r="F68" s="282"/>
      <c r="G68" s="71" t="s">
        <v>202</v>
      </c>
      <c r="H68" s="70" t="s">
        <v>261</v>
      </c>
      <c r="I68" s="70" t="s">
        <v>381</v>
      </c>
      <c r="J68" s="71"/>
      <c r="K68" s="70" t="s">
        <v>250</v>
      </c>
      <c r="L68" s="69" t="s">
        <v>257</v>
      </c>
      <c r="M68" s="180" t="s">
        <v>258</v>
      </c>
      <c r="N68" s="68">
        <v>11.73</v>
      </c>
      <c r="O68" s="58">
        <v>11.73</v>
      </c>
      <c r="P68" s="144">
        <v>11.73</v>
      </c>
      <c r="Q68" s="144">
        <v>11.73</v>
      </c>
      <c r="R68" s="144">
        <v>11.73</v>
      </c>
      <c r="S68" s="144">
        <v>11.73</v>
      </c>
      <c r="T68" s="144">
        <v>11.73</v>
      </c>
      <c r="U68" s="144">
        <v>11.73</v>
      </c>
      <c r="V68" s="144">
        <v>11.73</v>
      </c>
      <c r="W68" s="144">
        <v>11.73</v>
      </c>
      <c r="X68" s="144">
        <v>11.73</v>
      </c>
      <c r="Y68" s="144">
        <v>11.73</v>
      </c>
      <c r="Z68" s="144">
        <v>11.73</v>
      </c>
      <c r="AA68" s="58">
        <v>11.73</v>
      </c>
      <c r="AB68" s="83">
        <v>0.46</v>
      </c>
      <c r="AC68" s="10">
        <v>0.46</v>
      </c>
      <c r="AD68" s="10">
        <v>0.46</v>
      </c>
      <c r="AE68" s="10">
        <v>0.46</v>
      </c>
      <c r="AF68" s="10">
        <v>0.46</v>
      </c>
      <c r="AG68" s="10">
        <v>0.46</v>
      </c>
      <c r="AH68" s="10">
        <v>0.46</v>
      </c>
      <c r="AI68" s="10">
        <v>0.46</v>
      </c>
      <c r="AJ68" s="10">
        <v>0.46</v>
      </c>
      <c r="AK68" s="10">
        <v>0.46</v>
      </c>
      <c r="AL68" s="10">
        <v>0.46</v>
      </c>
      <c r="AM68" s="10">
        <v>0.46</v>
      </c>
      <c r="AN68" s="149">
        <v>0.46</v>
      </c>
      <c r="AO68" s="105">
        <v>0</v>
      </c>
      <c r="AP68" s="118">
        <f t="shared" si="1"/>
        <v>0</v>
      </c>
      <c r="AQ68" s="105">
        <v>2000</v>
      </c>
      <c r="AR68" s="118">
        <f t="shared" si="2"/>
        <v>920</v>
      </c>
      <c r="AS68" s="204">
        <v>200</v>
      </c>
      <c r="AT68" s="127">
        <f t="shared" si="3"/>
        <v>92</v>
      </c>
      <c r="AU68" s="5">
        <v>0</v>
      </c>
      <c r="AV68" s="118">
        <f t="shared" si="4"/>
        <v>0</v>
      </c>
      <c r="AW68" s="105">
        <v>1000</v>
      </c>
      <c r="AX68" s="118">
        <f t="shared" si="5"/>
        <v>460</v>
      </c>
      <c r="AY68" s="105">
        <v>0</v>
      </c>
      <c r="AZ68" s="127">
        <f t="shared" si="6"/>
        <v>0</v>
      </c>
      <c r="BA68" s="105">
        <v>6000</v>
      </c>
      <c r="BB68" s="118">
        <f t="shared" si="7"/>
        <v>2760</v>
      </c>
      <c r="BC68" s="105">
        <v>0</v>
      </c>
      <c r="BD68" s="118">
        <f t="shared" si="8"/>
        <v>0</v>
      </c>
      <c r="BE68" s="5">
        <v>0</v>
      </c>
      <c r="BF68" s="127">
        <f t="shared" si="9"/>
        <v>0</v>
      </c>
      <c r="BG68" s="105">
        <v>0</v>
      </c>
      <c r="BH68" s="118">
        <f t="shared" si="10"/>
        <v>0</v>
      </c>
      <c r="BI68" s="5"/>
      <c r="BJ68" s="118">
        <f t="shared" si="11"/>
        <v>0</v>
      </c>
      <c r="BK68" s="5"/>
      <c r="BL68" s="127">
        <f t="shared" si="12"/>
        <v>0</v>
      </c>
      <c r="BO68" s="1" t="s">
        <v>374</v>
      </c>
    </row>
    <row r="69" spans="1:67">
      <c r="A69" s="112" t="s">
        <v>259</v>
      </c>
      <c r="B69" s="107" t="s">
        <v>244</v>
      </c>
      <c r="C69" s="66" t="s">
        <v>175</v>
      </c>
      <c r="D69" s="284"/>
      <c r="E69" s="77" t="s">
        <v>253</v>
      </c>
      <c r="F69" s="282"/>
      <c r="G69" s="71" t="s">
        <v>202</v>
      </c>
      <c r="H69" s="70" t="s">
        <v>261</v>
      </c>
      <c r="I69" s="70" t="s">
        <v>180</v>
      </c>
      <c r="J69" s="71"/>
      <c r="K69" s="70" t="s">
        <v>250</v>
      </c>
      <c r="L69" s="69" t="s">
        <v>257</v>
      </c>
      <c r="M69" s="180" t="s">
        <v>258</v>
      </c>
      <c r="N69" s="68">
        <v>11.73</v>
      </c>
      <c r="O69" s="58">
        <v>11.73</v>
      </c>
      <c r="P69" s="144">
        <v>11.73</v>
      </c>
      <c r="Q69" s="144">
        <v>11.73</v>
      </c>
      <c r="R69" s="144">
        <v>11.73</v>
      </c>
      <c r="S69" s="144">
        <v>11.73</v>
      </c>
      <c r="T69" s="144">
        <v>11.73</v>
      </c>
      <c r="U69" s="144">
        <v>11.73</v>
      </c>
      <c r="V69" s="144">
        <v>11.73</v>
      </c>
      <c r="W69" s="144">
        <v>11.73</v>
      </c>
      <c r="X69" s="144">
        <v>11.73</v>
      </c>
      <c r="Y69" s="144">
        <v>11.73</v>
      </c>
      <c r="Z69" s="144">
        <v>11.73</v>
      </c>
      <c r="AA69" s="58">
        <v>11.73</v>
      </c>
      <c r="AB69" s="83">
        <v>0.46</v>
      </c>
      <c r="AC69" s="10">
        <v>0.46</v>
      </c>
      <c r="AD69" s="10">
        <v>0.46</v>
      </c>
      <c r="AE69" s="10">
        <v>0.46</v>
      </c>
      <c r="AF69" s="10">
        <v>0.46</v>
      </c>
      <c r="AG69" s="10">
        <v>0.46</v>
      </c>
      <c r="AH69" s="10">
        <v>0.46</v>
      </c>
      <c r="AI69" s="10">
        <v>0.46</v>
      </c>
      <c r="AJ69" s="10">
        <v>0.46</v>
      </c>
      <c r="AK69" s="10">
        <v>0.46</v>
      </c>
      <c r="AL69" s="10">
        <v>0.46</v>
      </c>
      <c r="AM69" s="10">
        <v>0.46</v>
      </c>
      <c r="AN69" s="149">
        <v>0.46</v>
      </c>
      <c r="AO69" s="105"/>
      <c r="AP69" s="118">
        <f t="shared" si="1"/>
        <v>0</v>
      </c>
      <c r="AQ69" s="105"/>
      <c r="AR69" s="118">
        <f t="shared" si="2"/>
        <v>0</v>
      </c>
      <c r="AS69" s="204"/>
      <c r="AT69" s="127">
        <f t="shared" si="3"/>
        <v>0</v>
      </c>
      <c r="AU69" s="5"/>
      <c r="AV69" s="118">
        <f t="shared" si="4"/>
        <v>0</v>
      </c>
      <c r="AW69" s="105"/>
      <c r="AX69" s="118">
        <f t="shared" si="5"/>
        <v>0</v>
      </c>
      <c r="AY69" s="105"/>
      <c r="AZ69" s="127">
        <f t="shared" si="6"/>
        <v>0</v>
      </c>
      <c r="BA69" s="105"/>
      <c r="BB69" s="118">
        <f t="shared" si="7"/>
        <v>0</v>
      </c>
      <c r="BC69" s="105">
        <v>0</v>
      </c>
      <c r="BD69" s="118">
        <f t="shared" si="8"/>
        <v>0</v>
      </c>
      <c r="BE69" s="5">
        <v>0</v>
      </c>
      <c r="BF69" s="127">
        <f t="shared" si="9"/>
        <v>0</v>
      </c>
      <c r="BG69" s="105">
        <v>0</v>
      </c>
      <c r="BH69" s="118">
        <f t="shared" si="10"/>
        <v>0</v>
      </c>
      <c r="BI69" s="5"/>
      <c r="BJ69" s="118">
        <f t="shared" si="11"/>
        <v>0</v>
      </c>
      <c r="BK69" s="5"/>
      <c r="BL69" s="127">
        <f t="shared" si="12"/>
        <v>0</v>
      </c>
      <c r="BO69" s="1" t="s">
        <v>377</v>
      </c>
    </row>
    <row r="70" spans="1:67">
      <c r="A70" s="112" t="s">
        <v>259</v>
      </c>
      <c r="B70" s="107" t="s">
        <v>244</v>
      </c>
      <c r="C70" s="66" t="s">
        <v>175</v>
      </c>
      <c r="D70" s="284"/>
      <c r="E70" s="77" t="s">
        <v>253</v>
      </c>
      <c r="F70" s="282"/>
      <c r="G70" s="71" t="s">
        <v>202</v>
      </c>
      <c r="H70" s="70" t="s">
        <v>261</v>
      </c>
      <c r="I70" s="70" t="s">
        <v>180</v>
      </c>
      <c r="J70" s="71"/>
      <c r="K70" s="70" t="s">
        <v>250</v>
      </c>
      <c r="L70" s="69" t="s">
        <v>257</v>
      </c>
      <c r="M70" s="180" t="s">
        <v>258</v>
      </c>
      <c r="N70" s="68">
        <v>11.73</v>
      </c>
      <c r="O70" s="58">
        <v>11.73</v>
      </c>
      <c r="P70" s="144">
        <v>11.73</v>
      </c>
      <c r="Q70" s="144">
        <v>11.73</v>
      </c>
      <c r="R70" s="144">
        <v>11.73</v>
      </c>
      <c r="S70" s="144">
        <v>11.73</v>
      </c>
      <c r="T70" s="144">
        <v>11.73</v>
      </c>
      <c r="U70" s="144">
        <v>11.73</v>
      </c>
      <c r="V70" s="144">
        <v>11.73</v>
      </c>
      <c r="W70" s="144">
        <v>11.73</v>
      </c>
      <c r="X70" s="144">
        <v>11.73</v>
      </c>
      <c r="Y70" s="144">
        <v>11.73</v>
      </c>
      <c r="Z70" s="144">
        <v>11.73</v>
      </c>
      <c r="AA70" s="58">
        <v>11.73</v>
      </c>
      <c r="AB70" s="83">
        <v>0.46</v>
      </c>
      <c r="AC70" s="10">
        <v>0.46</v>
      </c>
      <c r="AD70" s="10">
        <v>0.46</v>
      </c>
      <c r="AE70" s="10">
        <v>0.46</v>
      </c>
      <c r="AF70" s="10">
        <v>0.46</v>
      </c>
      <c r="AG70" s="10">
        <v>0.46</v>
      </c>
      <c r="AH70" s="10">
        <v>0.46</v>
      </c>
      <c r="AI70" s="10">
        <v>0.46</v>
      </c>
      <c r="AJ70" s="10">
        <v>0.46</v>
      </c>
      <c r="AK70" s="10">
        <v>0.46</v>
      </c>
      <c r="AL70" s="10">
        <v>0.46</v>
      </c>
      <c r="AM70" s="10">
        <v>0.46</v>
      </c>
      <c r="AN70" s="149">
        <v>0.46</v>
      </c>
      <c r="AO70" s="105"/>
      <c r="AP70" s="118">
        <f t="shared" si="1"/>
        <v>0</v>
      </c>
      <c r="AQ70" s="105"/>
      <c r="AR70" s="118">
        <f t="shared" si="2"/>
        <v>0</v>
      </c>
      <c r="AS70" s="204"/>
      <c r="AT70" s="127">
        <f t="shared" si="3"/>
        <v>0</v>
      </c>
      <c r="AU70" s="5"/>
      <c r="AV70" s="118">
        <f t="shared" si="4"/>
        <v>0</v>
      </c>
      <c r="AW70" s="105"/>
      <c r="AX70" s="118">
        <f t="shared" si="5"/>
        <v>0</v>
      </c>
      <c r="AY70" s="105"/>
      <c r="AZ70" s="127">
        <f t="shared" si="6"/>
        <v>0</v>
      </c>
      <c r="BA70" s="105"/>
      <c r="BB70" s="118">
        <f t="shared" si="7"/>
        <v>0</v>
      </c>
      <c r="BC70" s="105">
        <v>2000</v>
      </c>
      <c r="BD70" s="118">
        <f t="shared" si="8"/>
        <v>920</v>
      </c>
      <c r="BE70" s="5">
        <v>1000</v>
      </c>
      <c r="BF70" s="127">
        <f t="shared" si="9"/>
        <v>460</v>
      </c>
      <c r="BG70" s="105">
        <v>1000</v>
      </c>
      <c r="BH70" s="118">
        <f t="shared" si="10"/>
        <v>460</v>
      </c>
      <c r="BI70" s="5"/>
      <c r="BJ70" s="118">
        <f t="shared" si="11"/>
        <v>0</v>
      </c>
      <c r="BK70" s="5"/>
      <c r="BL70" s="127">
        <f t="shared" si="12"/>
        <v>0</v>
      </c>
      <c r="BO70" s="1" t="s">
        <v>378</v>
      </c>
    </row>
    <row r="71" spans="1:67">
      <c r="A71" s="112" t="s">
        <v>259</v>
      </c>
      <c r="B71" s="107" t="s">
        <v>244</v>
      </c>
      <c r="C71" s="66" t="s">
        <v>175</v>
      </c>
      <c r="D71" s="284"/>
      <c r="E71" s="77" t="s">
        <v>253</v>
      </c>
      <c r="F71" s="282"/>
      <c r="G71" s="71" t="s">
        <v>202</v>
      </c>
      <c r="H71" s="70" t="s">
        <v>263</v>
      </c>
      <c r="I71" s="70" t="s">
        <v>381</v>
      </c>
      <c r="J71" s="71"/>
      <c r="K71" s="70" t="s">
        <v>250</v>
      </c>
      <c r="L71" s="69" t="s">
        <v>257</v>
      </c>
      <c r="M71" s="180" t="s">
        <v>258</v>
      </c>
      <c r="N71" s="68">
        <v>13.63</v>
      </c>
      <c r="O71" s="58">
        <v>13.63</v>
      </c>
      <c r="P71" s="144">
        <v>13.63</v>
      </c>
      <c r="Q71" s="144">
        <v>13.63</v>
      </c>
      <c r="R71" s="144">
        <v>13.63</v>
      </c>
      <c r="S71" s="144">
        <v>13.63</v>
      </c>
      <c r="T71" s="144">
        <v>13.63</v>
      </c>
      <c r="U71" s="144">
        <v>13.63</v>
      </c>
      <c r="V71" s="144">
        <v>13.63</v>
      </c>
      <c r="W71" s="144">
        <v>13.63</v>
      </c>
      <c r="X71" s="144">
        <v>13.63</v>
      </c>
      <c r="Y71" s="144">
        <v>13.63</v>
      </c>
      <c r="Z71" s="144">
        <v>13.63</v>
      </c>
      <c r="AA71" s="58">
        <v>13.63</v>
      </c>
      <c r="AB71" s="83">
        <v>0.46</v>
      </c>
      <c r="AC71" s="10">
        <v>0.46</v>
      </c>
      <c r="AD71" s="10">
        <v>0.46</v>
      </c>
      <c r="AE71" s="10">
        <v>0.46</v>
      </c>
      <c r="AF71" s="10">
        <v>0.46</v>
      </c>
      <c r="AG71" s="10">
        <v>0.46</v>
      </c>
      <c r="AH71" s="10">
        <v>0.46</v>
      </c>
      <c r="AI71" s="10">
        <v>0.46</v>
      </c>
      <c r="AJ71" s="10">
        <v>0.46</v>
      </c>
      <c r="AK71" s="10">
        <v>0.46</v>
      </c>
      <c r="AL71" s="10">
        <v>0.46</v>
      </c>
      <c r="AM71" s="10">
        <v>0.46</v>
      </c>
      <c r="AN71" s="149">
        <v>0.46</v>
      </c>
      <c r="AO71" s="105">
        <v>7500</v>
      </c>
      <c r="AP71" s="118">
        <f t="shared" si="1"/>
        <v>3450</v>
      </c>
      <c r="AQ71" s="105">
        <v>1000</v>
      </c>
      <c r="AR71" s="118">
        <f t="shared" si="2"/>
        <v>460</v>
      </c>
      <c r="AS71" s="204">
        <v>2200</v>
      </c>
      <c r="AT71" s="127">
        <f t="shared" si="3"/>
        <v>1012</v>
      </c>
      <c r="AU71" s="5">
        <v>0</v>
      </c>
      <c r="AV71" s="118">
        <f t="shared" si="4"/>
        <v>0</v>
      </c>
      <c r="AW71" s="105">
        <v>0</v>
      </c>
      <c r="AX71" s="118">
        <f t="shared" si="5"/>
        <v>0</v>
      </c>
      <c r="AY71" s="105">
        <v>0</v>
      </c>
      <c r="AZ71" s="127">
        <f t="shared" si="6"/>
        <v>0</v>
      </c>
      <c r="BA71" s="105">
        <v>0</v>
      </c>
      <c r="BB71" s="118">
        <f t="shared" si="7"/>
        <v>0</v>
      </c>
      <c r="BC71" s="105">
        <v>0</v>
      </c>
      <c r="BD71" s="118">
        <f t="shared" si="8"/>
        <v>0</v>
      </c>
      <c r="BE71" s="5">
        <v>0</v>
      </c>
      <c r="BF71" s="127">
        <f t="shared" si="9"/>
        <v>0</v>
      </c>
      <c r="BG71" s="105">
        <v>0</v>
      </c>
      <c r="BH71" s="118">
        <f t="shared" si="10"/>
        <v>0</v>
      </c>
      <c r="BI71" s="5"/>
      <c r="BJ71" s="118">
        <f t="shared" si="11"/>
        <v>0</v>
      </c>
      <c r="BK71" s="5"/>
      <c r="BL71" s="127">
        <f t="shared" si="12"/>
        <v>0</v>
      </c>
      <c r="BO71" s="1" t="s">
        <v>374</v>
      </c>
    </row>
    <row r="72" spans="1:67">
      <c r="A72" s="112" t="s">
        <v>259</v>
      </c>
      <c r="B72" s="107" t="s">
        <v>244</v>
      </c>
      <c r="C72" s="66" t="s">
        <v>175</v>
      </c>
      <c r="D72" s="284"/>
      <c r="E72" s="77" t="s">
        <v>253</v>
      </c>
      <c r="F72" s="282"/>
      <c r="G72" s="71" t="s">
        <v>202</v>
      </c>
      <c r="H72" s="70" t="s">
        <v>263</v>
      </c>
      <c r="I72" s="70" t="s">
        <v>263</v>
      </c>
      <c r="J72" s="71" t="s">
        <v>263</v>
      </c>
      <c r="K72" s="70" t="s">
        <v>263</v>
      </c>
      <c r="L72" s="69" t="s">
        <v>263</v>
      </c>
      <c r="M72" s="180" t="s">
        <v>263</v>
      </c>
      <c r="N72" s="68">
        <v>13.63</v>
      </c>
      <c r="O72" s="58">
        <v>13.63</v>
      </c>
      <c r="P72" s="144">
        <v>13.63</v>
      </c>
      <c r="Q72" s="144">
        <v>13.63</v>
      </c>
      <c r="R72" s="144">
        <v>13.63</v>
      </c>
      <c r="S72" s="144">
        <v>13.63</v>
      </c>
      <c r="T72" s="144">
        <v>13.63</v>
      </c>
      <c r="U72" s="144">
        <v>13.63</v>
      </c>
      <c r="V72" s="144">
        <v>13.63</v>
      </c>
      <c r="W72" s="144">
        <v>13.63</v>
      </c>
      <c r="X72" s="144">
        <v>13.63</v>
      </c>
      <c r="Y72" s="144">
        <v>13.63</v>
      </c>
      <c r="Z72" s="144">
        <v>13.63</v>
      </c>
      <c r="AA72" s="58">
        <v>13.63</v>
      </c>
      <c r="AB72" s="83">
        <v>0.46</v>
      </c>
      <c r="AC72" s="10">
        <v>0.46</v>
      </c>
      <c r="AD72" s="10">
        <v>0.46</v>
      </c>
      <c r="AE72" s="10">
        <v>0.46</v>
      </c>
      <c r="AF72" s="10">
        <v>0.46</v>
      </c>
      <c r="AG72" s="10">
        <v>0.46</v>
      </c>
      <c r="AH72" s="10">
        <v>0.46</v>
      </c>
      <c r="AI72" s="10">
        <v>0.46</v>
      </c>
      <c r="AJ72" s="10">
        <v>0.46</v>
      </c>
      <c r="AK72" s="10">
        <v>0.46</v>
      </c>
      <c r="AL72" s="10">
        <v>0.46</v>
      </c>
      <c r="AM72" s="10">
        <v>0.46</v>
      </c>
      <c r="AN72" s="149">
        <v>0.46</v>
      </c>
      <c r="AO72" s="105"/>
      <c r="AP72" s="118">
        <f t="shared" si="1"/>
        <v>0</v>
      </c>
      <c r="AQ72" s="105"/>
      <c r="AR72" s="118">
        <f t="shared" si="2"/>
        <v>0</v>
      </c>
      <c r="AS72" s="204"/>
      <c r="AT72" s="127">
        <f t="shared" si="3"/>
        <v>0</v>
      </c>
      <c r="AU72" s="5"/>
      <c r="AV72" s="118">
        <f t="shared" si="4"/>
        <v>0</v>
      </c>
      <c r="AW72" s="105"/>
      <c r="AX72" s="118">
        <f t="shared" si="5"/>
        <v>0</v>
      </c>
      <c r="AY72" s="105"/>
      <c r="AZ72" s="127">
        <f t="shared" si="6"/>
        <v>0</v>
      </c>
      <c r="BA72" s="105"/>
      <c r="BB72" s="118">
        <f t="shared" si="7"/>
        <v>0</v>
      </c>
      <c r="BC72" s="105">
        <v>0</v>
      </c>
      <c r="BD72" s="118">
        <f t="shared" si="8"/>
        <v>0</v>
      </c>
      <c r="BE72" s="5">
        <v>0</v>
      </c>
      <c r="BF72" s="127">
        <f t="shared" si="9"/>
        <v>0</v>
      </c>
      <c r="BG72" s="105">
        <v>0</v>
      </c>
      <c r="BH72" s="118">
        <f t="shared" si="10"/>
        <v>0</v>
      </c>
      <c r="BI72" s="5"/>
      <c r="BJ72" s="118">
        <f t="shared" si="11"/>
        <v>0</v>
      </c>
      <c r="BK72" s="5"/>
      <c r="BL72" s="127">
        <f t="shared" si="12"/>
        <v>0</v>
      </c>
      <c r="BO72" s="1" t="s">
        <v>377</v>
      </c>
    </row>
    <row r="73" spans="1:67">
      <c r="A73" s="112" t="s">
        <v>259</v>
      </c>
      <c r="B73" s="107" t="s">
        <v>244</v>
      </c>
      <c r="C73" s="66" t="s">
        <v>175</v>
      </c>
      <c r="D73" s="284"/>
      <c r="E73" s="77" t="s">
        <v>253</v>
      </c>
      <c r="F73" s="282"/>
      <c r="G73" s="71" t="s">
        <v>202</v>
      </c>
      <c r="H73" s="70" t="s">
        <v>263</v>
      </c>
      <c r="I73" s="70" t="s">
        <v>263</v>
      </c>
      <c r="J73" s="71" t="s">
        <v>263</v>
      </c>
      <c r="K73" s="70" t="s">
        <v>263</v>
      </c>
      <c r="L73" s="69" t="s">
        <v>263</v>
      </c>
      <c r="M73" s="180" t="s">
        <v>263</v>
      </c>
      <c r="N73" s="68">
        <v>13.63</v>
      </c>
      <c r="O73" s="58">
        <v>13.63</v>
      </c>
      <c r="P73" s="144">
        <v>13.63</v>
      </c>
      <c r="Q73" s="144">
        <v>13.63</v>
      </c>
      <c r="R73" s="144">
        <v>13.63</v>
      </c>
      <c r="S73" s="144">
        <v>13.63</v>
      </c>
      <c r="T73" s="144">
        <v>13.63</v>
      </c>
      <c r="U73" s="144">
        <v>13.63</v>
      </c>
      <c r="V73" s="144">
        <v>13.63</v>
      </c>
      <c r="W73" s="144">
        <v>13.63</v>
      </c>
      <c r="X73" s="144">
        <v>13.63</v>
      </c>
      <c r="Y73" s="144">
        <v>13.63</v>
      </c>
      <c r="Z73" s="144">
        <v>13.63</v>
      </c>
      <c r="AA73" s="58">
        <v>13.63</v>
      </c>
      <c r="AB73" s="83">
        <v>0.46</v>
      </c>
      <c r="AC73" s="10">
        <v>0.46</v>
      </c>
      <c r="AD73" s="10">
        <v>0.46</v>
      </c>
      <c r="AE73" s="10">
        <v>0.46</v>
      </c>
      <c r="AF73" s="10">
        <v>0.46</v>
      </c>
      <c r="AG73" s="10">
        <v>0.46</v>
      </c>
      <c r="AH73" s="10">
        <v>0.46</v>
      </c>
      <c r="AI73" s="10">
        <v>0.46</v>
      </c>
      <c r="AJ73" s="10">
        <v>0.46</v>
      </c>
      <c r="AK73" s="10">
        <v>0.46</v>
      </c>
      <c r="AL73" s="10">
        <v>0.46</v>
      </c>
      <c r="AM73" s="10">
        <v>0.46</v>
      </c>
      <c r="AN73" s="149">
        <v>0.46</v>
      </c>
      <c r="AO73" s="105"/>
      <c r="AP73" s="118">
        <f t="shared" si="1"/>
        <v>0</v>
      </c>
      <c r="AQ73" s="105"/>
      <c r="AR73" s="118">
        <f t="shared" si="2"/>
        <v>0</v>
      </c>
      <c r="AS73" s="204"/>
      <c r="AT73" s="127">
        <f t="shared" si="3"/>
        <v>0</v>
      </c>
      <c r="AU73" s="5"/>
      <c r="AV73" s="118">
        <f t="shared" si="4"/>
        <v>0</v>
      </c>
      <c r="AW73" s="105"/>
      <c r="AX73" s="118">
        <f t="shared" si="5"/>
        <v>0</v>
      </c>
      <c r="AY73" s="105"/>
      <c r="AZ73" s="127">
        <f t="shared" si="6"/>
        <v>0</v>
      </c>
      <c r="BA73" s="105"/>
      <c r="BB73" s="118">
        <f t="shared" si="7"/>
        <v>0</v>
      </c>
      <c r="BC73" s="105">
        <v>0</v>
      </c>
      <c r="BD73" s="118">
        <f t="shared" si="8"/>
        <v>0</v>
      </c>
      <c r="BE73" s="5">
        <v>1000</v>
      </c>
      <c r="BF73" s="127">
        <f t="shared" si="9"/>
        <v>460</v>
      </c>
      <c r="BG73" s="105">
        <v>880</v>
      </c>
      <c r="BH73" s="118">
        <f t="shared" si="10"/>
        <v>404.8</v>
      </c>
      <c r="BI73" s="5"/>
      <c r="BJ73" s="118">
        <f t="shared" si="11"/>
        <v>0</v>
      </c>
      <c r="BK73" s="5"/>
      <c r="BL73" s="127">
        <f t="shared" si="12"/>
        <v>0</v>
      </c>
      <c r="BO73" s="1" t="s">
        <v>378</v>
      </c>
    </row>
    <row r="74" spans="1:67">
      <c r="A74" s="112" t="s">
        <v>259</v>
      </c>
      <c r="B74" s="107" t="s">
        <v>244</v>
      </c>
      <c r="C74" s="66" t="s">
        <v>175</v>
      </c>
      <c r="D74" s="284"/>
      <c r="E74" s="77" t="s">
        <v>253</v>
      </c>
      <c r="F74" s="282"/>
      <c r="G74" s="71" t="s">
        <v>202</v>
      </c>
      <c r="H74" s="70" t="s">
        <v>265</v>
      </c>
      <c r="I74" s="70" t="s">
        <v>381</v>
      </c>
      <c r="J74" s="71"/>
      <c r="K74" s="70" t="s">
        <v>250</v>
      </c>
      <c r="L74" s="69" t="s">
        <v>257</v>
      </c>
      <c r="M74" s="180" t="s">
        <v>258</v>
      </c>
      <c r="N74" s="68">
        <v>12.97</v>
      </c>
      <c r="O74" s="58">
        <v>12.97</v>
      </c>
      <c r="P74" s="144">
        <v>12.97</v>
      </c>
      <c r="Q74" s="144">
        <v>12.97</v>
      </c>
      <c r="R74" s="144">
        <v>12.97</v>
      </c>
      <c r="S74" s="144">
        <v>12.97</v>
      </c>
      <c r="T74" s="144">
        <v>12.97</v>
      </c>
      <c r="U74" s="144">
        <v>12.97</v>
      </c>
      <c r="V74" s="144">
        <v>12.97</v>
      </c>
      <c r="W74" s="144">
        <v>12.97</v>
      </c>
      <c r="X74" s="144">
        <v>12.97</v>
      </c>
      <c r="Y74" s="144">
        <v>12.97</v>
      </c>
      <c r="Z74" s="144">
        <v>12.97</v>
      </c>
      <c r="AA74" s="58">
        <v>12.97</v>
      </c>
      <c r="AB74" s="83">
        <v>0.46</v>
      </c>
      <c r="AC74" s="10">
        <v>0.46</v>
      </c>
      <c r="AD74" s="10">
        <v>0.46</v>
      </c>
      <c r="AE74" s="10">
        <v>0.46</v>
      </c>
      <c r="AF74" s="10">
        <v>0.46</v>
      </c>
      <c r="AG74" s="10">
        <v>0.46</v>
      </c>
      <c r="AH74" s="10">
        <v>0.46</v>
      </c>
      <c r="AI74" s="10">
        <v>0.46</v>
      </c>
      <c r="AJ74" s="10">
        <v>0.46</v>
      </c>
      <c r="AK74" s="10">
        <v>0.46</v>
      </c>
      <c r="AL74" s="10">
        <v>0.46</v>
      </c>
      <c r="AM74" s="10">
        <v>0.46</v>
      </c>
      <c r="AN74" s="149">
        <v>0.46</v>
      </c>
      <c r="AO74" s="105">
        <v>5000</v>
      </c>
      <c r="AP74" s="118">
        <f t="shared" si="1"/>
        <v>2300</v>
      </c>
      <c r="AQ74" s="105">
        <v>1000</v>
      </c>
      <c r="AR74" s="118">
        <f t="shared" si="2"/>
        <v>460</v>
      </c>
      <c r="AS74" s="204">
        <v>2000</v>
      </c>
      <c r="AT74" s="127">
        <f t="shared" si="3"/>
        <v>920</v>
      </c>
      <c r="AU74" s="5">
        <v>0</v>
      </c>
      <c r="AV74" s="118">
        <f t="shared" si="4"/>
        <v>0</v>
      </c>
      <c r="AW74" s="105">
        <v>0</v>
      </c>
      <c r="AX74" s="118">
        <f t="shared" si="5"/>
        <v>0</v>
      </c>
      <c r="AY74" s="105">
        <v>1000</v>
      </c>
      <c r="AZ74" s="127">
        <f t="shared" si="6"/>
        <v>460</v>
      </c>
      <c r="BA74" s="105">
        <v>0</v>
      </c>
      <c r="BB74" s="118">
        <f t="shared" si="7"/>
        <v>0</v>
      </c>
      <c r="BC74" s="105">
        <v>0</v>
      </c>
      <c r="BD74" s="118">
        <f t="shared" si="8"/>
        <v>0</v>
      </c>
      <c r="BE74" s="5">
        <v>0</v>
      </c>
      <c r="BF74" s="127">
        <f t="shared" si="9"/>
        <v>0</v>
      </c>
      <c r="BG74" s="105">
        <v>0</v>
      </c>
      <c r="BH74" s="118">
        <f t="shared" si="10"/>
        <v>0</v>
      </c>
      <c r="BI74" s="5"/>
      <c r="BJ74" s="118">
        <f t="shared" si="11"/>
        <v>0</v>
      </c>
      <c r="BK74" s="5"/>
      <c r="BL74" s="127">
        <f t="shared" si="12"/>
        <v>0</v>
      </c>
      <c r="BO74" s="1" t="s">
        <v>374</v>
      </c>
    </row>
    <row r="75" spans="1:67">
      <c r="A75" s="112" t="s">
        <v>259</v>
      </c>
      <c r="B75" s="107" t="s">
        <v>244</v>
      </c>
      <c r="C75" s="66" t="s">
        <v>175</v>
      </c>
      <c r="D75" s="284"/>
      <c r="E75" s="77" t="s">
        <v>253</v>
      </c>
      <c r="F75" s="282"/>
      <c r="G75" s="71" t="s">
        <v>202</v>
      </c>
      <c r="H75" s="70" t="s">
        <v>265</v>
      </c>
      <c r="I75" s="70" t="s">
        <v>180</v>
      </c>
      <c r="J75" s="71"/>
      <c r="K75" s="70" t="s">
        <v>250</v>
      </c>
      <c r="L75" s="69" t="s">
        <v>257</v>
      </c>
      <c r="M75" s="180" t="s">
        <v>258</v>
      </c>
      <c r="N75" s="68">
        <v>12.97</v>
      </c>
      <c r="O75" s="58">
        <v>12.97</v>
      </c>
      <c r="P75" s="144">
        <v>12.97</v>
      </c>
      <c r="Q75" s="144">
        <v>12.97</v>
      </c>
      <c r="R75" s="144">
        <v>12.97</v>
      </c>
      <c r="S75" s="144">
        <v>12.97</v>
      </c>
      <c r="T75" s="144">
        <v>12.97</v>
      </c>
      <c r="U75" s="144">
        <v>12.97</v>
      </c>
      <c r="V75" s="144">
        <v>12.97</v>
      </c>
      <c r="W75" s="144">
        <v>12.97</v>
      </c>
      <c r="X75" s="144">
        <v>12.97</v>
      </c>
      <c r="Y75" s="144">
        <v>12.97</v>
      </c>
      <c r="Z75" s="144">
        <v>12.97</v>
      </c>
      <c r="AA75" s="58">
        <v>12.97</v>
      </c>
      <c r="AB75" s="83">
        <v>0.46</v>
      </c>
      <c r="AC75" s="10">
        <v>0.46</v>
      </c>
      <c r="AD75" s="10">
        <v>0.46</v>
      </c>
      <c r="AE75" s="10">
        <v>0.46</v>
      </c>
      <c r="AF75" s="10">
        <v>0.46</v>
      </c>
      <c r="AG75" s="10">
        <v>0.46</v>
      </c>
      <c r="AH75" s="10">
        <v>0.46</v>
      </c>
      <c r="AI75" s="10">
        <v>0.46</v>
      </c>
      <c r="AJ75" s="10">
        <v>0.46</v>
      </c>
      <c r="AK75" s="10">
        <v>0.46</v>
      </c>
      <c r="AL75" s="10">
        <v>0.46</v>
      </c>
      <c r="AM75" s="10">
        <v>0.46</v>
      </c>
      <c r="AN75" s="149">
        <v>0.46</v>
      </c>
      <c r="AO75" s="105"/>
      <c r="AP75" s="118">
        <f t="shared" si="1"/>
        <v>0</v>
      </c>
      <c r="AQ75" s="105"/>
      <c r="AR75" s="118">
        <f t="shared" si="2"/>
        <v>0</v>
      </c>
      <c r="AS75" s="204"/>
      <c r="AT75" s="127">
        <f t="shared" si="3"/>
        <v>0</v>
      </c>
      <c r="AU75" s="5"/>
      <c r="AV75" s="118">
        <f t="shared" si="4"/>
        <v>0</v>
      </c>
      <c r="AW75" s="105"/>
      <c r="AX75" s="118">
        <f t="shared" si="5"/>
        <v>0</v>
      </c>
      <c r="AY75" s="105"/>
      <c r="AZ75" s="127">
        <f t="shared" si="6"/>
        <v>0</v>
      </c>
      <c r="BA75" s="105"/>
      <c r="BB75" s="118">
        <f t="shared" si="7"/>
        <v>0</v>
      </c>
      <c r="BC75" s="105">
        <v>0</v>
      </c>
      <c r="BD75" s="118">
        <f t="shared" si="8"/>
        <v>0</v>
      </c>
      <c r="BE75" s="5">
        <v>0</v>
      </c>
      <c r="BF75" s="127">
        <f t="shared" si="9"/>
        <v>0</v>
      </c>
      <c r="BG75" s="105">
        <v>0</v>
      </c>
      <c r="BH75" s="118">
        <f t="shared" si="10"/>
        <v>0</v>
      </c>
      <c r="BI75" s="5"/>
      <c r="BJ75" s="118">
        <f t="shared" si="11"/>
        <v>0</v>
      </c>
      <c r="BK75" s="5"/>
      <c r="BL75" s="127">
        <f t="shared" si="12"/>
        <v>0</v>
      </c>
      <c r="BO75" s="1" t="s">
        <v>377</v>
      </c>
    </row>
    <row r="76" spans="1:67">
      <c r="A76" s="112" t="s">
        <v>259</v>
      </c>
      <c r="B76" s="107" t="s">
        <v>244</v>
      </c>
      <c r="C76" s="66" t="s">
        <v>175</v>
      </c>
      <c r="D76" s="284"/>
      <c r="E76" s="77" t="s">
        <v>253</v>
      </c>
      <c r="F76" s="282"/>
      <c r="G76" s="71" t="s">
        <v>202</v>
      </c>
      <c r="H76" s="70" t="s">
        <v>265</v>
      </c>
      <c r="I76" s="70" t="s">
        <v>180</v>
      </c>
      <c r="J76" s="71"/>
      <c r="K76" s="70" t="s">
        <v>250</v>
      </c>
      <c r="L76" s="69" t="s">
        <v>257</v>
      </c>
      <c r="M76" s="180" t="s">
        <v>258</v>
      </c>
      <c r="N76" s="68">
        <v>12.97</v>
      </c>
      <c r="O76" s="58">
        <v>12.97</v>
      </c>
      <c r="P76" s="144">
        <v>12.97</v>
      </c>
      <c r="Q76" s="144">
        <v>12.97</v>
      </c>
      <c r="R76" s="144">
        <v>12.97</v>
      </c>
      <c r="S76" s="144">
        <v>12.97</v>
      </c>
      <c r="T76" s="144">
        <v>12.97</v>
      </c>
      <c r="U76" s="144">
        <v>12.97</v>
      </c>
      <c r="V76" s="144">
        <v>12.97</v>
      </c>
      <c r="W76" s="144">
        <v>12.97</v>
      </c>
      <c r="X76" s="144">
        <v>12.97</v>
      </c>
      <c r="Y76" s="144">
        <v>12.97</v>
      </c>
      <c r="Z76" s="144">
        <v>12.97</v>
      </c>
      <c r="AA76" s="58">
        <v>12.97</v>
      </c>
      <c r="AB76" s="83">
        <v>0.46</v>
      </c>
      <c r="AC76" s="10">
        <v>0.46</v>
      </c>
      <c r="AD76" s="10">
        <v>0.46</v>
      </c>
      <c r="AE76" s="10">
        <v>0.46</v>
      </c>
      <c r="AF76" s="10">
        <v>0.46</v>
      </c>
      <c r="AG76" s="10">
        <v>0.46</v>
      </c>
      <c r="AH76" s="10">
        <v>0.46</v>
      </c>
      <c r="AI76" s="10">
        <v>0.46</v>
      </c>
      <c r="AJ76" s="10">
        <v>0.46</v>
      </c>
      <c r="AK76" s="10">
        <v>0.46</v>
      </c>
      <c r="AL76" s="10">
        <v>0.46</v>
      </c>
      <c r="AM76" s="10">
        <v>0.46</v>
      </c>
      <c r="AN76" s="149">
        <v>0.46</v>
      </c>
      <c r="AO76" s="105"/>
      <c r="AP76" s="118">
        <f t="shared" si="1"/>
        <v>0</v>
      </c>
      <c r="AQ76" s="105"/>
      <c r="AR76" s="118">
        <f t="shared" si="2"/>
        <v>0</v>
      </c>
      <c r="AS76" s="204"/>
      <c r="AT76" s="127">
        <f t="shared" si="3"/>
        <v>0</v>
      </c>
      <c r="AU76" s="5"/>
      <c r="AV76" s="118">
        <f t="shared" si="4"/>
        <v>0</v>
      </c>
      <c r="AW76" s="105"/>
      <c r="AX76" s="118">
        <f t="shared" si="5"/>
        <v>0</v>
      </c>
      <c r="AY76" s="105"/>
      <c r="AZ76" s="127">
        <f t="shared" si="6"/>
        <v>0</v>
      </c>
      <c r="BA76" s="105"/>
      <c r="BB76" s="118">
        <f t="shared" si="7"/>
        <v>0</v>
      </c>
      <c r="BC76" s="105">
        <v>0</v>
      </c>
      <c r="BD76" s="118">
        <f t="shared" si="8"/>
        <v>0</v>
      </c>
      <c r="BE76" s="5">
        <v>1000</v>
      </c>
      <c r="BF76" s="127">
        <f t="shared" si="9"/>
        <v>460</v>
      </c>
      <c r="BG76" s="105">
        <v>0</v>
      </c>
      <c r="BH76" s="118">
        <f t="shared" si="10"/>
        <v>0</v>
      </c>
      <c r="BI76" s="5">
        <v>1000</v>
      </c>
      <c r="BJ76" s="118">
        <f t="shared" si="11"/>
        <v>460</v>
      </c>
      <c r="BK76" s="5"/>
      <c r="BL76" s="127">
        <f t="shared" si="12"/>
        <v>0</v>
      </c>
      <c r="BO76" s="1" t="s">
        <v>378</v>
      </c>
    </row>
    <row r="77" spans="1:67">
      <c r="A77" s="112" t="s">
        <v>259</v>
      </c>
      <c r="B77" s="107" t="s">
        <v>244</v>
      </c>
      <c r="C77" s="66" t="s">
        <v>175</v>
      </c>
      <c r="D77" s="284"/>
      <c r="E77" s="77" t="s">
        <v>253</v>
      </c>
      <c r="F77" s="282"/>
      <c r="G77" s="71" t="s">
        <v>202</v>
      </c>
      <c r="H77" s="70" t="s">
        <v>266</v>
      </c>
      <c r="I77" s="70" t="s">
        <v>382</v>
      </c>
      <c r="J77" s="71"/>
      <c r="K77" s="70" t="s">
        <v>250</v>
      </c>
      <c r="L77" s="69" t="s">
        <v>257</v>
      </c>
      <c r="M77" s="180" t="s">
        <v>258</v>
      </c>
      <c r="N77" s="68">
        <v>15.75</v>
      </c>
      <c r="O77" s="58">
        <v>15.75</v>
      </c>
      <c r="P77" s="144">
        <v>15.75</v>
      </c>
      <c r="Q77" s="144">
        <v>15.75</v>
      </c>
      <c r="R77" s="144">
        <v>15.75</v>
      </c>
      <c r="S77" s="144">
        <v>15.75</v>
      </c>
      <c r="T77" s="144">
        <v>15.75</v>
      </c>
      <c r="U77" s="144">
        <v>15.75</v>
      </c>
      <c r="V77" s="144">
        <v>15.75</v>
      </c>
      <c r="W77" s="144">
        <v>15.75</v>
      </c>
      <c r="X77" s="144">
        <v>15.75</v>
      </c>
      <c r="Y77" s="144">
        <v>15.75</v>
      </c>
      <c r="Z77" s="144">
        <v>15.75</v>
      </c>
      <c r="AA77" s="58">
        <v>15.75</v>
      </c>
      <c r="AB77" s="83">
        <v>0.46</v>
      </c>
      <c r="AC77" s="10">
        <v>0.46</v>
      </c>
      <c r="AD77" s="10">
        <v>0.46</v>
      </c>
      <c r="AE77" s="10">
        <v>0.46</v>
      </c>
      <c r="AF77" s="10">
        <v>0.46</v>
      </c>
      <c r="AG77" s="10">
        <v>0.46</v>
      </c>
      <c r="AH77" s="10">
        <v>0.46</v>
      </c>
      <c r="AI77" s="10">
        <v>0.46</v>
      </c>
      <c r="AJ77" s="10">
        <v>0.46</v>
      </c>
      <c r="AK77" s="10">
        <v>0.46</v>
      </c>
      <c r="AL77" s="10">
        <v>0.46</v>
      </c>
      <c r="AM77" s="10">
        <v>0.46</v>
      </c>
      <c r="AN77" s="149">
        <v>0.46</v>
      </c>
      <c r="AO77" s="105">
        <v>2800</v>
      </c>
      <c r="AP77" s="118">
        <f t="shared" si="1"/>
        <v>1288</v>
      </c>
      <c r="AQ77" s="105">
        <v>4750</v>
      </c>
      <c r="AR77" s="118">
        <f t="shared" si="2"/>
        <v>2185</v>
      </c>
      <c r="AS77" s="204">
        <v>14850</v>
      </c>
      <c r="AT77" s="127">
        <f t="shared" si="3"/>
        <v>6831</v>
      </c>
      <c r="AU77" s="5">
        <v>1000</v>
      </c>
      <c r="AV77" s="118">
        <f t="shared" si="4"/>
        <v>460</v>
      </c>
      <c r="AW77" s="105">
        <v>2400</v>
      </c>
      <c r="AX77" s="118">
        <f t="shared" si="5"/>
        <v>1104</v>
      </c>
      <c r="AY77" s="105">
        <v>3300</v>
      </c>
      <c r="AZ77" s="127">
        <f t="shared" si="6"/>
        <v>1518</v>
      </c>
      <c r="BA77" s="105">
        <v>0</v>
      </c>
      <c r="BB77" s="118">
        <f t="shared" si="7"/>
        <v>0</v>
      </c>
      <c r="BC77" s="105">
        <v>0</v>
      </c>
      <c r="BD77" s="118">
        <f t="shared" si="8"/>
        <v>0</v>
      </c>
      <c r="BE77" s="5">
        <v>0</v>
      </c>
      <c r="BF77" s="127">
        <f t="shared" si="9"/>
        <v>0</v>
      </c>
      <c r="BG77" s="105">
        <v>0</v>
      </c>
      <c r="BH77" s="118">
        <f t="shared" si="10"/>
        <v>0</v>
      </c>
      <c r="BI77" s="5"/>
      <c r="BJ77" s="118">
        <f t="shared" si="11"/>
        <v>0</v>
      </c>
      <c r="BK77" s="5"/>
      <c r="BL77" s="127">
        <f t="shared" si="12"/>
        <v>0</v>
      </c>
      <c r="BO77" s="1" t="s">
        <v>374</v>
      </c>
    </row>
    <row r="78" spans="1:67">
      <c r="A78" s="112" t="s">
        <v>259</v>
      </c>
      <c r="B78" s="107" t="s">
        <v>244</v>
      </c>
      <c r="C78" s="66" t="s">
        <v>175</v>
      </c>
      <c r="D78" s="284"/>
      <c r="E78" s="77" t="s">
        <v>253</v>
      </c>
      <c r="F78" s="282"/>
      <c r="G78" s="71" t="s">
        <v>202</v>
      </c>
      <c r="H78" s="70" t="s">
        <v>266</v>
      </c>
      <c r="I78" s="70" t="s">
        <v>184</v>
      </c>
      <c r="J78" s="71"/>
      <c r="K78" s="70" t="s">
        <v>250</v>
      </c>
      <c r="L78" s="69" t="s">
        <v>257</v>
      </c>
      <c r="M78" s="180" t="s">
        <v>258</v>
      </c>
      <c r="N78" s="68">
        <v>15.75</v>
      </c>
      <c r="O78" s="58">
        <v>15.75</v>
      </c>
      <c r="P78" s="144">
        <v>15.75</v>
      </c>
      <c r="Q78" s="144">
        <v>15.75</v>
      </c>
      <c r="R78" s="144">
        <v>15.75</v>
      </c>
      <c r="S78" s="144">
        <v>15.75</v>
      </c>
      <c r="T78" s="144">
        <v>15.75</v>
      </c>
      <c r="U78" s="144">
        <v>15.75</v>
      </c>
      <c r="V78" s="144">
        <v>15.75</v>
      </c>
      <c r="W78" s="144">
        <v>15.75</v>
      </c>
      <c r="X78" s="144">
        <v>15.75</v>
      </c>
      <c r="Y78" s="144">
        <v>15.75</v>
      </c>
      <c r="Z78" s="144">
        <v>15.75</v>
      </c>
      <c r="AA78" s="58">
        <v>15.75</v>
      </c>
      <c r="AB78" s="83">
        <v>0.46</v>
      </c>
      <c r="AC78" s="10">
        <v>0.46</v>
      </c>
      <c r="AD78" s="10">
        <v>0.46</v>
      </c>
      <c r="AE78" s="10">
        <v>0.46</v>
      </c>
      <c r="AF78" s="10">
        <v>0.46</v>
      </c>
      <c r="AG78" s="10">
        <v>0.46</v>
      </c>
      <c r="AH78" s="10">
        <v>0.46</v>
      </c>
      <c r="AI78" s="10">
        <v>0.46</v>
      </c>
      <c r="AJ78" s="10">
        <v>0.46</v>
      </c>
      <c r="AK78" s="10">
        <v>0.46</v>
      </c>
      <c r="AL78" s="10">
        <v>0.46</v>
      </c>
      <c r="AM78" s="10">
        <v>0.46</v>
      </c>
      <c r="AN78" s="149">
        <v>0.46</v>
      </c>
      <c r="AO78" s="105"/>
      <c r="AP78" s="118">
        <f t="shared" si="1"/>
        <v>0</v>
      </c>
      <c r="AQ78" s="105"/>
      <c r="AR78" s="118">
        <f t="shared" si="2"/>
        <v>0</v>
      </c>
      <c r="AS78" s="204"/>
      <c r="AT78" s="127">
        <f t="shared" si="3"/>
        <v>0</v>
      </c>
      <c r="AU78" s="5"/>
      <c r="AV78" s="118">
        <f t="shared" si="4"/>
        <v>0</v>
      </c>
      <c r="AW78" s="105"/>
      <c r="AX78" s="118">
        <f t="shared" si="5"/>
        <v>0</v>
      </c>
      <c r="AY78" s="105"/>
      <c r="AZ78" s="127">
        <f t="shared" si="6"/>
        <v>0</v>
      </c>
      <c r="BA78" s="105"/>
      <c r="BB78" s="118">
        <f t="shared" ref="BB78:BB79" si="13">AI78*BA78</f>
        <v>0</v>
      </c>
      <c r="BC78" s="105">
        <v>1400</v>
      </c>
      <c r="BD78" s="118">
        <f t="shared" ref="BD78:BD80" si="14">AJ78*BC78</f>
        <v>644</v>
      </c>
      <c r="BE78" s="5">
        <v>0</v>
      </c>
      <c r="BF78" s="127">
        <f t="shared" ref="BF78:BF80" si="15">AK78*BE78</f>
        <v>0</v>
      </c>
      <c r="BG78" s="105">
        <v>200</v>
      </c>
      <c r="BH78" s="118">
        <f t="shared" ref="BH78:BH80" si="16">AL78*BG78</f>
        <v>92</v>
      </c>
      <c r="BI78" s="5">
        <v>600</v>
      </c>
      <c r="BJ78" s="118">
        <f t="shared" ref="BJ78:BJ80" si="17">AM78*BI78</f>
        <v>276</v>
      </c>
      <c r="BK78" s="5">
        <v>1100</v>
      </c>
      <c r="BL78" s="127">
        <f t="shared" ref="BL78:BL80" si="18">AN78*BK78</f>
        <v>506</v>
      </c>
      <c r="BO78" s="1" t="s">
        <v>377</v>
      </c>
    </row>
    <row r="79" spans="1:67">
      <c r="A79" s="112" t="s">
        <v>259</v>
      </c>
      <c r="B79" s="107" t="s">
        <v>244</v>
      </c>
      <c r="C79" s="66" t="s">
        <v>175</v>
      </c>
      <c r="D79" s="284"/>
      <c r="E79" s="77" t="s">
        <v>253</v>
      </c>
      <c r="F79" s="282"/>
      <c r="G79" s="71" t="s">
        <v>202</v>
      </c>
      <c r="H79" s="70" t="s">
        <v>266</v>
      </c>
      <c r="I79" s="70" t="s">
        <v>184</v>
      </c>
      <c r="J79" s="71"/>
      <c r="K79" s="70" t="s">
        <v>250</v>
      </c>
      <c r="L79" s="69" t="s">
        <v>257</v>
      </c>
      <c r="M79" s="180" t="s">
        <v>258</v>
      </c>
      <c r="N79" s="68">
        <v>15.75</v>
      </c>
      <c r="O79" s="58">
        <v>15.75</v>
      </c>
      <c r="P79" s="144">
        <v>15.75</v>
      </c>
      <c r="Q79" s="144">
        <v>15.75</v>
      </c>
      <c r="R79" s="144">
        <v>15.75</v>
      </c>
      <c r="S79" s="144">
        <v>15.75</v>
      </c>
      <c r="T79" s="144">
        <v>15.75</v>
      </c>
      <c r="U79" s="144">
        <v>15.75</v>
      </c>
      <c r="V79" s="144">
        <v>15.75</v>
      </c>
      <c r="W79" s="144">
        <v>15.75</v>
      </c>
      <c r="X79" s="144">
        <v>15.75</v>
      </c>
      <c r="Y79" s="144">
        <v>15.75</v>
      </c>
      <c r="Z79" s="144">
        <v>15.75</v>
      </c>
      <c r="AA79" s="58">
        <v>15.75</v>
      </c>
      <c r="AB79" s="83">
        <v>0.46</v>
      </c>
      <c r="AC79" s="10">
        <v>0.46</v>
      </c>
      <c r="AD79" s="10">
        <v>0.46</v>
      </c>
      <c r="AE79" s="10">
        <v>0.46</v>
      </c>
      <c r="AF79" s="10">
        <v>0.46</v>
      </c>
      <c r="AG79" s="10">
        <v>0.46</v>
      </c>
      <c r="AH79" s="10">
        <v>0.46</v>
      </c>
      <c r="AI79" s="10">
        <v>0.46</v>
      </c>
      <c r="AJ79" s="10">
        <v>0.46</v>
      </c>
      <c r="AK79" s="10">
        <v>0.46</v>
      </c>
      <c r="AL79" s="10">
        <v>0.46</v>
      </c>
      <c r="AM79" s="10">
        <v>0.46</v>
      </c>
      <c r="AN79" s="149">
        <v>0.46</v>
      </c>
      <c r="AO79" s="105"/>
      <c r="AP79" s="118">
        <f t="shared" si="1"/>
        <v>0</v>
      </c>
      <c r="AQ79" s="105"/>
      <c r="AR79" s="118">
        <f t="shared" si="2"/>
        <v>0</v>
      </c>
      <c r="AS79" s="204"/>
      <c r="AT79" s="127">
        <f t="shared" si="3"/>
        <v>0</v>
      </c>
      <c r="AU79" s="5"/>
      <c r="AV79" s="118">
        <f t="shared" si="4"/>
        <v>0</v>
      </c>
      <c r="AW79" s="105"/>
      <c r="AX79" s="118">
        <f t="shared" si="5"/>
        <v>0</v>
      </c>
      <c r="AY79" s="105"/>
      <c r="AZ79" s="127">
        <f t="shared" si="6"/>
        <v>0</v>
      </c>
      <c r="BA79" s="105"/>
      <c r="BB79" s="118">
        <f t="shared" si="13"/>
        <v>0</v>
      </c>
      <c r="BC79" s="105">
        <v>1000</v>
      </c>
      <c r="BD79" s="118">
        <f t="shared" si="14"/>
        <v>460</v>
      </c>
      <c r="BE79" s="5">
        <v>0</v>
      </c>
      <c r="BF79" s="127">
        <f t="shared" si="15"/>
        <v>0</v>
      </c>
      <c r="BG79" s="105">
        <v>1000</v>
      </c>
      <c r="BH79" s="118">
        <f t="shared" si="16"/>
        <v>460</v>
      </c>
      <c r="BI79" s="5">
        <v>1000</v>
      </c>
      <c r="BJ79" s="118">
        <f t="shared" si="17"/>
        <v>460</v>
      </c>
      <c r="BK79" s="5"/>
      <c r="BL79" s="127">
        <f t="shared" si="18"/>
        <v>0</v>
      </c>
      <c r="BO79" s="1" t="s">
        <v>378</v>
      </c>
    </row>
    <row r="80" spans="1:67" s="8" customFormat="1">
      <c r="A80" s="112" t="s">
        <v>259</v>
      </c>
      <c r="B80" s="108"/>
      <c r="C80" s="57" t="s">
        <v>175</v>
      </c>
      <c r="D80" s="285"/>
      <c r="E80" s="76"/>
      <c r="F80" s="282"/>
      <c r="G80" s="72"/>
      <c r="H80" s="75"/>
      <c r="I80" s="75"/>
      <c r="J80" s="72"/>
      <c r="K80" s="75"/>
      <c r="L80" s="74"/>
      <c r="M80" s="181"/>
      <c r="N80" s="52"/>
      <c r="O80" s="49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49"/>
      <c r="AB80" s="52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150"/>
      <c r="AO80" s="23"/>
      <c r="AP80" s="184">
        <f t="shared" si="1"/>
        <v>0</v>
      </c>
      <c r="AQ80" s="23"/>
      <c r="AR80" s="184">
        <f t="shared" si="2"/>
        <v>0</v>
      </c>
      <c r="AS80" s="205">
        <v>0</v>
      </c>
      <c r="AT80" s="185">
        <f t="shared" si="3"/>
        <v>0</v>
      </c>
      <c r="AU80" s="23">
        <v>0</v>
      </c>
      <c r="AV80" s="184">
        <f t="shared" si="4"/>
        <v>0</v>
      </c>
      <c r="AW80" s="23"/>
      <c r="AX80" s="184">
        <f t="shared" si="5"/>
        <v>0</v>
      </c>
      <c r="AY80" s="23"/>
      <c r="AZ80" s="185">
        <f t="shared" si="6"/>
        <v>0</v>
      </c>
      <c r="BA80" s="50"/>
      <c r="BB80" s="184">
        <f t="shared" ref="BB80:BB145" si="19">AI80*BA80</f>
        <v>0</v>
      </c>
      <c r="BC80" s="50"/>
      <c r="BD80" s="184">
        <f t="shared" si="14"/>
        <v>0</v>
      </c>
      <c r="BE80" s="23"/>
      <c r="BF80" s="185">
        <f t="shared" si="15"/>
        <v>0</v>
      </c>
      <c r="BG80" s="50"/>
      <c r="BH80" s="184">
        <f t="shared" si="16"/>
        <v>0</v>
      </c>
      <c r="BI80" s="23"/>
      <c r="BJ80" s="184">
        <f t="shared" si="17"/>
        <v>0</v>
      </c>
      <c r="BK80" s="23"/>
      <c r="BL80" s="185">
        <f t="shared" si="18"/>
        <v>0</v>
      </c>
      <c r="BM80" s="220"/>
    </row>
    <row r="81" spans="1:65" s="8" customFormat="1">
      <c r="A81" s="112" t="s">
        <v>259</v>
      </c>
      <c r="B81" s="182" t="s">
        <v>267</v>
      </c>
      <c r="C81" s="66" t="s">
        <v>175</v>
      </c>
      <c r="D81" s="284" t="s">
        <v>383</v>
      </c>
      <c r="E81" s="77" t="s">
        <v>176</v>
      </c>
      <c r="F81" s="281" t="s">
        <v>384</v>
      </c>
      <c r="G81" s="71" t="s">
        <v>215</v>
      </c>
      <c r="H81" s="70" t="s">
        <v>269</v>
      </c>
      <c r="I81" s="70" t="s">
        <v>180</v>
      </c>
      <c r="J81" s="71" t="s">
        <v>193</v>
      </c>
      <c r="K81" s="70" t="s">
        <v>270</v>
      </c>
      <c r="L81" s="69" t="s">
        <v>213</v>
      </c>
      <c r="M81" s="180" t="s">
        <v>214</v>
      </c>
      <c r="N81" s="68">
        <v>3.5</v>
      </c>
      <c r="O81" s="58">
        <v>4.2</v>
      </c>
      <c r="P81" s="144">
        <v>4.2</v>
      </c>
      <c r="Q81" s="144">
        <v>4.2</v>
      </c>
      <c r="R81" s="144">
        <v>4.2</v>
      </c>
      <c r="S81" s="144">
        <v>4.2</v>
      </c>
      <c r="T81" s="144">
        <v>4.2</v>
      </c>
      <c r="U81" s="144">
        <v>4.2</v>
      </c>
      <c r="V81" s="144">
        <v>3.9</v>
      </c>
      <c r="W81" s="144">
        <v>3.9</v>
      </c>
      <c r="X81" s="144">
        <v>3.9</v>
      </c>
      <c r="Y81" s="144">
        <v>3.9</v>
      </c>
      <c r="Z81" s="144">
        <v>3.9</v>
      </c>
      <c r="AA81" s="58">
        <v>3.9</v>
      </c>
      <c r="AB81" s="68">
        <v>0.7</v>
      </c>
      <c r="AC81" s="10">
        <v>0.7</v>
      </c>
      <c r="AD81" s="10">
        <v>0.7</v>
      </c>
      <c r="AE81" s="10">
        <v>0.7</v>
      </c>
      <c r="AF81" s="10">
        <v>0.7</v>
      </c>
      <c r="AG81" s="10">
        <v>0.7</v>
      </c>
      <c r="AH81" s="10">
        <v>0.7</v>
      </c>
      <c r="AI81" s="10">
        <v>1</v>
      </c>
      <c r="AJ81" s="10">
        <v>1</v>
      </c>
      <c r="AK81" s="10">
        <v>1</v>
      </c>
      <c r="AL81" s="10">
        <v>1</v>
      </c>
      <c r="AM81" s="10">
        <v>1</v>
      </c>
      <c r="AN81" s="149">
        <v>1</v>
      </c>
      <c r="AO81" s="5">
        <v>54518</v>
      </c>
      <c r="AP81" s="118">
        <f t="shared" si="1"/>
        <v>38162.6</v>
      </c>
      <c r="AQ81" s="5">
        <v>87506</v>
      </c>
      <c r="AR81" s="118">
        <f t="shared" si="2"/>
        <v>61254.2</v>
      </c>
      <c r="AS81" s="5">
        <v>47480</v>
      </c>
      <c r="AT81" s="127">
        <f t="shared" si="3"/>
        <v>33236</v>
      </c>
      <c r="AU81" s="5">
        <v>83850</v>
      </c>
      <c r="AV81" s="118">
        <f t="shared" si="4"/>
        <v>58694.999999999993</v>
      </c>
      <c r="AW81" s="5">
        <v>83383</v>
      </c>
      <c r="AX81" s="118">
        <f t="shared" si="5"/>
        <v>58368.1</v>
      </c>
      <c r="AY81" s="5">
        <v>28680</v>
      </c>
      <c r="AZ81" s="127">
        <f t="shared" si="6"/>
        <v>20076</v>
      </c>
      <c r="BA81" s="105">
        <v>49948</v>
      </c>
      <c r="BB81" s="118">
        <f t="shared" si="19"/>
        <v>49948</v>
      </c>
      <c r="BC81" s="105">
        <v>74142</v>
      </c>
      <c r="BD81" s="118">
        <f t="shared" ref="BD81:BD145" si="20">AJ81*BC81</f>
        <v>74142</v>
      </c>
      <c r="BE81" s="5">
        <v>16927</v>
      </c>
      <c r="BF81" s="127">
        <f t="shared" ref="BF81:BF145" si="21">AK81*BE81</f>
        <v>16927</v>
      </c>
      <c r="BG81" s="105">
        <v>13863</v>
      </c>
      <c r="BH81" s="118">
        <f t="shared" ref="BH81:BH145" si="22">AL81*BG81</f>
        <v>13863</v>
      </c>
      <c r="BI81" s="5">
        <v>33442</v>
      </c>
      <c r="BJ81" s="118">
        <f t="shared" ref="BJ81:BJ145" si="23">AM81*BI81</f>
        <v>33442</v>
      </c>
      <c r="BK81" s="5">
        <v>11664</v>
      </c>
      <c r="BL81" s="127">
        <f t="shared" ref="BL81:BL145" si="24">AN81*BK81</f>
        <v>11664</v>
      </c>
      <c r="BM81" s="220"/>
    </row>
    <row r="82" spans="1:65" s="8" customFormat="1">
      <c r="A82" s="112" t="s">
        <v>259</v>
      </c>
      <c r="B82" s="182" t="s">
        <v>267</v>
      </c>
      <c r="C82" s="66" t="s">
        <v>175</v>
      </c>
      <c r="D82" s="284"/>
      <c r="E82" s="77" t="s">
        <v>176</v>
      </c>
      <c r="F82" s="281"/>
      <c r="G82" s="71" t="s">
        <v>385</v>
      </c>
      <c r="H82" s="70" t="s">
        <v>386</v>
      </c>
      <c r="I82" s="70" t="s">
        <v>180</v>
      </c>
      <c r="J82" s="71" t="s">
        <v>193</v>
      </c>
      <c r="K82" s="70" t="s">
        <v>270</v>
      </c>
      <c r="L82" s="69" t="s">
        <v>213</v>
      </c>
      <c r="M82" s="180" t="s">
        <v>214</v>
      </c>
      <c r="N82" s="68">
        <v>3.5</v>
      </c>
      <c r="O82" s="58">
        <v>4.2</v>
      </c>
      <c r="P82" s="144">
        <v>0</v>
      </c>
      <c r="Q82" s="144">
        <v>0</v>
      </c>
      <c r="R82" s="144">
        <v>0</v>
      </c>
      <c r="S82" s="144">
        <v>0</v>
      </c>
      <c r="T82" s="144">
        <v>0</v>
      </c>
      <c r="U82" s="144">
        <v>4.2</v>
      </c>
      <c r="V82" s="144">
        <v>3.9</v>
      </c>
      <c r="W82" s="144">
        <v>3.9</v>
      </c>
      <c r="X82" s="144">
        <v>3.9</v>
      </c>
      <c r="Y82" s="144">
        <v>3.9</v>
      </c>
      <c r="Z82" s="144">
        <v>3.9</v>
      </c>
      <c r="AA82" s="58">
        <v>3.9</v>
      </c>
      <c r="AB82" s="68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0.7</v>
      </c>
      <c r="AI82" s="10">
        <v>1</v>
      </c>
      <c r="AJ82" s="10">
        <v>1</v>
      </c>
      <c r="AK82" s="10">
        <v>1</v>
      </c>
      <c r="AL82" s="10">
        <v>1</v>
      </c>
      <c r="AM82" s="10">
        <v>1</v>
      </c>
      <c r="AN82" s="149">
        <v>1</v>
      </c>
      <c r="AO82" s="5"/>
      <c r="AP82" s="118">
        <f t="shared" si="1"/>
        <v>0</v>
      </c>
      <c r="AQ82" s="5"/>
      <c r="AR82" s="118">
        <f t="shared" si="2"/>
        <v>0</v>
      </c>
      <c r="AS82" s="5"/>
      <c r="AT82" s="127">
        <f t="shared" si="3"/>
        <v>0</v>
      </c>
      <c r="AU82" s="5"/>
      <c r="AV82" s="118">
        <f t="shared" si="4"/>
        <v>0</v>
      </c>
      <c r="AW82" s="5"/>
      <c r="AX82" s="118">
        <f t="shared" si="5"/>
        <v>0</v>
      </c>
      <c r="AY82" s="5">
        <v>4126</v>
      </c>
      <c r="AZ82" s="127">
        <f t="shared" si="6"/>
        <v>2888.2</v>
      </c>
      <c r="BA82" s="105">
        <v>18158</v>
      </c>
      <c r="BB82" s="118">
        <f t="shared" si="19"/>
        <v>18158</v>
      </c>
      <c r="BC82" s="105">
        <v>35947</v>
      </c>
      <c r="BD82" s="118">
        <f t="shared" si="20"/>
        <v>35947</v>
      </c>
      <c r="BE82" s="5">
        <v>7079</v>
      </c>
      <c r="BF82" s="127">
        <f t="shared" si="21"/>
        <v>7079</v>
      </c>
      <c r="BG82" s="105">
        <v>29808</v>
      </c>
      <c r="BH82" s="118">
        <f t="shared" si="22"/>
        <v>29808</v>
      </c>
      <c r="BI82" s="5">
        <v>49523</v>
      </c>
      <c r="BJ82" s="118">
        <f t="shared" si="23"/>
        <v>49523</v>
      </c>
      <c r="BK82" s="5">
        <v>28128</v>
      </c>
      <c r="BL82" s="127">
        <f t="shared" si="24"/>
        <v>28128</v>
      </c>
      <c r="BM82" s="220"/>
    </row>
    <row r="83" spans="1:65" s="8" customFormat="1">
      <c r="A83" s="112" t="s">
        <v>259</v>
      </c>
      <c r="B83" s="182" t="s">
        <v>267</v>
      </c>
      <c r="C83" s="66" t="s">
        <v>175</v>
      </c>
      <c r="D83" s="284"/>
      <c r="E83" s="77" t="s">
        <v>176</v>
      </c>
      <c r="F83" s="281"/>
      <c r="G83" s="71" t="s">
        <v>202</v>
      </c>
      <c r="H83" s="70" t="s">
        <v>276</v>
      </c>
      <c r="I83" s="70" t="s">
        <v>180</v>
      </c>
      <c r="J83" s="71" t="s">
        <v>193</v>
      </c>
      <c r="K83" s="70" t="s">
        <v>275</v>
      </c>
      <c r="L83" s="69" t="s">
        <v>185</v>
      </c>
      <c r="M83" s="180" t="s">
        <v>204</v>
      </c>
      <c r="N83" s="68">
        <v>2.9</v>
      </c>
      <c r="O83" s="58">
        <v>4.6500000000000004</v>
      </c>
      <c r="P83" s="144">
        <v>4.6500000000000004</v>
      </c>
      <c r="Q83" s="144">
        <v>4.6500000000000004</v>
      </c>
      <c r="R83" s="144">
        <v>4.6500000000000004</v>
      </c>
      <c r="S83" s="144">
        <v>4.6500000000000004</v>
      </c>
      <c r="T83" s="144">
        <v>4.6500000000000004</v>
      </c>
      <c r="U83" s="144">
        <v>4.6500000000000004</v>
      </c>
      <c r="V83" s="144">
        <v>4.25</v>
      </c>
      <c r="W83" s="144">
        <v>4.25</v>
      </c>
      <c r="X83" s="144">
        <v>4.25</v>
      </c>
      <c r="Y83" s="144">
        <v>4.25</v>
      </c>
      <c r="Z83" s="144">
        <v>4.25</v>
      </c>
      <c r="AA83" s="58">
        <v>4.25</v>
      </c>
      <c r="AB83" s="68">
        <v>0.5</v>
      </c>
      <c r="AC83" s="10">
        <v>1</v>
      </c>
      <c r="AD83" s="10">
        <v>1</v>
      </c>
      <c r="AE83" s="10">
        <v>1</v>
      </c>
      <c r="AF83" s="10">
        <v>1</v>
      </c>
      <c r="AG83" s="10">
        <v>1</v>
      </c>
      <c r="AH83" s="10">
        <v>1</v>
      </c>
      <c r="AI83" s="10">
        <v>1.37</v>
      </c>
      <c r="AJ83" s="10">
        <v>1.37</v>
      </c>
      <c r="AK83" s="10">
        <v>1.37</v>
      </c>
      <c r="AL83" s="10">
        <v>1.37</v>
      </c>
      <c r="AM83" s="10">
        <v>1.37</v>
      </c>
      <c r="AN83" s="149">
        <v>1.37</v>
      </c>
      <c r="AO83" s="5">
        <v>5151</v>
      </c>
      <c r="AP83" s="118">
        <f t="shared" si="1"/>
        <v>5151</v>
      </c>
      <c r="AQ83" s="5">
        <v>4332</v>
      </c>
      <c r="AR83" s="118">
        <f t="shared" si="2"/>
        <v>4332</v>
      </c>
      <c r="AS83" s="5">
        <v>10143</v>
      </c>
      <c r="AT83" s="127">
        <f t="shared" si="3"/>
        <v>10143</v>
      </c>
      <c r="AU83" s="5">
        <v>151</v>
      </c>
      <c r="AV83" s="118">
        <f t="shared" si="4"/>
        <v>151</v>
      </c>
      <c r="AW83" s="5">
        <v>6640</v>
      </c>
      <c r="AX83" s="118">
        <f t="shared" si="5"/>
        <v>6640</v>
      </c>
      <c r="AY83" s="5">
        <v>7024</v>
      </c>
      <c r="AZ83" s="127">
        <f t="shared" si="6"/>
        <v>7024</v>
      </c>
      <c r="BA83" s="105">
        <v>13631</v>
      </c>
      <c r="BB83" s="118">
        <f t="shared" si="19"/>
        <v>18674.47</v>
      </c>
      <c r="BC83" s="105">
        <v>23723</v>
      </c>
      <c r="BD83" s="118">
        <f t="shared" si="20"/>
        <v>32500.510000000002</v>
      </c>
      <c r="BE83" s="5">
        <v>17067</v>
      </c>
      <c r="BF83" s="127">
        <f t="shared" si="21"/>
        <v>23381.79</v>
      </c>
      <c r="BG83" s="105">
        <v>28760</v>
      </c>
      <c r="BH83" s="118">
        <f t="shared" si="22"/>
        <v>39401.200000000004</v>
      </c>
      <c r="BI83" s="5">
        <v>26249</v>
      </c>
      <c r="BJ83" s="118">
        <f t="shared" si="23"/>
        <v>35961.130000000005</v>
      </c>
      <c r="BK83" s="5">
        <v>423</v>
      </c>
      <c r="BL83" s="127">
        <f t="shared" si="24"/>
        <v>579.51</v>
      </c>
      <c r="BM83" s="220"/>
    </row>
    <row r="84" spans="1:65" s="8" customFormat="1">
      <c r="A84" s="112" t="s">
        <v>259</v>
      </c>
      <c r="B84" s="182" t="s">
        <v>267</v>
      </c>
      <c r="C84" s="66" t="s">
        <v>175</v>
      </c>
      <c r="D84" s="284"/>
      <c r="E84" s="77" t="s">
        <v>176</v>
      </c>
      <c r="F84" s="281"/>
      <c r="G84" s="71" t="s">
        <v>202</v>
      </c>
      <c r="H84" s="70" t="s">
        <v>276</v>
      </c>
      <c r="I84" s="70" t="s">
        <v>180</v>
      </c>
      <c r="J84" s="71" t="s">
        <v>193</v>
      </c>
      <c r="K84" s="70" t="s">
        <v>275</v>
      </c>
      <c r="L84" s="69" t="s">
        <v>387</v>
      </c>
      <c r="M84" s="68" t="s">
        <v>204</v>
      </c>
      <c r="N84" s="68">
        <v>2.9</v>
      </c>
      <c r="O84" s="58">
        <v>4.6500000000000004</v>
      </c>
      <c r="P84" s="144">
        <v>4.6500000000000004</v>
      </c>
      <c r="Q84" s="144">
        <v>4.6500000000000004</v>
      </c>
      <c r="R84" s="144">
        <v>4.6500000000000004</v>
      </c>
      <c r="S84" s="144">
        <v>4.6500000000000004</v>
      </c>
      <c r="T84" s="144">
        <v>4.6500000000000004</v>
      </c>
      <c r="U84" s="144">
        <v>4.6500000000000004</v>
      </c>
      <c r="V84" s="144">
        <v>4.25</v>
      </c>
      <c r="W84" s="144">
        <v>4.25</v>
      </c>
      <c r="X84" s="144">
        <v>4.25</v>
      </c>
      <c r="Y84" s="144">
        <v>4.25</v>
      </c>
      <c r="Z84" s="144">
        <v>4.25</v>
      </c>
      <c r="AA84" s="58">
        <v>4.25</v>
      </c>
      <c r="AB84" s="58">
        <f>1-0.39</f>
        <v>0.61</v>
      </c>
      <c r="AC84" s="10">
        <v>0</v>
      </c>
      <c r="AD84" s="10">
        <v>0.61</v>
      </c>
      <c r="AE84" s="10">
        <v>0.61</v>
      </c>
      <c r="AF84" s="10">
        <v>0.61</v>
      </c>
      <c r="AG84" s="10">
        <v>1</v>
      </c>
      <c r="AH84" s="10">
        <v>1</v>
      </c>
      <c r="AI84" s="10">
        <v>1.37</v>
      </c>
      <c r="AJ84" s="10">
        <v>1.37</v>
      </c>
      <c r="AK84" s="10">
        <v>1.37</v>
      </c>
      <c r="AL84" s="10">
        <v>1.37</v>
      </c>
      <c r="AM84" s="10">
        <v>1.37</v>
      </c>
      <c r="AN84" s="149">
        <v>1.37</v>
      </c>
      <c r="AO84" s="5"/>
      <c r="AP84" s="118">
        <f t="shared" si="1"/>
        <v>0</v>
      </c>
      <c r="AQ84" s="5"/>
      <c r="AR84" s="118">
        <f t="shared" ref="AR84:AR85" si="25">AD84*AQ84</f>
        <v>0</v>
      </c>
      <c r="AS84" s="5"/>
      <c r="AT84" s="127">
        <f t="shared" ref="AT84" si="26">AE84*AS84</f>
        <v>0</v>
      </c>
      <c r="AU84" s="5">
        <v>7280</v>
      </c>
      <c r="AV84" s="118">
        <f t="shared" si="4"/>
        <v>4440.8</v>
      </c>
      <c r="AW84" s="5">
        <v>14495</v>
      </c>
      <c r="AX84" s="118">
        <f t="shared" si="5"/>
        <v>14495</v>
      </c>
      <c r="AY84" s="5">
        <v>11640</v>
      </c>
      <c r="AZ84" s="127">
        <f t="shared" si="6"/>
        <v>11640</v>
      </c>
      <c r="BA84" s="105">
        <v>9287</v>
      </c>
      <c r="BB84" s="118">
        <f t="shared" si="19"/>
        <v>12723.19</v>
      </c>
      <c r="BC84" s="105">
        <v>10358</v>
      </c>
      <c r="BD84" s="118">
        <f t="shared" si="20"/>
        <v>14190.460000000001</v>
      </c>
      <c r="BE84" s="5">
        <v>9028</v>
      </c>
      <c r="BF84" s="127">
        <f t="shared" si="21"/>
        <v>12368.36</v>
      </c>
      <c r="BG84" s="105">
        <v>17122</v>
      </c>
      <c r="BH84" s="118">
        <f t="shared" si="22"/>
        <v>23457.140000000003</v>
      </c>
      <c r="BI84" s="5">
        <v>19400</v>
      </c>
      <c r="BJ84" s="118">
        <f t="shared" si="23"/>
        <v>26578.000000000004</v>
      </c>
      <c r="BK84" s="5">
        <v>11340</v>
      </c>
      <c r="BL84" s="127">
        <f t="shared" si="24"/>
        <v>15535.800000000001</v>
      </c>
      <c r="BM84" s="220"/>
    </row>
    <row r="85" spans="1:65" s="8" customFormat="1">
      <c r="A85" s="112" t="s">
        <v>259</v>
      </c>
      <c r="B85" s="182"/>
      <c r="C85" s="66" t="s">
        <v>175</v>
      </c>
      <c r="D85" s="285"/>
      <c r="E85" s="77" t="s">
        <v>176</v>
      </c>
      <c r="F85" s="280"/>
      <c r="G85" s="71"/>
      <c r="H85" s="70"/>
      <c r="I85" s="70"/>
      <c r="J85" s="71"/>
      <c r="K85" s="70"/>
      <c r="L85" s="69"/>
      <c r="M85" s="180"/>
      <c r="N85" s="68"/>
      <c r="O85" s="58"/>
      <c r="P85" s="181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49"/>
      <c r="AB85" s="52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150"/>
      <c r="AO85" s="23"/>
      <c r="AP85" s="184"/>
      <c r="AQ85" s="23">
        <v>0</v>
      </c>
      <c r="AR85" s="184">
        <f t="shared" si="25"/>
        <v>0</v>
      </c>
      <c r="AS85" s="23"/>
      <c r="AT85" s="185">
        <f t="shared" ref="AT85:AT148" si="27">AE85*AS85</f>
        <v>0</v>
      </c>
      <c r="AU85" s="23"/>
      <c r="AV85" s="184">
        <f t="shared" si="4"/>
        <v>0</v>
      </c>
      <c r="AW85" s="23"/>
      <c r="AX85" s="184">
        <f t="shared" si="5"/>
        <v>0</v>
      </c>
      <c r="AY85" s="23"/>
      <c r="AZ85" s="185">
        <f t="shared" ref="AZ85:AZ148" si="28">AH85*AY85</f>
        <v>0</v>
      </c>
      <c r="BA85" s="50"/>
      <c r="BB85" s="184">
        <f t="shared" si="19"/>
        <v>0</v>
      </c>
      <c r="BC85" s="50"/>
      <c r="BD85" s="184">
        <f t="shared" si="20"/>
        <v>0</v>
      </c>
      <c r="BE85" s="23"/>
      <c r="BF85" s="185">
        <f t="shared" si="21"/>
        <v>0</v>
      </c>
      <c r="BG85" s="50"/>
      <c r="BH85" s="184">
        <f t="shared" si="22"/>
        <v>0</v>
      </c>
      <c r="BI85" s="23"/>
      <c r="BJ85" s="184">
        <f t="shared" si="23"/>
        <v>0</v>
      </c>
      <c r="BK85" s="23"/>
      <c r="BL85" s="185">
        <f t="shared" si="24"/>
        <v>0</v>
      </c>
      <c r="BM85" s="220"/>
    </row>
    <row r="86" spans="1:65">
      <c r="A86" s="112" t="s">
        <v>259</v>
      </c>
      <c r="B86" s="183" t="s">
        <v>267</v>
      </c>
      <c r="C86" s="73" t="s">
        <v>175</v>
      </c>
      <c r="D86" s="286" t="s">
        <v>388</v>
      </c>
      <c r="E86" s="102" t="s">
        <v>176</v>
      </c>
      <c r="F86" s="279" t="s">
        <v>75</v>
      </c>
      <c r="G86" s="64" t="s">
        <v>178</v>
      </c>
      <c r="H86" s="63" t="s">
        <v>271</v>
      </c>
      <c r="I86" s="63" t="s">
        <v>180</v>
      </c>
      <c r="J86" s="64" t="s">
        <v>272</v>
      </c>
      <c r="K86" s="63" t="s">
        <v>389</v>
      </c>
      <c r="L86" s="62" t="s">
        <v>185</v>
      </c>
      <c r="M86" s="179" t="s">
        <v>186</v>
      </c>
      <c r="N86" s="61">
        <v>2.9</v>
      </c>
      <c r="O86" s="59">
        <v>4.4000000000000004</v>
      </c>
      <c r="P86" s="144">
        <v>4.4000000000000004</v>
      </c>
      <c r="Q86" s="144">
        <v>4.4000000000000004</v>
      </c>
      <c r="R86" s="144">
        <v>4.4000000000000004</v>
      </c>
      <c r="S86" s="144">
        <v>4.4000000000000004</v>
      </c>
      <c r="T86" s="144">
        <v>4.4000000000000004</v>
      </c>
      <c r="U86" s="144">
        <v>4.4000000000000004</v>
      </c>
      <c r="V86" s="144">
        <v>4.4000000000000004</v>
      </c>
      <c r="W86" s="144">
        <v>4.4000000000000004</v>
      </c>
      <c r="X86" s="144">
        <v>4.4000000000000004</v>
      </c>
      <c r="Y86" s="144">
        <v>4.4000000000000004</v>
      </c>
      <c r="Z86" s="144">
        <v>4.4000000000000004</v>
      </c>
      <c r="AA86" s="58">
        <v>4.4000000000000004</v>
      </c>
      <c r="AB86" s="58">
        <v>0.7</v>
      </c>
      <c r="AC86" s="10">
        <v>1.7</v>
      </c>
      <c r="AD86" s="10">
        <v>1.7</v>
      </c>
      <c r="AE86" s="10">
        <v>1.7</v>
      </c>
      <c r="AF86" s="10">
        <v>1.7</v>
      </c>
      <c r="AG86" s="10">
        <v>1.7</v>
      </c>
      <c r="AH86" s="10">
        <v>1.7</v>
      </c>
      <c r="AI86" s="10">
        <v>1.52</v>
      </c>
      <c r="AJ86" s="10">
        <v>1.52</v>
      </c>
      <c r="AK86" s="10">
        <v>1.52</v>
      </c>
      <c r="AL86" s="10">
        <v>1.52</v>
      </c>
      <c r="AM86" s="10">
        <v>1.52</v>
      </c>
      <c r="AN86" s="149">
        <v>1.52</v>
      </c>
      <c r="AO86" s="5">
        <v>14230</v>
      </c>
      <c r="AP86" s="118">
        <f t="shared" si="1"/>
        <v>24191</v>
      </c>
      <c r="AQ86" s="5">
        <v>14003</v>
      </c>
      <c r="AR86" s="118">
        <f t="shared" ref="AR86:AR148" si="29">AD86*AQ86</f>
        <v>23805.1</v>
      </c>
      <c r="AS86" s="5">
        <v>18760</v>
      </c>
      <c r="AT86" s="127">
        <f t="shared" si="27"/>
        <v>31892</v>
      </c>
      <c r="AU86" s="5">
        <v>23314</v>
      </c>
      <c r="AV86" s="118">
        <f t="shared" si="4"/>
        <v>39633.799999999996</v>
      </c>
      <c r="AW86" s="5">
        <v>13985</v>
      </c>
      <c r="AX86" s="118">
        <f t="shared" si="5"/>
        <v>23774.5</v>
      </c>
      <c r="AY86" s="5">
        <v>25259</v>
      </c>
      <c r="AZ86" s="127">
        <f t="shared" si="28"/>
        <v>42940.299999999996</v>
      </c>
      <c r="BA86" s="105">
        <v>26618</v>
      </c>
      <c r="BB86" s="118">
        <f t="shared" si="19"/>
        <v>40459.360000000001</v>
      </c>
      <c r="BC86" s="105">
        <v>20540</v>
      </c>
      <c r="BD86" s="118">
        <f t="shared" si="20"/>
        <v>31220.799999999999</v>
      </c>
      <c r="BE86" s="5">
        <v>14800</v>
      </c>
      <c r="BF86" s="127">
        <f t="shared" si="21"/>
        <v>22496</v>
      </c>
      <c r="BG86" s="105">
        <v>17985</v>
      </c>
      <c r="BH86" s="118">
        <f t="shared" si="22"/>
        <v>27337.200000000001</v>
      </c>
      <c r="BI86" s="5">
        <v>14260</v>
      </c>
      <c r="BJ86" s="118">
        <f t="shared" si="23"/>
        <v>21675.200000000001</v>
      </c>
      <c r="BK86" s="5">
        <v>27720</v>
      </c>
      <c r="BL86" s="127">
        <f t="shared" si="24"/>
        <v>42134.400000000001</v>
      </c>
    </row>
    <row r="87" spans="1:65">
      <c r="A87" s="112" t="s">
        <v>259</v>
      </c>
      <c r="B87" s="182" t="s">
        <v>267</v>
      </c>
      <c r="C87" s="66" t="s">
        <v>175</v>
      </c>
      <c r="D87" s="287"/>
      <c r="E87" s="103" t="s">
        <v>176</v>
      </c>
      <c r="F87" s="281"/>
      <c r="G87" s="71" t="s">
        <v>202</v>
      </c>
      <c r="H87" s="70" t="s">
        <v>271</v>
      </c>
      <c r="I87" s="70" t="s">
        <v>180</v>
      </c>
      <c r="J87" s="71" t="s">
        <v>272</v>
      </c>
      <c r="K87" s="70" t="s">
        <v>390</v>
      </c>
      <c r="L87" s="69" t="s">
        <v>185</v>
      </c>
      <c r="M87" s="180" t="s">
        <v>186</v>
      </c>
      <c r="N87" s="68">
        <v>4.45</v>
      </c>
      <c r="O87" s="58">
        <v>6.4</v>
      </c>
      <c r="P87" s="144">
        <v>6.4</v>
      </c>
      <c r="Q87" s="144">
        <v>6.4</v>
      </c>
      <c r="R87" s="144">
        <v>6.4</v>
      </c>
      <c r="S87" s="144">
        <v>6.4</v>
      </c>
      <c r="T87" s="144">
        <v>6.4</v>
      </c>
      <c r="U87" s="144">
        <v>6.4</v>
      </c>
      <c r="V87" s="144">
        <v>6.4</v>
      </c>
      <c r="W87" s="144">
        <v>6.4</v>
      </c>
      <c r="X87" s="144">
        <v>6.4</v>
      </c>
      <c r="Y87" s="144">
        <v>6.4</v>
      </c>
      <c r="Z87" s="144">
        <v>6.4</v>
      </c>
      <c r="AA87" s="58">
        <v>6.4</v>
      </c>
      <c r="AB87" s="58">
        <v>1</v>
      </c>
      <c r="AC87" s="10">
        <v>1.7</v>
      </c>
      <c r="AD87" s="10">
        <v>1.7</v>
      </c>
      <c r="AE87" s="10">
        <v>1.7</v>
      </c>
      <c r="AF87" s="10">
        <v>1.7</v>
      </c>
      <c r="AG87" s="10">
        <v>1.7</v>
      </c>
      <c r="AH87" s="10">
        <v>1.7</v>
      </c>
      <c r="AI87" s="10">
        <v>1.97</v>
      </c>
      <c r="AJ87" s="10">
        <v>1.97</v>
      </c>
      <c r="AK87" s="10">
        <v>1.97</v>
      </c>
      <c r="AL87" s="10">
        <v>1.97</v>
      </c>
      <c r="AM87" s="10">
        <v>1.97</v>
      </c>
      <c r="AN87" s="149">
        <v>1.97</v>
      </c>
      <c r="AO87" s="5">
        <v>0</v>
      </c>
      <c r="AP87" s="118">
        <f t="shared" si="1"/>
        <v>0</v>
      </c>
      <c r="AQ87" s="5">
        <v>0</v>
      </c>
      <c r="AR87" s="118">
        <f t="shared" si="29"/>
        <v>0</v>
      </c>
      <c r="AS87" s="5">
        <v>0</v>
      </c>
      <c r="AT87" s="127">
        <f t="shared" si="27"/>
        <v>0</v>
      </c>
      <c r="AU87" s="5">
        <v>0</v>
      </c>
      <c r="AV87" s="118">
        <f t="shared" si="4"/>
        <v>0</v>
      </c>
      <c r="AW87" s="5">
        <v>0</v>
      </c>
      <c r="AX87" s="118">
        <f t="shared" si="5"/>
        <v>0</v>
      </c>
      <c r="AY87" s="5">
        <v>0</v>
      </c>
      <c r="AZ87" s="127">
        <f t="shared" si="28"/>
        <v>0</v>
      </c>
      <c r="BA87" s="105">
        <v>0</v>
      </c>
      <c r="BB87" s="118">
        <f t="shared" si="19"/>
        <v>0</v>
      </c>
      <c r="BC87" s="105">
        <v>0</v>
      </c>
      <c r="BD87" s="118">
        <f t="shared" si="20"/>
        <v>0</v>
      </c>
      <c r="BE87" s="5">
        <v>0</v>
      </c>
      <c r="BF87" s="127">
        <f t="shared" si="21"/>
        <v>0</v>
      </c>
      <c r="BG87" s="105">
        <v>0</v>
      </c>
      <c r="BH87" s="118">
        <f t="shared" si="22"/>
        <v>0</v>
      </c>
      <c r="BI87" s="5">
        <v>0</v>
      </c>
      <c r="BJ87" s="118">
        <f t="shared" si="23"/>
        <v>0</v>
      </c>
      <c r="BK87" s="5">
        <v>0</v>
      </c>
      <c r="BL87" s="127">
        <f t="shared" si="24"/>
        <v>0</v>
      </c>
    </row>
    <row r="88" spans="1:65">
      <c r="A88" s="112" t="s">
        <v>259</v>
      </c>
      <c r="B88" s="182" t="s">
        <v>267</v>
      </c>
      <c r="C88" s="66" t="s">
        <v>175</v>
      </c>
      <c r="D88" s="287"/>
      <c r="E88" s="103" t="s">
        <v>176</v>
      </c>
      <c r="F88" s="281"/>
      <c r="G88" s="71" t="s">
        <v>178</v>
      </c>
      <c r="H88" s="70" t="s">
        <v>271</v>
      </c>
      <c r="I88" s="70" t="s">
        <v>184</v>
      </c>
      <c r="J88" s="71" t="s">
        <v>272</v>
      </c>
      <c r="K88" s="70" t="s">
        <v>391</v>
      </c>
      <c r="L88" s="69" t="s">
        <v>185</v>
      </c>
      <c r="M88" s="180" t="s">
        <v>186</v>
      </c>
      <c r="N88" s="68">
        <v>8.6999999999999993</v>
      </c>
      <c r="O88" s="58">
        <v>14.3</v>
      </c>
      <c r="P88" s="144">
        <v>14.3</v>
      </c>
      <c r="Q88" s="144">
        <v>14.3</v>
      </c>
      <c r="R88" s="144">
        <v>14.3</v>
      </c>
      <c r="S88" s="144">
        <v>14.3</v>
      </c>
      <c r="T88" s="144">
        <v>14.3</v>
      </c>
      <c r="U88" s="144">
        <v>14.3</v>
      </c>
      <c r="V88" s="144">
        <v>12.5</v>
      </c>
      <c r="W88" s="144">
        <v>12.5</v>
      </c>
      <c r="X88" s="144">
        <v>12.5</v>
      </c>
      <c r="Y88" s="144">
        <v>12.5</v>
      </c>
      <c r="Z88" s="144">
        <v>12.5</v>
      </c>
      <c r="AA88" s="58">
        <v>12.5</v>
      </c>
      <c r="AB88" s="58">
        <v>2.5</v>
      </c>
      <c r="AC88" s="10">
        <v>4</v>
      </c>
      <c r="AD88" s="10">
        <v>4</v>
      </c>
      <c r="AE88" s="10">
        <v>4</v>
      </c>
      <c r="AF88" s="10">
        <v>4</v>
      </c>
      <c r="AG88" s="10">
        <v>4</v>
      </c>
      <c r="AH88" s="10">
        <v>4</v>
      </c>
      <c r="AI88" s="10">
        <v>2.2999999999999998</v>
      </c>
      <c r="AJ88" s="10">
        <v>2.2999999999999998</v>
      </c>
      <c r="AK88" s="10">
        <v>2.2999999999999998</v>
      </c>
      <c r="AL88" s="10">
        <v>2.2999999999999998</v>
      </c>
      <c r="AM88" s="10">
        <v>2.2999999999999998</v>
      </c>
      <c r="AN88" s="149">
        <v>2.2999999999999998</v>
      </c>
      <c r="AO88" s="5">
        <v>720</v>
      </c>
      <c r="AP88" s="118">
        <f t="shared" si="1"/>
        <v>2880</v>
      </c>
      <c r="AQ88" s="5">
        <v>300</v>
      </c>
      <c r="AR88" s="118">
        <f t="shared" si="29"/>
        <v>1200</v>
      </c>
      <c r="AS88" s="5">
        <v>2080</v>
      </c>
      <c r="AT88" s="127">
        <f t="shared" si="27"/>
        <v>8320</v>
      </c>
      <c r="AU88" s="5">
        <v>760</v>
      </c>
      <c r="AV88" s="118">
        <f t="shared" si="4"/>
        <v>3040</v>
      </c>
      <c r="AW88" s="5">
        <v>240</v>
      </c>
      <c r="AX88" s="118">
        <f t="shared" si="5"/>
        <v>960</v>
      </c>
      <c r="AY88" s="5">
        <v>600</v>
      </c>
      <c r="AZ88" s="127">
        <f t="shared" si="28"/>
        <v>2400</v>
      </c>
      <c r="BA88" s="105">
        <v>0</v>
      </c>
      <c r="BB88" s="118">
        <f t="shared" si="19"/>
        <v>0</v>
      </c>
      <c r="BC88" s="105">
        <v>0</v>
      </c>
      <c r="BD88" s="118">
        <f t="shared" si="20"/>
        <v>0</v>
      </c>
      <c r="BE88" s="5">
        <v>0</v>
      </c>
      <c r="BF88" s="127">
        <f t="shared" si="21"/>
        <v>0</v>
      </c>
      <c r="BG88" s="105">
        <v>0</v>
      </c>
      <c r="BH88" s="118">
        <f t="shared" si="22"/>
        <v>0</v>
      </c>
      <c r="BI88" s="5">
        <v>0</v>
      </c>
      <c r="BJ88" s="118">
        <f t="shared" si="23"/>
        <v>0</v>
      </c>
      <c r="BK88" s="5">
        <v>0</v>
      </c>
      <c r="BL88" s="127">
        <f t="shared" si="24"/>
        <v>0</v>
      </c>
    </row>
    <row r="89" spans="1:65">
      <c r="A89" s="112" t="s">
        <v>259</v>
      </c>
      <c r="B89" s="182" t="s">
        <v>267</v>
      </c>
      <c r="C89" s="66" t="s">
        <v>175</v>
      </c>
      <c r="D89" s="287"/>
      <c r="E89" s="103" t="s">
        <v>176</v>
      </c>
      <c r="F89" s="281"/>
      <c r="G89" s="71" t="s">
        <v>202</v>
      </c>
      <c r="H89" s="70" t="s">
        <v>271</v>
      </c>
      <c r="I89" s="70" t="s">
        <v>184</v>
      </c>
      <c r="J89" s="71" t="s">
        <v>272</v>
      </c>
      <c r="K89" s="70" t="s">
        <v>392</v>
      </c>
      <c r="L89" s="69" t="s">
        <v>185</v>
      </c>
      <c r="M89" s="68" t="s">
        <v>186</v>
      </c>
      <c r="N89" s="68">
        <v>8.6999999999999993</v>
      </c>
      <c r="O89" s="68">
        <v>15.2</v>
      </c>
      <c r="P89" s="144">
        <v>15.2</v>
      </c>
      <c r="Q89" s="144">
        <v>15.2</v>
      </c>
      <c r="R89" s="144">
        <v>15.2</v>
      </c>
      <c r="S89" s="144">
        <v>15.2</v>
      </c>
      <c r="T89" s="144">
        <v>15.2</v>
      </c>
      <c r="U89" s="144">
        <v>15.2</v>
      </c>
      <c r="V89" s="144">
        <v>13.5</v>
      </c>
      <c r="W89" s="144">
        <v>13.5</v>
      </c>
      <c r="X89" s="144">
        <v>13.5</v>
      </c>
      <c r="Y89" s="144">
        <v>13.5</v>
      </c>
      <c r="Z89" s="144">
        <v>13.5</v>
      </c>
      <c r="AA89" s="58">
        <v>13.5</v>
      </c>
      <c r="AB89" s="58">
        <v>2.5</v>
      </c>
      <c r="AC89" s="10">
        <v>4</v>
      </c>
      <c r="AD89" s="10">
        <v>4</v>
      </c>
      <c r="AE89" s="10">
        <v>4</v>
      </c>
      <c r="AF89" s="10">
        <v>4</v>
      </c>
      <c r="AG89" s="10">
        <v>4</v>
      </c>
      <c r="AH89" s="10">
        <v>4</v>
      </c>
      <c r="AI89" s="10">
        <v>4.5199999999999996</v>
      </c>
      <c r="AJ89" s="10">
        <v>4.5199999999999996</v>
      </c>
      <c r="AK89" s="10">
        <v>4.5199999999999996</v>
      </c>
      <c r="AL89" s="10">
        <v>4.5199999999999996</v>
      </c>
      <c r="AM89" s="10">
        <v>4.5199999999999996</v>
      </c>
      <c r="AN89" s="149">
        <v>4.5199999999999996</v>
      </c>
      <c r="AO89" s="5">
        <v>3074</v>
      </c>
      <c r="AP89" s="118">
        <f t="shared" si="1"/>
        <v>12296</v>
      </c>
      <c r="AQ89" s="5">
        <v>2162</v>
      </c>
      <c r="AR89" s="118">
        <f t="shared" si="29"/>
        <v>8648</v>
      </c>
      <c r="AS89" s="5">
        <v>3560</v>
      </c>
      <c r="AT89" s="127">
        <f t="shared" si="27"/>
        <v>14240</v>
      </c>
      <c r="AU89" s="5">
        <v>0</v>
      </c>
      <c r="AV89" s="118">
        <f t="shared" si="4"/>
        <v>0</v>
      </c>
      <c r="AW89" s="5">
        <v>8044</v>
      </c>
      <c r="AX89" s="118">
        <f t="shared" si="5"/>
        <v>32176</v>
      </c>
      <c r="AY89" s="5">
        <v>5566</v>
      </c>
      <c r="AZ89" s="127">
        <f t="shared" si="28"/>
        <v>22264</v>
      </c>
      <c r="BA89" s="105">
        <v>3429</v>
      </c>
      <c r="BB89" s="118">
        <f t="shared" si="19"/>
        <v>15499.079999999998</v>
      </c>
      <c r="BC89" s="105">
        <v>5800</v>
      </c>
      <c r="BD89" s="118">
        <f t="shared" si="20"/>
        <v>26215.999999999996</v>
      </c>
      <c r="BE89" s="5">
        <v>2160</v>
      </c>
      <c r="BF89" s="127">
        <f t="shared" si="21"/>
        <v>9763.1999999999989</v>
      </c>
      <c r="BG89" s="105">
        <v>3105</v>
      </c>
      <c r="BH89" s="118">
        <f t="shared" si="22"/>
        <v>14034.599999999999</v>
      </c>
      <c r="BI89" s="5">
        <v>2011</v>
      </c>
      <c r="BJ89" s="118">
        <f t="shared" si="23"/>
        <v>9089.7199999999993</v>
      </c>
      <c r="BK89" s="5">
        <v>3100</v>
      </c>
      <c r="BL89" s="127">
        <f t="shared" si="24"/>
        <v>14011.999999999998</v>
      </c>
    </row>
    <row r="90" spans="1:65">
      <c r="A90" s="112" t="s">
        <v>259</v>
      </c>
      <c r="B90" s="106" t="s">
        <v>267</v>
      </c>
      <c r="C90" s="66" t="s">
        <v>175</v>
      </c>
      <c r="D90" s="287"/>
      <c r="E90" s="103" t="s">
        <v>176</v>
      </c>
      <c r="F90" s="281"/>
      <c r="G90" s="71" t="s">
        <v>202</v>
      </c>
      <c r="H90" s="70" t="s">
        <v>276</v>
      </c>
      <c r="I90" s="70" t="s">
        <v>180</v>
      </c>
      <c r="J90" s="71" t="s">
        <v>193</v>
      </c>
      <c r="K90" s="70" t="s">
        <v>181</v>
      </c>
      <c r="L90" s="69" t="s">
        <v>185</v>
      </c>
      <c r="M90" s="68" t="s">
        <v>204</v>
      </c>
      <c r="N90" s="68">
        <v>4.45</v>
      </c>
      <c r="O90" s="68">
        <v>6.65</v>
      </c>
      <c r="P90" s="144">
        <v>6.65</v>
      </c>
      <c r="Q90" s="144">
        <v>6.65</v>
      </c>
      <c r="R90" s="144">
        <v>6.65</v>
      </c>
      <c r="S90" s="144">
        <v>6.65</v>
      </c>
      <c r="T90" s="144">
        <v>6.65</v>
      </c>
      <c r="U90" s="144">
        <v>6.65</v>
      </c>
      <c r="V90" s="144">
        <v>6.3</v>
      </c>
      <c r="W90" s="144">
        <v>6.3</v>
      </c>
      <c r="X90" s="144">
        <v>6.3</v>
      </c>
      <c r="Y90" s="144">
        <v>6.3</v>
      </c>
      <c r="Z90" s="144">
        <v>6.3</v>
      </c>
      <c r="AA90" s="58">
        <v>6.3</v>
      </c>
      <c r="AB90" s="58">
        <v>0.7</v>
      </c>
      <c r="AC90" s="10">
        <v>1</v>
      </c>
      <c r="AD90" s="10">
        <v>1</v>
      </c>
      <c r="AE90" s="10">
        <v>1</v>
      </c>
      <c r="AF90" s="10">
        <v>1</v>
      </c>
      <c r="AG90" s="10">
        <v>1</v>
      </c>
      <c r="AH90" s="10">
        <v>1</v>
      </c>
      <c r="AI90" s="10">
        <v>1.87</v>
      </c>
      <c r="AJ90" s="10">
        <v>1.87</v>
      </c>
      <c r="AK90" s="10">
        <v>1.87</v>
      </c>
      <c r="AL90" s="10">
        <v>1.87</v>
      </c>
      <c r="AM90" s="10">
        <v>1.87</v>
      </c>
      <c r="AN90" s="149">
        <v>1.87</v>
      </c>
      <c r="AO90" s="5">
        <v>3608</v>
      </c>
      <c r="AP90" s="118">
        <f t="shared" si="1"/>
        <v>3608</v>
      </c>
      <c r="AQ90" s="5">
        <v>3020</v>
      </c>
      <c r="AR90" s="118">
        <f t="shared" si="29"/>
        <v>3020</v>
      </c>
      <c r="AS90" s="5">
        <v>2237</v>
      </c>
      <c r="AT90" s="127">
        <f t="shared" si="27"/>
        <v>2237</v>
      </c>
      <c r="AU90" s="5">
        <v>137</v>
      </c>
      <c r="AV90" s="118">
        <f t="shared" si="4"/>
        <v>137</v>
      </c>
      <c r="AW90" s="5">
        <v>3240</v>
      </c>
      <c r="AX90" s="118">
        <f t="shared" si="5"/>
        <v>3240</v>
      </c>
      <c r="AY90" s="5">
        <v>0</v>
      </c>
      <c r="AZ90" s="127">
        <f t="shared" si="28"/>
        <v>0</v>
      </c>
      <c r="BA90" s="105">
        <v>1092</v>
      </c>
      <c r="BB90" s="118">
        <f t="shared" si="19"/>
        <v>2042.0400000000002</v>
      </c>
      <c r="BC90" s="105">
        <v>40</v>
      </c>
      <c r="BD90" s="118">
        <f t="shared" si="20"/>
        <v>74.800000000000011</v>
      </c>
      <c r="BE90" s="5">
        <v>80</v>
      </c>
      <c r="BF90" s="127">
        <f t="shared" si="21"/>
        <v>149.60000000000002</v>
      </c>
      <c r="BG90" s="105">
        <v>4877</v>
      </c>
      <c r="BH90" s="118">
        <f t="shared" si="22"/>
        <v>9119.99</v>
      </c>
      <c r="BI90" s="5">
        <v>8520</v>
      </c>
      <c r="BJ90" s="118">
        <f t="shared" si="23"/>
        <v>15932.400000000001</v>
      </c>
      <c r="BK90" s="5">
        <v>976</v>
      </c>
      <c r="BL90" s="127">
        <f t="shared" si="24"/>
        <v>1825.1200000000001</v>
      </c>
    </row>
    <row r="91" spans="1:65">
      <c r="A91" s="112" t="s">
        <v>259</v>
      </c>
      <c r="B91" s="106" t="s">
        <v>267</v>
      </c>
      <c r="C91" s="66" t="s">
        <v>175</v>
      </c>
      <c r="D91" s="287"/>
      <c r="E91" s="103" t="s">
        <v>176</v>
      </c>
      <c r="F91" s="281"/>
      <c r="G91" s="71" t="s">
        <v>202</v>
      </c>
      <c r="H91" s="70" t="s">
        <v>276</v>
      </c>
      <c r="I91" s="70" t="s">
        <v>184</v>
      </c>
      <c r="J91" s="71" t="s">
        <v>193</v>
      </c>
      <c r="K91" s="70" t="s">
        <v>393</v>
      </c>
      <c r="L91" s="69" t="s">
        <v>185</v>
      </c>
      <c r="M91" s="68" t="s">
        <v>204</v>
      </c>
      <c r="N91" s="68">
        <v>8.6999999999999993</v>
      </c>
      <c r="O91" s="68">
        <v>14.3</v>
      </c>
      <c r="P91" s="144">
        <v>14.3</v>
      </c>
      <c r="Q91" s="144">
        <v>14.3</v>
      </c>
      <c r="R91" s="144">
        <v>14.3</v>
      </c>
      <c r="S91" s="144">
        <v>14.3</v>
      </c>
      <c r="T91" s="144">
        <v>14.3</v>
      </c>
      <c r="U91" s="144">
        <v>14.3</v>
      </c>
      <c r="V91" s="144">
        <v>12.5</v>
      </c>
      <c r="W91" s="144">
        <v>12.5</v>
      </c>
      <c r="X91" s="144">
        <v>12.5</v>
      </c>
      <c r="Y91" s="144">
        <v>12.5</v>
      </c>
      <c r="Z91" s="144">
        <v>12.5</v>
      </c>
      <c r="AA91" s="58">
        <v>12.5</v>
      </c>
      <c r="AB91" s="58">
        <v>1.5</v>
      </c>
      <c r="AC91" s="10">
        <v>2.5</v>
      </c>
      <c r="AD91" s="10">
        <v>2.5</v>
      </c>
      <c r="AE91" s="10">
        <v>2.5</v>
      </c>
      <c r="AF91" s="10">
        <v>2.5</v>
      </c>
      <c r="AG91" s="10">
        <v>2.5</v>
      </c>
      <c r="AH91" s="10">
        <v>2.5</v>
      </c>
      <c r="AI91" s="10">
        <v>4.5199999999999996</v>
      </c>
      <c r="AJ91" s="10">
        <v>4.5199999999999996</v>
      </c>
      <c r="AK91" s="10">
        <v>4.5199999999999996</v>
      </c>
      <c r="AL91" s="10">
        <v>4.5199999999999996</v>
      </c>
      <c r="AM91" s="10">
        <v>4.5199999999999996</v>
      </c>
      <c r="AN91" s="149">
        <v>4.5199999999999996</v>
      </c>
      <c r="AO91" s="5">
        <v>882</v>
      </c>
      <c r="AP91" s="118">
        <f t="shared" si="1"/>
        <v>2205</v>
      </c>
      <c r="AQ91" s="5">
        <v>1896</v>
      </c>
      <c r="AR91" s="118">
        <f t="shared" si="29"/>
        <v>4740</v>
      </c>
      <c r="AS91" s="5">
        <v>0</v>
      </c>
      <c r="AT91" s="127">
        <f t="shared" si="27"/>
        <v>0</v>
      </c>
      <c r="AU91" s="5">
        <v>0</v>
      </c>
      <c r="AV91" s="118">
        <f t="shared" si="4"/>
        <v>0</v>
      </c>
      <c r="AW91" s="5">
        <v>0</v>
      </c>
      <c r="AX91" s="118">
        <f t="shared" si="5"/>
        <v>0</v>
      </c>
      <c r="AY91" s="5">
        <v>0</v>
      </c>
      <c r="AZ91" s="127">
        <f t="shared" si="28"/>
        <v>0</v>
      </c>
      <c r="BA91" s="105">
        <v>0</v>
      </c>
      <c r="BB91" s="118">
        <f t="shared" si="19"/>
        <v>0</v>
      </c>
      <c r="BC91" s="105">
        <v>480</v>
      </c>
      <c r="BD91" s="118">
        <f t="shared" si="20"/>
        <v>2169.6</v>
      </c>
      <c r="BE91" s="5">
        <v>0</v>
      </c>
      <c r="BF91" s="127">
        <f t="shared" si="21"/>
        <v>0</v>
      </c>
      <c r="BG91" s="105">
        <v>0</v>
      </c>
      <c r="BH91" s="118">
        <f t="shared" si="22"/>
        <v>0</v>
      </c>
      <c r="BI91" s="5">
        <v>0</v>
      </c>
      <c r="BJ91" s="118">
        <f t="shared" si="23"/>
        <v>0</v>
      </c>
      <c r="BK91" s="5">
        <v>0</v>
      </c>
      <c r="BL91" s="127">
        <f t="shared" si="24"/>
        <v>0</v>
      </c>
    </row>
    <row r="92" spans="1:65">
      <c r="A92" s="112" t="s">
        <v>259</v>
      </c>
      <c r="B92" s="106" t="s">
        <v>267</v>
      </c>
      <c r="C92" s="66" t="s">
        <v>175</v>
      </c>
      <c r="D92" s="287"/>
      <c r="E92" s="103" t="s">
        <v>176</v>
      </c>
      <c r="F92" s="281"/>
      <c r="G92" s="71" t="s">
        <v>202</v>
      </c>
      <c r="H92" s="70" t="s">
        <v>276</v>
      </c>
      <c r="I92" s="70" t="s">
        <v>180</v>
      </c>
      <c r="J92" s="71" t="s">
        <v>193</v>
      </c>
      <c r="K92" s="70" t="s">
        <v>228</v>
      </c>
      <c r="L92" s="69" t="s">
        <v>185</v>
      </c>
      <c r="M92" s="68" t="s">
        <v>204</v>
      </c>
      <c r="N92" s="68">
        <v>2.9</v>
      </c>
      <c r="O92" s="68">
        <v>4.6500000000000004</v>
      </c>
      <c r="P92" s="144">
        <v>4.6500000000000004</v>
      </c>
      <c r="Q92" s="144">
        <v>4.6500000000000004</v>
      </c>
      <c r="R92" s="144">
        <v>4.6500000000000004</v>
      </c>
      <c r="S92" s="144">
        <v>4.6500000000000004</v>
      </c>
      <c r="T92" s="144">
        <v>4.6500000000000004</v>
      </c>
      <c r="U92" s="144">
        <v>4.6500000000000004</v>
      </c>
      <c r="V92" s="144">
        <v>4.25</v>
      </c>
      <c r="W92" s="144">
        <v>4.25</v>
      </c>
      <c r="X92" s="144">
        <v>4.25</v>
      </c>
      <c r="Y92" s="144">
        <v>4.25</v>
      </c>
      <c r="Z92" s="144">
        <v>4.25</v>
      </c>
      <c r="AA92" s="58">
        <v>4.25</v>
      </c>
      <c r="AB92" s="58">
        <v>0.5</v>
      </c>
      <c r="AC92" s="10">
        <v>1</v>
      </c>
      <c r="AD92" s="10">
        <v>1</v>
      </c>
      <c r="AE92" s="10">
        <v>1</v>
      </c>
      <c r="AF92" s="10">
        <v>1</v>
      </c>
      <c r="AG92" s="10">
        <v>1</v>
      </c>
      <c r="AH92" s="10">
        <v>1</v>
      </c>
      <c r="AI92" s="10">
        <v>1.37</v>
      </c>
      <c r="AJ92" s="10">
        <v>1.37</v>
      </c>
      <c r="AK92" s="10">
        <v>1.37</v>
      </c>
      <c r="AL92" s="10">
        <v>1.37</v>
      </c>
      <c r="AM92" s="10">
        <v>1.37</v>
      </c>
      <c r="AN92" s="149">
        <v>1.37</v>
      </c>
      <c r="AO92" s="5">
        <v>656</v>
      </c>
      <c r="AP92" s="118">
        <f t="shared" si="1"/>
        <v>656</v>
      </c>
      <c r="AQ92" s="5">
        <v>4127</v>
      </c>
      <c r="AR92" s="118">
        <f t="shared" si="29"/>
        <v>4127</v>
      </c>
      <c r="AS92" s="5">
        <v>720</v>
      </c>
      <c r="AT92" s="127">
        <f t="shared" si="27"/>
        <v>720</v>
      </c>
      <c r="AU92" s="5">
        <v>417</v>
      </c>
      <c r="AV92" s="118">
        <f t="shared" si="4"/>
        <v>417</v>
      </c>
      <c r="AW92" s="5">
        <v>3240</v>
      </c>
      <c r="AX92" s="118">
        <f t="shared" si="5"/>
        <v>3240</v>
      </c>
      <c r="AY92" s="5">
        <v>1379</v>
      </c>
      <c r="AZ92" s="127">
        <f t="shared" si="28"/>
        <v>1379</v>
      </c>
      <c r="BA92" s="105">
        <v>3038</v>
      </c>
      <c r="BB92" s="118">
        <f t="shared" si="19"/>
        <v>4162.0600000000004</v>
      </c>
      <c r="BC92" s="105">
        <v>3833</v>
      </c>
      <c r="BD92" s="118">
        <f t="shared" si="20"/>
        <v>5251.21</v>
      </c>
      <c r="BE92" s="5">
        <v>2319</v>
      </c>
      <c r="BF92" s="127">
        <f t="shared" si="21"/>
        <v>3177.03</v>
      </c>
      <c r="BG92" s="105">
        <v>2105</v>
      </c>
      <c r="BH92" s="118">
        <f t="shared" si="22"/>
        <v>2883.8500000000004</v>
      </c>
      <c r="BI92" s="5">
        <v>2800</v>
      </c>
      <c r="BJ92" s="118">
        <f t="shared" si="23"/>
        <v>3836.0000000000005</v>
      </c>
      <c r="BK92" s="5">
        <v>0</v>
      </c>
      <c r="BL92" s="127">
        <f t="shared" si="24"/>
        <v>0</v>
      </c>
    </row>
    <row r="93" spans="1:65">
      <c r="A93" s="112" t="s">
        <v>259</v>
      </c>
      <c r="B93" s="106" t="s">
        <v>267</v>
      </c>
      <c r="C93" s="66" t="s">
        <v>175</v>
      </c>
      <c r="D93" s="287"/>
      <c r="E93" s="103" t="s">
        <v>176</v>
      </c>
      <c r="F93" s="281"/>
      <c r="G93" s="71" t="s">
        <v>202</v>
      </c>
      <c r="H93" s="70" t="s">
        <v>276</v>
      </c>
      <c r="I93" s="70" t="s">
        <v>184</v>
      </c>
      <c r="J93" s="71" t="s">
        <v>193</v>
      </c>
      <c r="K93" s="70" t="s">
        <v>394</v>
      </c>
      <c r="L93" s="69" t="s">
        <v>185</v>
      </c>
      <c r="M93" s="68" t="s">
        <v>204</v>
      </c>
      <c r="N93" s="68">
        <v>9.25</v>
      </c>
      <c r="O93" s="68">
        <v>15.2</v>
      </c>
      <c r="P93" s="144">
        <v>15.2</v>
      </c>
      <c r="Q93" s="144">
        <v>15.2</v>
      </c>
      <c r="R93" s="144">
        <v>15.2</v>
      </c>
      <c r="S93" s="144">
        <v>15.2</v>
      </c>
      <c r="T93" s="144">
        <v>15.2</v>
      </c>
      <c r="U93" s="144">
        <v>15.2</v>
      </c>
      <c r="V93" s="144">
        <v>12.5</v>
      </c>
      <c r="W93" s="144">
        <v>12.5</v>
      </c>
      <c r="X93" s="144">
        <v>12.5</v>
      </c>
      <c r="Y93" s="144">
        <v>12.5</v>
      </c>
      <c r="Z93" s="144">
        <v>12.5</v>
      </c>
      <c r="AA93" s="58">
        <v>12.5</v>
      </c>
      <c r="AB93" s="58">
        <v>1.5</v>
      </c>
      <c r="AC93" s="10">
        <v>2.5</v>
      </c>
      <c r="AD93" s="10">
        <v>2.5</v>
      </c>
      <c r="AE93" s="10">
        <v>2.5</v>
      </c>
      <c r="AF93" s="10">
        <v>2.5</v>
      </c>
      <c r="AG93" s="10">
        <v>2.5</v>
      </c>
      <c r="AH93" s="10">
        <v>2.5</v>
      </c>
      <c r="AI93" s="10">
        <v>4.5199999999999996</v>
      </c>
      <c r="AJ93" s="10">
        <v>4.5199999999999996</v>
      </c>
      <c r="AK93" s="10">
        <v>4.5199999999999996</v>
      </c>
      <c r="AL93" s="10">
        <v>4.5199999999999996</v>
      </c>
      <c r="AM93" s="10">
        <v>4.5199999999999996</v>
      </c>
      <c r="AN93" s="149">
        <v>4.5199999999999996</v>
      </c>
      <c r="AO93" s="5">
        <v>0</v>
      </c>
      <c r="AP93" s="118">
        <f t="shared" si="1"/>
        <v>0</v>
      </c>
      <c r="AQ93" s="5">
        <v>672</v>
      </c>
      <c r="AR93" s="118">
        <f t="shared" si="29"/>
        <v>1680</v>
      </c>
      <c r="AS93" s="5">
        <v>2119</v>
      </c>
      <c r="AT93" s="127">
        <f t="shared" si="27"/>
        <v>5297.5</v>
      </c>
      <c r="AU93" s="5">
        <v>319</v>
      </c>
      <c r="AV93" s="118">
        <f t="shared" si="4"/>
        <v>797.5</v>
      </c>
      <c r="AW93" s="5">
        <v>0</v>
      </c>
      <c r="AX93" s="118">
        <f t="shared" si="5"/>
        <v>0</v>
      </c>
      <c r="AY93" s="5">
        <v>0</v>
      </c>
      <c r="AZ93" s="127">
        <f t="shared" si="28"/>
        <v>0</v>
      </c>
      <c r="BA93" s="105">
        <v>0</v>
      </c>
      <c r="BB93" s="118">
        <f t="shared" si="19"/>
        <v>0</v>
      </c>
      <c r="BC93" s="105">
        <v>0</v>
      </c>
      <c r="BD93" s="118">
        <f t="shared" si="20"/>
        <v>0</v>
      </c>
      <c r="BE93" s="5">
        <v>0</v>
      </c>
      <c r="BF93" s="127">
        <f t="shared" si="21"/>
        <v>0</v>
      </c>
      <c r="BG93" s="105">
        <v>0</v>
      </c>
      <c r="BH93" s="118">
        <f t="shared" si="22"/>
        <v>0</v>
      </c>
      <c r="BI93" s="5">
        <v>0</v>
      </c>
      <c r="BJ93" s="118">
        <f t="shared" si="23"/>
        <v>0</v>
      </c>
      <c r="BK93" s="5">
        <v>0</v>
      </c>
      <c r="BL93" s="127">
        <f t="shared" si="24"/>
        <v>0</v>
      </c>
    </row>
    <row r="94" spans="1:65">
      <c r="A94" s="112" t="s">
        <v>259</v>
      </c>
      <c r="B94" s="106" t="s">
        <v>267</v>
      </c>
      <c r="C94" s="66" t="s">
        <v>175</v>
      </c>
      <c r="D94" s="287"/>
      <c r="E94" s="103" t="s">
        <v>176</v>
      </c>
      <c r="F94" s="281"/>
      <c r="G94" s="71" t="s">
        <v>202</v>
      </c>
      <c r="H94" s="70" t="s">
        <v>276</v>
      </c>
      <c r="I94" s="70" t="s">
        <v>184</v>
      </c>
      <c r="J94" s="71" t="s">
        <v>193</v>
      </c>
      <c r="K94" s="70" t="s">
        <v>395</v>
      </c>
      <c r="L94" s="69" t="s">
        <v>185</v>
      </c>
      <c r="M94" s="68" t="s">
        <v>204</v>
      </c>
      <c r="N94" s="68">
        <v>9.25</v>
      </c>
      <c r="O94" s="68">
        <v>15.2</v>
      </c>
      <c r="P94" s="144">
        <v>15.2</v>
      </c>
      <c r="Q94" s="144">
        <v>15.2</v>
      </c>
      <c r="R94" s="144">
        <v>15.2</v>
      </c>
      <c r="S94" s="144">
        <v>15.2</v>
      </c>
      <c r="T94" s="144">
        <v>15.2</v>
      </c>
      <c r="U94" s="144">
        <v>15.2</v>
      </c>
      <c r="V94" s="144">
        <v>12.5</v>
      </c>
      <c r="W94" s="144">
        <v>12.5</v>
      </c>
      <c r="X94" s="144">
        <v>12.5</v>
      </c>
      <c r="Y94" s="144">
        <v>12.5</v>
      </c>
      <c r="Z94" s="144">
        <v>12.5</v>
      </c>
      <c r="AA94" s="58">
        <v>12.5</v>
      </c>
      <c r="AB94" s="58"/>
      <c r="AC94" s="10">
        <v>2.5</v>
      </c>
      <c r="AD94" s="10">
        <v>2.5</v>
      </c>
      <c r="AE94" s="10">
        <v>2.5</v>
      </c>
      <c r="AF94" s="10">
        <v>2.5</v>
      </c>
      <c r="AG94" s="10">
        <v>2.5</v>
      </c>
      <c r="AH94" s="10">
        <v>2.5</v>
      </c>
      <c r="AI94" s="10">
        <v>3.5</v>
      </c>
      <c r="AJ94" s="10">
        <v>3.5</v>
      </c>
      <c r="AK94" s="10">
        <v>3.5</v>
      </c>
      <c r="AL94" s="10">
        <v>3.5</v>
      </c>
      <c r="AM94" s="10">
        <v>3.5</v>
      </c>
      <c r="AN94" s="149">
        <v>3.5</v>
      </c>
      <c r="AP94" s="118"/>
      <c r="AR94" s="118"/>
      <c r="AT94" s="127"/>
      <c r="AU94" s="5"/>
      <c r="AV94" s="118"/>
      <c r="AW94" s="5"/>
      <c r="AX94" s="118">
        <f t="shared" si="5"/>
        <v>0</v>
      </c>
      <c r="AY94" s="5"/>
      <c r="AZ94" s="127">
        <f t="shared" si="28"/>
        <v>0</v>
      </c>
      <c r="BA94" s="105">
        <v>79</v>
      </c>
      <c r="BB94" s="118">
        <f t="shared" si="19"/>
        <v>276.5</v>
      </c>
      <c r="BC94" s="105">
        <v>0</v>
      </c>
      <c r="BD94" s="118">
        <f t="shared" si="20"/>
        <v>0</v>
      </c>
      <c r="BE94" s="5">
        <v>0</v>
      </c>
      <c r="BF94" s="127">
        <f t="shared" si="21"/>
        <v>0</v>
      </c>
      <c r="BG94" s="105">
        <v>0</v>
      </c>
      <c r="BH94" s="118">
        <f t="shared" si="22"/>
        <v>0</v>
      </c>
      <c r="BI94" s="5">
        <v>0</v>
      </c>
      <c r="BJ94" s="118">
        <f t="shared" si="23"/>
        <v>0</v>
      </c>
      <c r="BK94" s="5">
        <v>0</v>
      </c>
      <c r="BL94" s="127">
        <f t="shared" si="24"/>
        <v>0</v>
      </c>
    </row>
    <row r="95" spans="1:65">
      <c r="A95" s="112" t="s">
        <v>259</v>
      </c>
      <c r="B95" s="106" t="s">
        <v>267</v>
      </c>
      <c r="C95" s="66" t="s">
        <v>175</v>
      </c>
      <c r="D95" s="287"/>
      <c r="E95" s="103" t="s">
        <v>176</v>
      </c>
      <c r="F95" s="281"/>
      <c r="G95" s="71" t="s">
        <v>202</v>
      </c>
      <c r="H95" s="70" t="s">
        <v>276</v>
      </c>
      <c r="I95" s="70" t="s">
        <v>180</v>
      </c>
      <c r="J95" s="71" t="s">
        <v>193</v>
      </c>
      <c r="K95" s="70" t="s">
        <v>181</v>
      </c>
      <c r="L95" s="69" t="s">
        <v>387</v>
      </c>
      <c r="M95" s="68" t="s">
        <v>204</v>
      </c>
      <c r="N95" s="68">
        <v>4.45</v>
      </c>
      <c r="O95" s="68">
        <v>6.65</v>
      </c>
      <c r="P95" s="144">
        <v>6.65</v>
      </c>
      <c r="Q95" s="144">
        <v>6.65</v>
      </c>
      <c r="R95" s="144">
        <v>6.65</v>
      </c>
      <c r="S95" s="144">
        <v>6.65</v>
      </c>
      <c r="T95" s="144">
        <v>6.65</v>
      </c>
      <c r="U95" s="144">
        <v>6.65</v>
      </c>
      <c r="V95" s="144">
        <v>6.3</v>
      </c>
      <c r="W95" s="144">
        <v>6.3</v>
      </c>
      <c r="X95" s="144">
        <v>6.3</v>
      </c>
      <c r="Y95" s="144">
        <v>6.3</v>
      </c>
      <c r="Z95" s="144">
        <v>6.3</v>
      </c>
      <c r="AA95" s="58">
        <v>6.3</v>
      </c>
      <c r="AB95" s="58">
        <f>1-0.39</f>
        <v>0.61</v>
      </c>
      <c r="AC95" s="10">
        <v>0</v>
      </c>
      <c r="AD95" s="10">
        <v>0.61</v>
      </c>
      <c r="AE95" s="10">
        <v>0.61</v>
      </c>
      <c r="AF95" s="10">
        <v>0.61</v>
      </c>
      <c r="AG95" s="10">
        <v>1</v>
      </c>
      <c r="AH95" s="10">
        <v>1</v>
      </c>
      <c r="AI95" s="10">
        <v>1.87</v>
      </c>
      <c r="AJ95" s="10">
        <v>1.87</v>
      </c>
      <c r="AK95" s="10">
        <v>1.87</v>
      </c>
      <c r="AL95" s="10">
        <v>1.87</v>
      </c>
      <c r="AM95" s="10">
        <v>1.87</v>
      </c>
      <c r="AN95" s="149">
        <v>1.87</v>
      </c>
      <c r="AO95" s="5">
        <v>0</v>
      </c>
      <c r="AP95" s="118">
        <f t="shared" si="1"/>
        <v>0</v>
      </c>
      <c r="AQ95" s="5">
        <v>0</v>
      </c>
      <c r="AR95" s="118">
        <f t="shared" si="29"/>
        <v>0</v>
      </c>
      <c r="AS95" s="5">
        <v>0</v>
      </c>
      <c r="AT95" s="127">
        <f t="shared" si="27"/>
        <v>0</v>
      </c>
      <c r="AU95" s="5">
        <v>0</v>
      </c>
      <c r="AV95" s="118">
        <f t="shared" si="4"/>
        <v>0</v>
      </c>
      <c r="AW95" s="5">
        <v>2193</v>
      </c>
      <c r="AX95" s="118">
        <f t="shared" si="5"/>
        <v>2193</v>
      </c>
      <c r="AY95" s="5">
        <v>600</v>
      </c>
      <c r="AZ95" s="127">
        <f t="shared" si="28"/>
        <v>600</v>
      </c>
      <c r="BA95" s="105">
        <v>2316</v>
      </c>
      <c r="BB95" s="118">
        <f t="shared" si="19"/>
        <v>4330.92</v>
      </c>
      <c r="BC95" s="105">
        <v>516</v>
      </c>
      <c r="BD95" s="118">
        <f t="shared" si="20"/>
        <v>964.92000000000007</v>
      </c>
      <c r="BE95" s="5">
        <v>2000</v>
      </c>
      <c r="BF95" s="127">
        <f t="shared" si="21"/>
        <v>3740</v>
      </c>
      <c r="BG95" s="105">
        <v>4160</v>
      </c>
      <c r="BH95" s="118">
        <f t="shared" si="22"/>
        <v>7779.2000000000007</v>
      </c>
      <c r="BI95" s="5">
        <v>2198</v>
      </c>
      <c r="BJ95" s="118">
        <f t="shared" si="23"/>
        <v>4110.26</v>
      </c>
      <c r="BK95" s="5">
        <v>3040</v>
      </c>
      <c r="BL95" s="127">
        <f t="shared" si="24"/>
        <v>5684.8</v>
      </c>
    </row>
    <row r="96" spans="1:65">
      <c r="A96" s="112" t="s">
        <v>259</v>
      </c>
      <c r="B96" s="106" t="s">
        <v>267</v>
      </c>
      <c r="C96" s="66" t="s">
        <v>175</v>
      </c>
      <c r="D96" s="287"/>
      <c r="E96" s="103" t="s">
        <v>176</v>
      </c>
      <c r="F96" s="281"/>
      <c r="G96" s="71" t="s">
        <v>202</v>
      </c>
      <c r="H96" s="70" t="s">
        <v>276</v>
      </c>
      <c r="I96" s="70" t="s">
        <v>180</v>
      </c>
      <c r="J96" s="71" t="s">
        <v>193</v>
      </c>
      <c r="K96" s="70" t="s">
        <v>228</v>
      </c>
      <c r="L96" s="69" t="s">
        <v>387</v>
      </c>
      <c r="M96" s="68" t="s">
        <v>204</v>
      </c>
      <c r="N96" s="68">
        <v>2.9</v>
      </c>
      <c r="O96" s="68">
        <v>4.6500000000000004</v>
      </c>
      <c r="P96" s="144">
        <v>4.6500000000000004</v>
      </c>
      <c r="Q96" s="144">
        <v>4.6500000000000004</v>
      </c>
      <c r="R96" s="144">
        <v>4.6500000000000004</v>
      </c>
      <c r="S96" s="144">
        <v>4.6500000000000004</v>
      </c>
      <c r="T96" s="144">
        <v>4.6500000000000004</v>
      </c>
      <c r="U96" s="144">
        <v>4.6500000000000004</v>
      </c>
      <c r="V96" s="144">
        <v>4.25</v>
      </c>
      <c r="W96" s="144">
        <v>4.25</v>
      </c>
      <c r="X96" s="144">
        <v>4.25</v>
      </c>
      <c r="Y96" s="144">
        <v>4.25</v>
      </c>
      <c r="Z96" s="144">
        <v>4.25</v>
      </c>
      <c r="AA96" s="58">
        <v>4.25</v>
      </c>
      <c r="AB96" s="58">
        <f>1-0.39</f>
        <v>0.61</v>
      </c>
      <c r="AC96" s="10">
        <v>0</v>
      </c>
      <c r="AD96" s="10">
        <v>0.61</v>
      </c>
      <c r="AE96" s="10">
        <v>0.61</v>
      </c>
      <c r="AF96" s="10">
        <v>0.61</v>
      </c>
      <c r="AG96" s="10">
        <v>1</v>
      </c>
      <c r="AH96" s="10">
        <v>1</v>
      </c>
      <c r="AI96" s="10">
        <v>1.37</v>
      </c>
      <c r="AJ96" s="10">
        <v>1.37</v>
      </c>
      <c r="AK96" s="10">
        <v>1.37</v>
      </c>
      <c r="AL96" s="10">
        <v>1.37</v>
      </c>
      <c r="AM96" s="10">
        <v>1.37</v>
      </c>
      <c r="AN96" s="149">
        <v>1.37</v>
      </c>
      <c r="AO96" s="5">
        <v>0</v>
      </c>
      <c r="AP96" s="118">
        <f t="shared" si="1"/>
        <v>0</v>
      </c>
      <c r="AQ96" s="5">
        <v>0</v>
      </c>
      <c r="AR96" s="118">
        <f t="shared" si="29"/>
        <v>0</v>
      </c>
      <c r="AS96" s="5">
        <v>0</v>
      </c>
      <c r="AT96" s="127">
        <f t="shared" si="27"/>
        <v>0</v>
      </c>
      <c r="AU96" s="5">
        <v>0</v>
      </c>
      <c r="AV96" s="118">
        <f t="shared" si="4"/>
        <v>0</v>
      </c>
      <c r="AW96" s="5">
        <v>1800</v>
      </c>
      <c r="AX96" s="118">
        <f t="shared" si="5"/>
        <v>1800</v>
      </c>
      <c r="AY96" s="5">
        <v>840</v>
      </c>
      <c r="AZ96" s="127">
        <f t="shared" si="28"/>
        <v>840</v>
      </c>
      <c r="BA96" s="105">
        <v>880</v>
      </c>
      <c r="BB96" s="118">
        <f t="shared" si="19"/>
        <v>1205.6000000000001</v>
      </c>
      <c r="BC96" s="105">
        <v>5640</v>
      </c>
      <c r="BD96" s="118">
        <f t="shared" si="20"/>
        <v>7726.8</v>
      </c>
      <c r="BE96" s="5">
        <v>9379</v>
      </c>
      <c r="BF96" s="127">
        <f t="shared" si="21"/>
        <v>12849.230000000001</v>
      </c>
      <c r="BG96" s="105">
        <v>7897</v>
      </c>
      <c r="BH96" s="118">
        <f t="shared" si="22"/>
        <v>10818.890000000001</v>
      </c>
      <c r="BI96" s="5">
        <v>21076</v>
      </c>
      <c r="BJ96" s="118">
        <f t="shared" si="23"/>
        <v>28874.120000000003</v>
      </c>
      <c r="BK96" s="5">
        <v>7480</v>
      </c>
      <c r="BL96" s="127">
        <f t="shared" si="24"/>
        <v>10247.6</v>
      </c>
    </row>
    <row r="97" spans="1:64">
      <c r="A97" s="112" t="s">
        <v>259</v>
      </c>
      <c r="B97" s="106"/>
      <c r="C97" s="66" t="s">
        <v>175</v>
      </c>
      <c r="D97" s="287"/>
      <c r="E97" s="103" t="s">
        <v>176</v>
      </c>
      <c r="F97" s="280"/>
      <c r="G97" s="72"/>
      <c r="H97" s="54"/>
      <c r="I97" s="54"/>
      <c r="J97" s="55"/>
      <c r="K97" s="54"/>
      <c r="L97" s="53"/>
      <c r="M97" s="52"/>
      <c r="N97" s="52"/>
      <c r="O97" s="52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49"/>
      <c r="AB97" s="49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150"/>
      <c r="AO97" s="23"/>
      <c r="AP97" s="118"/>
      <c r="AQ97" s="23"/>
      <c r="AR97" s="118">
        <f t="shared" si="29"/>
        <v>0</v>
      </c>
      <c r="AS97" s="23"/>
      <c r="AT97" s="127">
        <f t="shared" si="27"/>
        <v>0</v>
      </c>
      <c r="AU97" s="23"/>
      <c r="AV97" s="118">
        <f t="shared" si="4"/>
        <v>0</v>
      </c>
      <c r="AW97" s="23"/>
      <c r="AX97" s="118"/>
      <c r="AY97" s="23"/>
      <c r="AZ97" s="127">
        <f t="shared" si="28"/>
        <v>0</v>
      </c>
      <c r="BA97" s="50"/>
      <c r="BB97" s="118">
        <f t="shared" si="19"/>
        <v>0</v>
      </c>
      <c r="BC97" s="50"/>
      <c r="BD97" s="118">
        <f t="shared" si="20"/>
        <v>0</v>
      </c>
      <c r="BE97" s="23"/>
      <c r="BF97" s="127">
        <f t="shared" si="21"/>
        <v>0</v>
      </c>
      <c r="BG97" s="50"/>
      <c r="BH97" s="118">
        <f t="shared" si="22"/>
        <v>0</v>
      </c>
      <c r="BI97" s="23"/>
      <c r="BJ97" s="118">
        <f t="shared" si="23"/>
        <v>0</v>
      </c>
      <c r="BK97" s="23"/>
      <c r="BL97" s="127">
        <f t="shared" si="24"/>
        <v>0</v>
      </c>
    </row>
    <row r="98" spans="1:64">
      <c r="A98" s="112" t="s">
        <v>259</v>
      </c>
      <c r="B98" s="106"/>
      <c r="C98" s="66" t="s">
        <v>175</v>
      </c>
      <c r="D98" s="287"/>
      <c r="E98" s="103" t="s">
        <v>365</v>
      </c>
      <c r="F98" s="279" t="s">
        <v>365</v>
      </c>
      <c r="G98" s="64"/>
      <c r="H98" s="63"/>
      <c r="I98" s="63"/>
      <c r="J98" s="64"/>
      <c r="K98" s="63"/>
      <c r="L98" s="62"/>
      <c r="M98" s="61"/>
      <c r="N98" s="61"/>
      <c r="O98" s="61"/>
      <c r="P98" s="154"/>
      <c r="Q98" s="154"/>
      <c r="R98" s="154"/>
      <c r="S98" s="154"/>
      <c r="T98" s="154"/>
      <c r="U98" s="154"/>
      <c r="V98" s="154"/>
      <c r="W98" s="154"/>
      <c r="X98" s="154"/>
      <c r="Y98" s="154"/>
      <c r="Z98" s="154"/>
      <c r="AA98" s="59"/>
      <c r="AB98" s="59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49"/>
      <c r="AP98" s="117">
        <f t="shared" si="1"/>
        <v>0</v>
      </c>
      <c r="AQ98" s="22"/>
      <c r="AR98" s="117">
        <f t="shared" si="29"/>
        <v>0</v>
      </c>
      <c r="AS98" s="22">
        <v>0</v>
      </c>
      <c r="AT98" s="126">
        <f t="shared" si="27"/>
        <v>0</v>
      </c>
      <c r="AU98" s="22">
        <v>0</v>
      </c>
      <c r="AV98" s="117">
        <f t="shared" si="4"/>
        <v>0</v>
      </c>
      <c r="AW98" s="22"/>
      <c r="AX98" s="117">
        <f t="shared" si="5"/>
        <v>0</v>
      </c>
      <c r="AY98" s="22"/>
      <c r="AZ98" s="126">
        <f t="shared" si="28"/>
        <v>0</v>
      </c>
      <c r="BA98" s="79">
        <v>0</v>
      </c>
      <c r="BB98" s="117">
        <f t="shared" si="19"/>
        <v>0</v>
      </c>
      <c r="BC98" s="79"/>
      <c r="BD98" s="117">
        <f t="shared" si="20"/>
        <v>0</v>
      </c>
      <c r="BE98" s="22"/>
      <c r="BF98" s="126">
        <f t="shared" si="21"/>
        <v>0</v>
      </c>
      <c r="BG98" s="79"/>
      <c r="BH98" s="117">
        <f t="shared" si="22"/>
        <v>0</v>
      </c>
      <c r="BI98" s="22"/>
      <c r="BJ98" s="117">
        <f t="shared" si="23"/>
        <v>0</v>
      </c>
      <c r="BK98" s="22">
        <v>0</v>
      </c>
      <c r="BL98" s="126">
        <f t="shared" si="24"/>
        <v>0</v>
      </c>
    </row>
    <row r="99" spans="1:64">
      <c r="A99" s="112" t="s">
        <v>259</v>
      </c>
      <c r="B99" s="106"/>
      <c r="C99" s="66" t="s">
        <v>175</v>
      </c>
      <c r="D99" s="287"/>
      <c r="E99" s="103" t="s">
        <v>365</v>
      </c>
      <c r="F99" s="280"/>
      <c r="G99" s="72"/>
      <c r="H99" s="54"/>
      <c r="I99" s="54"/>
      <c r="J99" s="55"/>
      <c r="K99" s="54"/>
      <c r="L99" s="53"/>
      <c r="M99" s="52"/>
      <c r="N99" s="52"/>
      <c r="O99" s="52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49"/>
      <c r="AB99" s="49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150"/>
      <c r="AO99" s="23"/>
      <c r="AP99" s="118">
        <f t="shared" si="1"/>
        <v>0</v>
      </c>
      <c r="AQ99" s="23"/>
      <c r="AR99" s="118">
        <f t="shared" si="29"/>
        <v>0</v>
      </c>
      <c r="AS99" s="23">
        <v>0</v>
      </c>
      <c r="AT99" s="127">
        <f t="shared" si="27"/>
        <v>0</v>
      </c>
      <c r="AU99" s="23">
        <v>0</v>
      </c>
      <c r="AV99" s="118">
        <f t="shared" si="4"/>
        <v>0</v>
      </c>
      <c r="AW99" s="23"/>
      <c r="AX99" s="118">
        <f t="shared" si="5"/>
        <v>0</v>
      </c>
      <c r="AY99" s="23"/>
      <c r="AZ99" s="127">
        <f t="shared" si="28"/>
        <v>0</v>
      </c>
      <c r="BA99" s="50">
        <v>0</v>
      </c>
      <c r="BB99" s="118">
        <f t="shared" si="19"/>
        <v>0</v>
      </c>
      <c r="BC99" s="50"/>
      <c r="BD99" s="118">
        <f t="shared" si="20"/>
        <v>0</v>
      </c>
      <c r="BE99" s="23"/>
      <c r="BF99" s="127">
        <f t="shared" si="21"/>
        <v>0</v>
      </c>
      <c r="BG99" s="50"/>
      <c r="BH99" s="118">
        <f t="shared" si="22"/>
        <v>0</v>
      </c>
      <c r="BI99" s="23"/>
      <c r="BJ99" s="118">
        <f t="shared" si="23"/>
        <v>0</v>
      </c>
      <c r="BK99" s="23">
        <v>0</v>
      </c>
      <c r="BL99" s="127">
        <f t="shared" si="24"/>
        <v>0</v>
      </c>
    </row>
    <row r="100" spans="1:64">
      <c r="A100" s="112" t="s">
        <v>259</v>
      </c>
      <c r="B100" s="106" t="s">
        <v>267</v>
      </c>
      <c r="C100" s="66" t="s">
        <v>175</v>
      </c>
      <c r="D100" s="287"/>
      <c r="E100" s="103" t="s">
        <v>176</v>
      </c>
      <c r="F100" s="282" t="s">
        <v>277</v>
      </c>
      <c r="G100" s="64" t="s">
        <v>187</v>
      </c>
      <c r="H100" s="63" t="s">
        <v>278</v>
      </c>
      <c r="I100" s="63" t="s">
        <v>180</v>
      </c>
      <c r="J100" s="64" t="s">
        <v>193</v>
      </c>
      <c r="K100" s="63" t="s">
        <v>396</v>
      </c>
      <c r="L100" s="62" t="s">
        <v>185</v>
      </c>
      <c r="M100" s="61" t="s">
        <v>204</v>
      </c>
      <c r="N100" s="61">
        <v>4.9000000000000004</v>
      </c>
      <c r="O100" s="61">
        <v>6.4</v>
      </c>
      <c r="P100" s="154">
        <v>6.4</v>
      </c>
      <c r="Q100" s="154">
        <v>6.4</v>
      </c>
      <c r="R100" s="154">
        <v>6.4</v>
      </c>
      <c r="S100" s="154">
        <v>6.4</v>
      </c>
      <c r="T100" s="154">
        <v>6.4</v>
      </c>
      <c r="U100" s="154">
        <v>6.4</v>
      </c>
      <c r="V100" s="154">
        <v>6.4</v>
      </c>
      <c r="W100" s="154">
        <v>6.4</v>
      </c>
      <c r="X100" s="154">
        <v>6.4</v>
      </c>
      <c r="Y100" s="154">
        <v>6.4</v>
      </c>
      <c r="Z100" s="154">
        <v>6.4</v>
      </c>
      <c r="AA100" s="59">
        <v>6.4</v>
      </c>
      <c r="AB100" s="59">
        <v>1.5</v>
      </c>
      <c r="AC100" s="10">
        <v>1.5</v>
      </c>
      <c r="AD100" s="10">
        <v>1.5</v>
      </c>
      <c r="AE100" s="10">
        <v>1.5</v>
      </c>
      <c r="AF100" s="10">
        <v>1.5</v>
      </c>
      <c r="AG100" s="10">
        <v>1.5</v>
      </c>
      <c r="AH100" s="10">
        <v>1.5</v>
      </c>
      <c r="AI100" s="10">
        <v>1.5</v>
      </c>
      <c r="AJ100" s="10">
        <v>1.5</v>
      </c>
      <c r="AK100" s="10">
        <v>1.5</v>
      </c>
      <c r="AL100" s="10">
        <v>1.5</v>
      </c>
      <c r="AM100" s="10">
        <v>1.5</v>
      </c>
      <c r="AN100" s="149">
        <v>1.5</v>
      </c>
      <c r="AO100" s="5">
        <v>11974</v>
      </c>
      <c r="AP100" s="117">
        <f t="shared" si="1"/>
        <v>17961</v>
      </c>
      <c r="AQ100" s="5">
        <v>14958</v>
      </c>
      <c r="AR100" s="117">
        <f t="shared" si="29"/>
        <v>22437</v>
      </c>
      <c r="AS100" s="5">
        <v>7008</v>
      </c>
      <c r="AT100" s="126">
        <f t="shared" si="27"/>
        <v>10512</v>
      </c>
      <c r="AU100" s="5">
        <v>9494</v>
      </c>
      <c r="AV100" s="117">
        <f t="shared" si="4"/>
        <v>14241</v>
      </c>
      <c r="AW100" s="5">
        <v>1032</v>
      </c>
      <c r="AX100" s="117">
        <f t="shared" si="5"/>
        <v>1548</v>
      </c>
      <c r="AY100" s="5">
        <v>5918</v>
      </c>
      <c r="AZ100" s="126">
        <f t="shared" si="28"/>
        <v>8877</v>
      </c>
      <c r="BA100" s="105">
        <v>7400</v>
      </c>
      <c r="BB100" s="117">
        <f t="shared" si="19"/>
        <v>11100</v>
      </c>
      <c r="BC100" s="105">
        <v>4720</v>
      </c>
      <c r="BD100" s="117">
        <f t="shared" si="20"/>
        <v>7080</v>
      </c>
      <c r="BE100" s="5">
        <v>3926</v>
      </c>
      <c r="BF100" s="126">
        <f t="shared" si="21"/>
        <v>5889</v>
      </c>
      <c r="BG100" s="105">
        <v>4480</v>
      </c>
      <c r="BH100" s="117">
        <f t="shared" si="22"/>
        <v>6720</v>
      </c>
      <c r="BI100" s="5">
        <v>5485</v>
      </c>
      <c r="BJ100" s="117">
        <f t="shared" si="23"/>
        <v>8227.5</v>
      </c>
      <c r="BK100" s="5">
        <v>5435</v>
      </c>
      <c r="BL100" s="126">
        <f t="shared" si="24"/>
        <v>8152.5</v>
      </c>
    </row>
    <row r="101" spans="1:64">
      <c r="A101" s="112" t="s">
        <v>259</v>
      </c>
      <c r="B101" s="106" t="s">
        <v>267</v>
      </c>
      <c r="C101" s="66" t="s">
        <v>175</v>
      </c>
      <c r="D101" s="287"/>
      <c r="E101" s="103" t="s">
        <v>176</v>
      </c>
      <c r="F101" s="282"/>
      <c r="G101" s="71" t="s">
        <v>187</v>
      </c>
      <c r="H101" s="70" t="s">
        <v>278</v>
      </c>
      <c r="I101" s="70" t="s">
        <v>184</v>
      </c>
      <c r="J101" s="71" t="s">
        <v>193</v>
      </c>
      <c r="K101" s="70" t="s">
        <v>198</v>
      </c>
      <c r="L101" s="69" t="s">
        <v>185</v>
      </c>
      <c r="M101" s="68" t="s">
        <v>204</v>
      </c>
      <c r="N101" s="68">
        <v>8.6999999999999993</v>
      </c>
      <c r="O101" s="68">
        <v>13.6</v>
      </c>
      <c r="P101" s="144">
        <v>13.6</v>
      </c>
      <c r="Q101" s="144">
        <v>13.6</v>
      </c>
      <c r="R101" s="144">
        <v>13.6</v>
      </c>
      <c r="S101" s="144">
        <v>13.6</v>
      </c>
      <c r="T101" s="144">
        <v>13.6</v>
      </c>
      <c r="U101" s="144">
        <v>13.6</v>
      </c>
      <c r="V101" s="144">
        <v>11.8</v>
      </c>
      <c r="W101" s="144">
        <v>11.8</v>
      </c>
      <c r="X101" s="144">
        <v>11.8</v>
      </c>
      <c r="Y101" s="144">
        <v>11.8</v>
      </c>
      <c r="Z101" s="144">
        <v>11.8</v>
      </c>
      <c r="AA101" s="58">
        <v>11.8</v>
      </c>
      <c r="AB101" s="58">
        <v>5</v>
      </c>
      <c r="AC101" s="10">
        <v>5</v>
      </c>
      <c r="AD101" s="10">
        <v>5</v>
      </c>
      <c r="AE101" s="10">
        <v>5</v>
      </c>
      <c r="AF101" s="10">
        <v>5</v>
      </c>
      <c r="AG101" s="10">
        <v>5</v>
      </c>
      <c r="AH101" s="10">
        <v>5</v>
      </c>
      <c r="AI101" s="10">
        <v>5</v>
      </c>
      <c r="AJ101" s="10">
        <v>5</v>
      </c>
      <c r="AK101" s="10">
        <v>5</v>
      </c>
      <c r="AL101" s="10">
        <v>5</v>
      </c>
      <c r="AM101" s="10">
        <v>5</v>
      </c>
      <c r="AN101" s="149">
        <v>5</v>
      </c>
      <c r="AO101" s="5">
        <v>0</v>
      </c>
      <c r="AP101" s="118">
        <f t="shared" ref="AP101:AP148" si="30">AC101*AO101</f>
        <v>0</v>
      </c>
      <c r="AQ101" s="5">
        <v>0</v>
      </c>
      <c r="AR101" s="118">
        <f t="shared" si="29"/>
        <v>0</v>
      </c>
      <c r="AS101" s="5">
        <v>0</v>
      </c>
      <c r="AT101" s="127">
        <f t="shared" si="27"/>
        <v>0</v>
      </c>
      <c r="AU101" s="5">
        <v>0</v>
      </c>
      <c r="AV101" s="118">
        <f t="shared" ref="AV101:AV148" si="31">AF101*AU101</f>
        <v>0</v>
      </c>
      <c r="AW101" s="5">
        <v>0</v>
      </c>
      <c r="AX101" s="118">
        <f t="shared" ref="AX101:AX148" si="32">AG101*AW101</f>
        <v>0</v>
      </c>
      <c r="AY101" s="5">
        <v>0</v>
      </c>
      <c r="AZ101" s="127">
        <f t="shared" si="28"/>
        <v>0</v>
      </c>
      <c r="BA101" s="105">
        <v>0</v>
      </c>
      <c r="BB101" s="118">
        <f t="shared" si="19"/>
        <v>0</v>
      </c>
      <c r="BC101" s="105">
        <v>0</v>
      </c>
      <c r="BD101" s="118">
        <f t="shared" si="20"/>
        <v>0</v>
      </c>
      <c r="BE101" s="5">
        <v>0</v>
      </c>
      <c r="BF101" s="127">
        <f t="shared" si="21"/>
        <v>0</v>
      </c>
      <c r="BG101" s="105">
        <v>0</v>
      </c>
      <c r="BH101" s="118">
        <f t="shared" si="22"/>
        <v>0</v>
      </c>
      <c r="BI101" s="5">
        <v>0</v>
      </c>
      <c r="BJ101" s="118">
        <f t="shared" si="23"/>
        <v>0</v>
      </c>
      <c r="BK101" s="5">
        <v>0</v>
      </c>
      <c r="BL101" s="127">
        <f t="shared" si="24"/>
        <v>0</v>
      </c>
    </row>
    <row r="102" spans="1:64">
      <c r="A102" s="112" t="s">
        <v>259</v>
      </c>
      <c r="B102" s="106" t="s">
        <v>267</v>
      </c>
      <c r="C102" s="66" t="s">
        <v>175</v>
      </c>
      <c r="D102" s="287"/>
      <c r="E102" s="103" t="s">
        <v>176</v>
      </c>
      <c r="F102" s="282"/>
      <c r="G102" s="71" t="s">
        <v>187</v>
      </c>
      <c r="H102" s="70" t="s">
        <v>278</v>
      </c>
      <c r="I102" s="70" t="s">
        <v>184</v>
      </c>
      <c r="J102" s="71" t="s">
        <v>193</v>
      </c>
      <c r="K102" s="70" t="s">
        <v>280</v>
      </c>
      <c r="L102" s="69" t="s">
        <v>185</v>
      </c>
      <c r="M102" s="68" t="s">
        <v>204</v>
      </c>
      <c r="N102" s="68">
        <v>8.6999999999999993</v>
      </c>
      <c r="O102" s="68">
        <v>14.3</v>
      </c>
      <c r="P102" s="144">
        <v>14.3</v>
      </c>
      <c r="Q102" s="144">
        <v>14.3</v>
      </c>
      <c r="R102" s="144">
        <v>14.3</v>
      </c>
      <c r="S102" s="144">
        <v>14.3</v>
      </c>
      <c r="T102" s="144">
        <v>14.3</v>
      </c>
      <c r="U102" s="144">
        <v>14.3</v>
      </c>
      <c r="V102" s="144">
        <v>12.5</v>
      </c>
      <c r="W102" s="144">
        <v>12.5</v>
      </c>
      <c r="X102" s="144">
        <v>12.5</v>
      </c>
      <c r="Y102" s="144">
        <v>12.5</v>
      </c>
      <c r="Z102" s="144">
        <v>12.5</v>
      </c>
      <c r="AA102" s="58">
        <v>12.5</v>
      </c>
      <c r="AB102" s="58">
        <v>5.5</v>
      </c>
      <c r="AC102" s="10">
        <v>5.5</v>
      </c>
      <c r="AD102" s="10">
        <v>5.5</v>
      </c>
      <c r="AE102" s="10">
        <v>5.5</v>
      </c>
      <c r="AF102" s="10">
        <v>5.5</v>
      </c>
      <c r="AG102" s="10">
        <v>5.5</v>
      </c>
      <c r="AH102" s="10">
        <v>5.5</v>
      </c>
      <c r="AI102" s="10">
        <v>3.7</v>
      </c>
      <c r="AJ102" s="10">
        <v>3.7</v>
      </c>
      <c r="AK102" s="10">
        <v>3.7</v>
      </c>
      <c r="AL102" s="10">
        <v>3.7</v>
      </c>
      <c r="AM102" s="10">
        <v>3.7</v>
      </c>
      <c r="AN102" s="149">
        <v>3.7</v>
      </c>
      <c r="AO102" s="5">
        <v>3065</v>
      </c>
      <c r="AP102" s="118">
        <f t="shared" si="30"/>
        <v>16857.5</v>
      </c>
      <c r="AQ102" s="5">
        <v>3402</v>
      </c>
      <c r="AR102" s="118">
        <f t="shared" si="29"/>
        <v>18711</v>
      </c>
      <c r="AS102" s="5">
        <v>3958</v>
      </c>
      <c r="AT102" s="127">
        <f t="shared" si="27"/>
        <v>21769</v>
      </c>
      <c r="AU102" s="5">
        <v>2394</v>
      </c>
      <c r="AV102" s="118">
        <f t="shared" si="31"/>
        <v>13167</v>
      </c>
      <c r="AW102" s="5">
        <v>8911</v>
      </c>
      <c r="AX102" s="118">
        <f t="shared" si="32"/>
        <v>49010.5</v>
      </c>
      <c r="AY102" s="5">
        <v>1703</v>
      </c>
      <c r="AZ102" s="127">
        <f t="shared" si="28"/>
        <v>9366.5</v>
      </c>
      <c r="BA102" s="105">
        <v>3214</v>
      </c>
      <c r="BB102" s="118">
        <f t="shared" si="19"/>
        <v>11891.800000000001</v>
      </c>
      <c r="BC102" s="105">
        <v>920</v>
      </c>
      <c r="BD102" s="118">
        <f t="shared" si="20"/>
        <v>3404</v>
      </c>
      <c r="BE102" s="5">
        <v>754</v>
      </c>
      <c r="BF102" s="127">
        <f t="shared" si="21"/>
        <v>2789.8</v>
      </c>
      <c r="BG102" s="105">
        <v>718</v>
      </c>
      <c r="BH102" s="118">
        <f t="shared" si="22"/>
        <v>2656.6</v>
      </c>
      <c r="BI102" s="5">
        <v>995</v>
      </c>
      <c r="BJ102" s="118">
        <f t="shared" si="23"/>
        <v>3681.5</v>
      </c>
      <c r="BK102" s="5">
        <v>0</v>
      </c>
      <c r="BL102" s="127">
        <f t="shared" si="24"/>
        <v>0</v>
      </c>
    </row>
    <row r="103" spans="1:64">
      <c r="A103" s="112" t="s">
        <v>259</v>
      </c>
      <c r="B103" s="106" t="s">
        <v>267</v>
      </c>
      <c r="C103" s="66" t="s">
        <v>175</v>
      </c>
      <c r="D103" s="287"/>
      <c r="E103" s="103" t="s">
        <v>176</v>
      </c>
      <c r="F103" s="282"/>
      <c r="G103" s="71" t="s">
        <v>187</v>
      </c>
      <c r="H103" s="70" t="s">
        <v>278</v>
      </c>
      <c r="I103" s="70" t="s">
        <v>184</v>
      </c>
      <c r="J103" s="71" t="s">
        <v>193</v>
      </c>
      <c r="K103" s="70" t="s">
        <v>281</v>
      </c>
      <c r="L103" s="69" t="s">
        <v>185</v>
      </c>
      <c r="M103" s="68" t="s">
        <v>204</v>
      </c>
      <c r="N103" s="68">
        <v>9.25</v>
      </c>
      <c r="O103" s="68">
        <v>15.2</v>
      </c>
      <c r="P103" s="144">
        <v>15.2</v>
      </c>
      <c r="Q103" s="144">
        <v>15.2</v>
      </c>
      <c r="R103" s="144">
        <v>15.2</v>
      </c>
      <c r="S103" s="144">
        <v>15.2</v>
      </c>
      <c r="T103" s="144">
        <v>15.2</v>
      </c>
      <c r="U103" s="144">
        <v>15.2</v>
      </c>
      <c r="V103" s="144">
        <v>13.5</v>
      </c>
      <c r="W103" s="144">
        <v>13.5</v>
      </c>
      <c r="X103" s="144">
        <v>13.5</v>
      </c>
      <c r="Y103" s="144">
        <v>13.5</v>
      </c>
      <c r="Z103" s="144">
        <v>13.5</v>
      </c>
      <c r="AA103" s="58">
        <v>13.5</v>
      </c>
      <c r="AB103" s="58">
        <v>5.5</v>
      </c>
      <c r="AC103" s="10">
        <v>5.5</v>
      </c>
      <c r="AD103" s="10">
        <v>5.5</v>
      </c>
      <c r="AE103" s="10">
        <v>5.5</v>
      </c>
      <c r="AF103" s="10">
        <v>5.5</v>
      </c>
      <c r="AG103" s="10">
        <v>5.5</v>
      </c>
      <c r="AH103" s="10">
        <v>5.5</v>
      </c>
      <c r="AI103" s="10">
        <v>5.5</v>
      </c>
      <c r="AJ103" s="10">
        <v>5.5</v>
      </c>
      <c r="AK103" s="10">
        <v>5.5</v>
      </c>
      <c r="AL103" s="10">
        <v>5.5</v>
      </c>
      <c r="AM103" s="10">
        <v>5.5</v>
      </c>
      <c r="AN103" s="149">
        <v>5.5</v>
      </c>
      <c r="AO103" s="5">
        <v>0</v>
      </c>
      <c r="AP103" s="118">
        <f t="shared" si="30"/>
        <v>0</v>
      </c>
      <c r="AQ103" s="5">
        <v>0</v>
      </c>
      <c r="AR103" s="118">
        <f t="shared" si="29"/>
        <v>0</v>
      </c>
      <c r="AS103" s="5">
        <v>0</v>
      </c>
      <c r="AT103" s="127">
        <f t="shared" si="27"/>
        <v>0</v>
      </c>
      <c r="AU103" s="5">
        <v>0</v>
      </c>
      <c r="AV103" s="118">
        <f t="shared" si="31"/>
        <v>0</v>
      </c>
      <c r="AW103" s="5">
        <v>0</v>
      </c>
      <c r="AX103" s="118">
        <f t="shared" si="32"/>
        <v>0</v>
      </c>
      <c r="AY103" s="5">
        <v>0</v>
      </c>
      <c r="AZ103" s="127">
        <f t="shared" si="28"/>
        <v>0</v>
      </c>
      <c r="BA103" s="105">
        <v>0</v>
      </c>
      <c r="BB103" s="118">
        <f t="shared" si="19"/>
        <v>0</v>
      </c>
      <c r="BC103" s="105">
        <v>0</v>
      </c>
      <c r="BD103" s="118">
        <f t="shared" si="20"/>
        <v>0</v>
      </c>
      <c r="BE103" s="5">
        <v>0</v>
      </c>
      <c r="BF103" s="127">
        <f t="shared" si="21"/>
        <v>0</v>
      </c>
      <c r="BG103" s="105">
        <v>0</v>
      </c>
      <c r="BH103" s="118">
        <f t="shared" si="22"/>
        <v>0</v>
      </c>
      <c r="BI103" s="5">
        <v>0</v>
      </c>
      <c r="BJ103" s="118">
        <f t="shared" si="23"/>
        <v>0</v>
      </c>
      <c r="BK103" s="5">
        <v>0</v>
      </c>
      <c r="BL103" s="127">
        <f t="shared" si="24"/>
        <v>0</v>
      </c>
    </row>
    <row r="104" spans="1:64">
      <c r="A104" s="112" t="s">
        <v>259</v>
      </c>
      <c r="B104" s="106" t="s">
        <v>267</v>
      </c>
      <c r="C104" s="66" t="s">
        <v>175</v>
      </c>
      <c r="D104" s="287"/>
      <c r="E104" s="103" t="s">
        <v>176</v>
      </c>
      <c r="F104" s="282"/>
      <c r="G104" s="71" t="s">
        <v>200</v>
      </c>
      <c r="H104" s="70" t="s">
        <v>282</v>
      </c>
      <c r="I104" s="70" t="s">
        <v>184</v>
      </c>
      <c r="J104" s="71" t="s">
        <v>283</v>
      </c>
      <c r="K104" s="70" t="s">
        <v>284</v>
      </c>
      <c r="L104" s="69" t="s">
        <v>185</v>
      </c>
      <c r="M104" s="68" t="s">
        <v>204</v>
      </c>
      <c r="N104" s="68">
        <v>8.83</v>
      </c>
      <c r="O104" s="68">
        <v>15.4</v>
      </c>
      <c r="P104" s="144">
        <v>15.4</v>
      </c>
      <c r="Q104" s="144">
        <v>15.4</v>
      </c>
      <c r="R104" s="144">
        <v>15.4</v>
      </c>
      <c r="S104" s="144">
        <v>15.4</v>
      </c>
      <c r="T104" s="144">
        <v>15.4</v>
      </c>
      <c r="U104" s="144">
        <v>15.4</v>
      </c>
      <c r="V104" s="144">
        <v>13.2</v>
      </c>
      <c r="W104" s="144">
        <v>13.2</v>
      </c>
      <c r="X104" s="144">
        <v>13.2</v>
      </c>
      <c r="Y104" s="144">
        <v>13.2</v>
      </c>
      <c r="Z104" s="144">
        <v>13.2</v>
      </c>
      <c r="AA104" s="58">
        <v>13.2</v>
      </c>
      <c r="AB104" s="58">
        <v>1.85</v>
      </c>
      <c r="AC104" s="10">
        <v>4.5</v>
      </c>
      <c r="AD104" s="10">
        <v>6.57</v>
      </c>
      <c r="AE104" s="10">
        <v>6.57</v>
      </c>
      <c r="AF104" s="10">
        <v>6.57</v>
      </c>
      <c r="AG104" s="10">
        <v>6.57</v>
      </c>
      <c r="AH104" s="10">
        <v>6.57</v>
      </c>
      <c r="AI104" s="10">
        <v>5.22</v>
      </c>
      <c r="AJ104" s="10">
        <v>5.22</v>
      </c>
      <c r="AK104" s="10">
        <v>5.22</v>
      </c>
      <c r="AL104" s="10">
        <v>5.22</v>
      </c>
      <c r="AM104" s="10">
        <v>5.22</v>
      </c>
      <c r="AN104" s="149">
        <v>5.22</v>
      </c>
      <c r="AO104" s="5">
        <v>22913</v>
      </c>
      <c r="AP104" s="118">
        <f t="shared" si="30"/>
        <v>103108.5</v>
      </c>
      <c r="AQ104" s="5">
        <v>20662</v>
      </c>
      <c r="AR104" s="118">
        <f t="shared" si="29"/>
        <v>135749.34</v>
      </c>
      <c r="AS104" s="5">
        <v>11187</v>
      </c>
      <c r="AT104" s="127">
        <f t="shared" si="27"/>
        <v>73498.59</v>
      </c>
      <c r="AU104" s="5">
        <v>14614</v>
      </c>
      <c r="AV104" s="118">
        <f t="shared" si="31"/>
        <v>96013.98000000001</v>
      </c>
      <c r="AW104" s="5">
        <v>15621</v>
      </c>
      <c r="AX104" s="118">
        <f t="shared" si="32"/>
        <v>102629.97</v>
      </c>
      <c r="AY104" s="5">
        <v>16790</v>
      </c>
      <c r="AZ104" s="127">
        <f t="shared" si="28"/>
        <v>110310.3</v>
      </c>
      <c r="BA104" s="105">
        <v>7920</v>
      </c>
      <c r="BB104" s="118">
        <f t="shared" si="19"/>
        <v>41342.400000000001</v>
      </c>
      <c r="BC104" s="105">
        <v>8347</v>
      </c>
      <c r="BD104" s="118">
        <f t="shared" si="20"/>
        <v>43571.34</v>
      </c>
      <c r="BE104" s="5">
        <v>9280</v>
      </c>
      <c r="BF104" s="127">
        <f t="shared" si="21"/>
        <v>48441.599999999999</v>
      </c>
      <c r="BG104" s="105">
        <v>9277</v>
      </c>
      <c r="BH104" s="118">
        <f t="shared" si="22"/>
        <v>48425.939999999995</v>
      </c>
      <c r="BI104" s="5">
        <v>6352</v>
      </c>
      <c r="BJ104" s="118">
        <f t="shared" si="23"/>
        <v>33157.439999999995</v>
      </c>
      <c r="BK104" s="5">
        <v>5350</v>
      </c>
      <c r="BL104" s="127">
        <f t="shared" si="24"/>
        <v>27927</v>
      </c>
    </row>
    <row r="105" spans="1:64">
      <c r="A105" s="112" t="s">
        <v>259</v>
      </c>
      <c r="B105" s="106" t="s">
        <v>267</v>
      </c>
      <c r="C105" s="66" t="s">
        <v>175</v>
      </c>
      <c r="D105" s="287"/>
      <c r="E105" s="103" t="s">
        <v>176</v>
      </c>
      <c r="F105" s="282"/>
      <c r="G105" s="71" t="s">
        <v>200</v>
      </c>
      <c r="H105" s="70" t="s">
        <v>282</v>
      </c>
      <c r="I105" s="70" t="s">
        <v>184</v>
      </c>
      <c r="J105" s="71" t="s">
        <v>283</v>
      </c>
      <c r="K105" s="70" t="s">
        <v>285</v>
      </c>
      <c r="L105" s="69" t="s">
        <v>185</v>
      </c>
      <c r="M105" s="68" t="s">
        <v>204</v>
      </c>
      <c r="N105" s="68">
        <v>9.73</v>
      </c>
      <c r="O105" s="68">
        <v>16.399999999999999</v>
      </c>
      <c r="P105" s="144">
        <v>16.399999999999999</v>
      </c>
      <c r="Q105" s="144">
        <v>16.399999999999999</v>
      </c>
      <c r="R105" s="144">
        <v>16.399999999999999</v>
      </c>
      <c r="S105" s="144">
        <v>16.399999999999999</v>
      </c>
      <c r="T105" s="144">
        <v>16.399999999999999</v>
      </c>
      <c r="U105" s="144">
        <v>16.399999999999999</v>
      </c>
      <c r="V105" s="144">
        <v>14.2</v>
      </c>
      <c r="W105" s="144">
        <v>14.2</v>
      </c>
      <c r="X105" s="144">
        <v>14.2</v>
      </c>
      <c r="Y105" s="144">
        <v>14.2</v>
      </c>
      <c r="Z105" s="144">
        <v>14.2</v>
      </c>
      <c r="AA105" s="58">
        <v>14.2</v>
      </c>
      <c r="AB105" s="58">
        <v>1.85</v>
      </c>
      <c r="AC105" s="10">
        <v>4.5</v>
      </c>
      <c r="AD105" s="10">
        <v>6.67</v>
      </c>
      <c r="AE105" s="10">
        <v>6.67</v>
      </c>
      <c r="AF105" s="10">
        <v>6.67</v>
      </c>
      <c r="AG105" s="10">
        <v>6.67</v>
      </c>
      <c r="AH105" s="10">
        <v>6.67</v>
      </c>
      <c r="AI105" s="10">
        <v>5.2</v>
      </c>
      <c r="AJ105" s="10">
        <v>5.2</v>
      </c>
      <c r="AK105" s="10">
        <v>5.2</v>
      </c>
      <c r="AL105" s="10">
        <v>5.2</v>
      </c>
      <c r="AM105" s="10">
        <v>5.2</v>
      </c>
      <c r="AN105" s="149">
        <v>5.2</v>
      </c>
      <c r="AO105" s="5">
        <v>0</v>
      </c>
      <c r="AP105" s="118">
        <f t="shared" si="30"/>
        <v>0</v>
      </c>
      <c r="AQ105" s="5">
        <v>80</v>
      </c>
      <c r="AR105" s="118">
        <f t="shared" si="29"/>
        <v>533.6</v>
      </c>
      <c r="AS105" s="5">
        <v>0</v>
      </c>
      <c r="AT105" s="127">
        <f t="shared" si="27"/>
        <v>0</v>
      </c>
      <c r="AU105" s="5">
        <v>0</v>
      </c>
      <c r="AV105" s="118">
        <f t="shared" si="31"/>
        <v>0</v>
      </c>
      <c r="AW105" s="5">
        <v>0</v>
      </c>
      <c r="AX105" s="118">
        <f t="shared" si="32"/>
        <v>0</v>
      </c>
      <c r="AY105" s="5">
        <v>680</v>
      </c>
      <c r="AZ105" s="127">
        <f t="shared" si="28"/>
        <v>4535.6000000000004</v>
      </c>
      <c r="BA105" s="105">
        <v>9960</v>
      </c>
      <c r="BB105" s="118">
        <f t="shared" si="19"/>
        <v>51792</v>
      </c>
      <c r="BC105" s="105">
        <v>7560</v>
      </c>
      <c r="BD105" s="118">
        <f t="shared" si="20"/>
        <v>39312</v>
      </c>
      <c r="BE105" s="5">
        <v>10556</v>
      </c>
      <c r="BF105" s="127">
        <f t="shared" si="21"/>
        <v>54891.200000000004</v>
      </c>
      <c r="BG105" s="105">
        <v>9840</v>
      </c>
      <c r="BH105" s="118">
        <f t="shared" si="22"/>
        <v>51168</v>
      </c>
      <c r="BI105" s="5">
        <v>8676</v>
      </c>
      <c r="BJ105" s="118">
        <f t="shared" si="23"/>
        <v>45115.200000000004</v>
      </c>
      <c r="BK105" s="5">
        <v>110</v>
      </c>
      <c r="BL105" s="127">
        <f t="shared" si="24"/>
        <v>572</v>
      </c>
    </row>
    <row r="106" spans="1:64">
      <c r="A106" s="112" t="s">
        <v>259</v>
      </c>
      <c r="B106" s="106" t="s">
        <v>267</v>
      </c>
      <c r="C106" s="66" t="s">
        <v>175</v>
      </c>
      <c r="D106" s="287"/>
      <c r="E106" s="103" t="s">
        <v>176</v>
      </c>
      <c r="F106" s="282"/>
      <c r="G106" s="71" t="s">
        <v>202</v>
      </c>
      <c r="H106" s="70" t="s">
        <v>286</v>
      </c>
      <c r="I106" s="70" t="s">
        <v>184</v>
      </c>
      <c r="J106" s="71" t="s">
        <v>193</v>
      </c>
      <c r="K106" s="70" t="s">
        <v>287</v>
      </c>
      <c r="L106" s="69" t="s">
        <v>213</v>
      </c>
      <c r="M106" s="68" t="s">
        <v>214</v>
      </c>
      <c r="N106" s="68">
        <v>8.83</v>
      </c>
      <c r="O106" s="68">
        <v>15.4</v>
      </c>
      <c r="P106" s="144">
        <v>15.4</v>
      </c>
      <c r="Q106" s="144">
        <v>15.4</v>
      </c>
      <c r="R106" s="144">
        <v>15.4</v>
      </c>
      <c r="S106" s="144">
        <v>15.4</v>
      </c>
      <c r="T106" s="144">
        <v>15.4</v>
      </c>
      <c r="U106" s="144">
        <v>15.4</v>
      </c>
      <c r="V106" s="144">
        <v>13.2</v>
      </c>
      <c r="W106" s="144">
        <v>13.2</v>
      </c>
      <c r="X106" s="144">
        <v>13.2</v>
      </c>
      <c r="Y106" s="144">
        <v>13.2</v>
      </c>
      <c r="Z106" s="144">
        <v>13.2</v>
      </c>
      <c r="AA106" s="58">
        <v>13.2</v>
      </c>
      <c r="AB106" s="58">
        <v>3.5</v>
      </c>
      <c r="AC106" s="10">
        <v>3.5</v>
      </c>
      <c r="AD106" s="10">
        <v>3.5</v>
      </c>
      <c r="AE106" s="10">
        <v>3.5</v>
      </c>
      <c r="AF106" s="10">
        <v>3.5</v>
      </c>
      <c r="AG106" s="10">
        <v>3.5</v>
      </c>
      <c r="AH106" s="10">
        <v>3.5</v>
      </c>
      <c r="AI106" s="10">
        <v>5.22</v>
      </c>
      <c r="AJ106" s="10">
        <v>5.22</v>
      </c>
      <c r="AK106" s="10">
        <v>5.22</v>
      </c>
      <c r="AL106" s="10">
        <v>5.22</v>
      </c>
      <c r="AM106" s="10">
        <v>5.22</v>
      </c>
      <c r="AN106" s="149">
        <v>5.22</v>
      </c>
      <c r="AO106" s="5">
        <v>160</v>
      </c>
      <c r="AP106" s="118">
        <f t="shared" si="30"/>
        <v>560</v>
      </c>
      <c r="AQ106" s="5">
        <v>240</v>
      </c>
      <c r="AR106" s="118">
        <f t="shared" si="29"/>
        <v>840</v>
      </c>
      <c r="AS106" s="5">
        <v>680</v>
      </c>
      <c r="AT106" s="127">
        <f t="shared" si="27"/>
        <v>2380</v>
      </c>
      <c r="AU106" s="5">
        <v>0</v>
      </c>
      <c r="AV106" s="118">
        <f t="shared" si="31"/>
        <v>0</v>
      </c>
      <c r="AW106" s="5">
        <v>0</v>
      </c>
      <c r="AX106" s="118">
        <f t="shared" si="32"/>
        <v>0</v>
      </c>
      <c r="AY106" s="5">
        <v>0</v>
      </c>
      <c r="AZ106" s="127">
        <f t="shared" si="28"/>
        <v>0</v>
      </c>
      <c r="BA106" s="105">
        <v>200</v>
      </c>
      <c r="BB106" s="118">
        <f t="shared" si="19"/>
        <v>1044</v>
      </c>
      <c r="BC106" s="105">
        <v>159</v>
      </c>
      <c r="BD106" s="118">
        <f t="shared" si="20"/>
        <v>829.9799999999999</v>
      </c>
      <c r="BE106" s="5">
        <v>400</v>
      </c>
      <c r="BF106" s="127">
        <f t="shared" si="21"/>
        <v>2088</v>
      </c>
      <c r="BG106" s="105">
        <v>1960</v>
      </c>
      <c r="BH106" s="118">
        <f t="shared" si="22"/>
        <v>10231.199999999999</v>
      </c>
      <c r="BI106" s="5">
        <v>800</v>
      </c>
      <c r="BJ106" s="118">
        <f t="shared" si="23"/>
        <v>4176</v>
      </c>
      <c r="BK106" s="5">
        <v>440</v>
      </c>
      <c r="BL106" s="127">
        <f t="shared" si="24"/>
        <v>2296.7999999999997</v>
      </c>
    </row>
    <row r="107" spans="1:64">
      <c r="A107" s="112" t="s">
        <v>259</v>
      </c>
      <c r="B107" s="106" t="s">
        <v>267</v>
      </c>
      <c r="C107" s="66" t="s">
        <v>175</v>
      </c>
      <c r="D107" s="287"/>
      <c r="E107" s="103" t="s">
        <v>176</v>
      </c>
      <c r="F107" s="282"/>
      <c r="G107" s="71" t="s">
        <v>202</v>
      </c>
      <c r="H107" s="70" t="s">
        <v>286</v>
      </c>
      <c r="I107" s="70" t="s">
        <v>184</v>
      </c>
      <c r="J107" s="71" t="s">
        <v>193</v>
      </c>
      <c r="K107" s="70" t="s">
        <v>288</v>
      </c>
      <c r="L107" s="69" t="s">
        <v>213</v>
      </c>
      <c r="M107" s="68" t="s">
        <v>214</v>
      </c>
      <c r="N107" s="68">
        <v>8.83</v>
      </c>
      <c r="O107" s="68">
        <v>15.4</v>
      </c>
      <c r="P107" s="144">
        <v>15.4</v>
      </c>
      <c r="Q107" s="144">
        <v>15.4</v>
      </c>
      <c r="R107" s="144">
        <v>15.4</v>
      </c>
      <c r="S107" s="144">
        <v>15.4</v>
      </c>
      <c r="T107" s="144">
        <v>15.4</v>
      </c>
      <c r="U107" s="144">
        <v>15.4</v>
      </c>
      <c r="V107" s="144">
        <v>13.2</v>
      </c>
      <c r="W107" s="144">
        <v>13.2</v>
      </c>
      <c r="X107" s="144">
        <v>13.2</v>
      </c>
      <c r="Y107" s="144">
        <v>13.2</v>
      </c>
      <c r="Z107" s="144">
        <v>13.2</v>
      </c>
      <c r="AA107" s="58">
        <v>13.2</v>
      </c>
      <c r="AB107" s="58">
        <v>3.5</v>
      </c>
      <c r="AC107" s="10">
        <v>3.5</v>
      </c>
      <c r="AD107" s="10">
        <v>3.5</v>
      </c>
      <c r="AE107" s="10">
        <v>3.5</v>
      </c>
      <c r="AF107" s="10">
        <v>3.5</v>
      </c>
      <c r="AG107" s="10">
        <v>3.5</v>
      </c>
      <c r="AH107" s="10">
        <v>3.5</v>
      </c>
      <c r="AI107" s="10">
        <v>5.22</v>
      </c>
      <c r="AJ107" s="10">
        <v>5.22</v>
      </c>
      <c r="AK107" s="10">
        <v>5.22</v>
      </c>
      <c r="AL107" s="10">
        <v>5.22</v>
      </c>
      <c r="AM107" s="10">
        <v>5.22</v>
      </c>
      <c r="AN107" s="149">
        <v>5.22</v>
      </c>
      <c r="AO107" s="5">
        <v>1192</v>
      </c>
      <c r="AP107" s="118">
        <f t="shared" si="30"/>
        <v>4172</v>
      </c>
      <c r="AQ107" s="5">
        <v>394</v>
      </c>
      <c r="AR107" s="118">
        <f t="shared" si="29"/>
        <v>1379</v>
      </c>
      <c r="AS107" s="5">
        <v>3047</v>
      </c>
      <c r="AT107" s="127">
        <f t="shared" si="27"/>
        <v>10664.5</v>
      </c>
      <c r="AU107" s="5">
        <v>1114</v>
      </c>
      <c r="AV107" s="118">
        <f t="shared" si="31"/>
        <v>3899</v>
      </c>
      <c r="AW107" s="5">
        <v>1636</v>
      </c>
      <c r="AX107" s="118">
        <f t="shared" si="32"/>
        <v>5726</v>
      </c>
      <c r="AY107" s="5">
        <v>1079</v>
      </c>
      <c r="AZ107" s="127">
        <f t="shared" si="28"/>
        <v>3776.5</v>
      </c>
      <c r="BA107" s="105">
        <v>4827</v>
      </c>
      <c r="BB107" s="118">
        <f t="shared" si="19"/>
        <v>25196.94</v>
      </c>
      <c r="BC107" s="105">
        <v>7345</v>
      </c>
      <c r="BD107" s="118">
        <f t="shared" si="20"/>
        <v>38340.9</v>
      </c>
      <c r="BE107" s="5">
        <v>5062</v>
      </c>
      <c r="BF107" s="127">
        <f t="shared" si="21"/>
        <v>26423.64</v>
      </c>
      <c r="BG107" s="105">
        <v>8219</v>
      </c>
      <c r="BH107" s="118">
        <f t="shared" si="22"/>
        <v>42903.18</v>
      </c>
      <c r="BI107" s="5">
        <v>3992</v>
      </c>
      <c r="BJ107" s="118">
        <f t="shared" si="23"/>
        <v>20838.239999999998</v>
      </c>
      <c r="BK107" s="5">
        <v>2120</v>
      </c>
      <c r="BL107" s="127">
        <f t="shared" si="24"/>
        <v>11066.4</v>
      </c>
    </row>
    <row r="108" spans="1:64">
      <c r="A108" s="112" t="s">
        <v>259</v>
      </c>
      <c r="B108" s="106" t="s">
        <v>267</v>
      </c>
      <c r="C108" s="66" t="s">
        <v>175</v>
      </c>
      <c r="D108" s="287"/>
      <c r="E108" s="103" t="s">
        <v>176</v>
      </c>
      <c r="F108" s="282"/>
      <c r="G108" s="71" t="s">
        <v>202</v>
      </c>
      <c r="H108" s="70" t="s">
        <v>286</v>
      </c>
      <c r="I108" s="70" t="s">
        <v>184</v>
      </c>
      <c r="J108" s="71" t="s">
        <v>193</v>
      </c>
      <c r="K108" s="70" t="s">
        <v>289</v>
      </c>
      <c r="L108" s="69" t="s">
        <v>213</v>
      </c>
      <c r="M108" s="68" t="s">
        <v>214</v>
      </c>
      <c r="N108" s="68">
        <v>11.73</v>
      </c>
      <c r="O108" s="68">
        <v>18.399999999999999</v>
      </c>
      <c r="P108" s="144">
        <v>18.399999999999999</v>
      </c>
      <c r="Q108" s="144">
        <v>18.399999999999999</v>
      </c>
      <c r="R108" s="144">
        <v>18.399999999999999</v>
      </c>
      <c r="S108" s="144">
        <v>18.399999999999999</v>
      </c>
      <c r="T108" s="144">
        <v>18.399999999999999</v>
      </c>
      <c r="U108" s="144">
        <v>18.399999999999999</v>
      </c>
      <c r="V108" s="144">
        <v>16</v>
      </c>
      <c r="W108" s="144">
        <v>16</v>
      </c>
      <c r="X108" s="144">
        <v>16</v>
      </c>
      <c r="Y108" s="144">
        <v>16</v>
      </c>
      <c r="Z108" s="144">
        <v>16</v>
      </c>
      <c r="AA108" s="58">
        <v>16</v>
      </c>
      <c r="AB108" s="58">
        <v>3.5</v>
      </c>
      <c r="AC108" s="10">
        <v>3.5</v>
      </c>
      <c r="AD108" s="10">
        <v>3.5</v>
      </c>
      <c r="AE108" s="10">
        <v>3.5</v>
      </c>
      <c r="AF108" s="10">
        <v>3.5</v>
      </c>
      <c r="AG108" s="10">
        <v>3.5</v>
      </c>
      <c r="AH108" s="10">
        <v>3.5</v>
      </c>
      <c r="AI108" s="10">
        <v>5.27</v>
      </c>
      <c r="AJ108" s="10">
        <v>5.27</v>
      </c>
      <c r="AK108" s="10">
        <v>5.27</v>
      </c>
      <c r="AL108" s="10">
        <v>5.27</v>
      </c>
      <c r="AM108" s="10">
        <v>5.27</v>
      </c>
      <c r="AN108" s="149">
        <v>5.27</v>
      </c>
      <c r="AO108" s="5">
        <v>1038</v>
      </c>
      <c r="AP108" s="118">
        <f t="shared" si="30"/>
        <v>3633</v>
      </c>
      <c r="AQ108" s="5">
        <v>1400</v>
      </c>
      <c r="AR108" s="118">
        <f t="shared" si="29"/>
        <v>4900</v>
      </c>
      <c r="AS108" s="5">
        <v>1307</v>
      </c>
      <c r="AT108" s="127">
        <f t="shared" si="27"/>
        <v>4574.5</v>
      </c>
      <c r="AU108" s="5">
        <v>0</v>
      </c>
      <c r="AV108" s="118">
        <f t="shared" si="31"/>
        <v>0</v>
      </c>
      <c r="AW108" s="5">
        <v>220</v>
      </c>
      <c r="AX108" s="118">
        <f t="shared" si="32"/>
        <v>770</v>
      </c>
      <c r="AY108" s="5">
        <v>0</v>
      </c>
      <c r="AZ108" s="127">
        <f t="shared" si="28"/>
        <v>0</v>
      </c>
      <c r="BA108" s="105">
        <v>880</v>
      </c>
      <c r="BB108" s="118">
        <f t="shared" si="19"/>
        <v>4637.5999999999995</v>
      </c>
      <c r="BC108" s="105">
        <v>636</v>
      </c>
      <c r="BD108" s="118">
        <f t="shared" si="20"/>
        <v>3351.72</v>
      </c>
      <c r="BE108" s="5">
        <v>179</v>
      </c>
      <c r="BF108" s="127">
        <f t="shared" si="21"/>
        <v>943.32999999999993</v>
      </c>
      <c r="BG108" s="105">
        <v>579</v>
      </c>
      <c r="BH108" s="118">
        <f t="shared" si="22"/>
        <v>3051.33</v>
      </c>
      <c r="BI108" s="5">
        <v>519</v>
      </c>
      <c r="BJ108" s="118">
        <f t="shared" si="23"/>
        <v>2735.1299999999997</v>
      </c>
      <c r="BK108" s="5">
        <v>160</v>
      </c>
      <c r="BL108" s="127">
        <f t="shared" si="24"/>
        <v>843.19999999999993</v>
      </c>
    </row>
    <row r="109" spans="1:64">
      <c r="A109" s="112" t="s">
        <v>259</v>
      </c>
      <c r="B109" s="106" t="s">
        <v>267</v>
      </c>
      <c r="C109" s="66" t="s">
        <v>175</v>
      </c>
      <c r="D109" s="287"/>
      <c r="E109" s="103" t="s">
        <v>176</v>
      </c>
      <c r="F109" s="282"/>
      <c r="G109" s="71" t="s">
        <v>202</v>
      </c>
      <c r="H109" s="70" t="s">
        <v>286</v>
      </c>
      <c r="I109" s="70" t="s">
        <v>184</v>
      </c>
      <c r="J109" s="71" t="s">
        <v>193</v>
      </c>
      <c r="K109" s="70" t="s">
        <v>290</v>
      </c>
      <c r="L109" s="69" t="s">
        <v>213</v>
      </c>
      <c r="M109" s="68" t="s">
        <v>214</v>
      </c>
      <c r="N109" s="68">
        <v>11.73</v>
      </c>
      <c r="O109" s="68">
        <v>18.399999999999999</v>
      </c>
      <c r="P109" s="144">
        <v>18.399999999999999</v>
      </c>
      <c r="Q109" s="144">
        <v>18.399999999999999</v>
      </c>
      <c r="R109" s="144">
        <v>18.399999999999999</v>
      </c>
      <c r="S109" s="144">
        <v>18.399999999999999</v>
      </c>
      <c r="T109" s="144">
        <v>18.399999999999999</v>
      </c>
      <c r="U109" s="144">
        <v>18.399999999999999</v>
      </c>
      <c r="V109" s="144">
        <v>16</v>
      </c>
      <c r="W109" s="144">
        <v>16</v>
      </c>
      <c r="X109" s="144">
        <v>16</v>
      </c>
      <c r="Y109" s="144">
        <v>16</v>
      </c>
      <c r="Z109" s="144">
        <v>16</v>
      </c>
      <c r="AA109" s="58">
        <v>16</v>
      </c>
      <c r="AB109" s="58">
        <v>0</v>
      </c>
      <c r="AC109" s="10">
        <v>3.5</v>
      </c>
      <c r="AD109" s="10">
        <v>3.5</v>
      </c>
      <c r="AE109" s="10">
        <v>3.5</v>
      </c>
      <c r="AF109" s="10">
        <v>3.5</v>
      </c>
      <c r="AG109" s="10">
        <v>3.5</v>
      </c>
      <c r="AH109" s="10">
        <v>3.5</v>
      </c>
      <c r="AI109" s="10">
        <v>5.27</v>
      </c>
      <c r="AJ109" s="10">
        <v>5.27</v>
      </c>
      <c r="AK109" s="10">
        <v>5.27</v>
      </c>
      <c r="AL109" s="10">
        <v>5.27</v>
      </c>
      <c r="AM109" s="10">
        <v>5.27</v>
      </c>
      <c r="AN109" s="149">
        <v>5.27</v>
      </c>
      <c r="AO109" s="5">
        <v>0</v>
      </c>
      <c r="AP109" s="118">
        <f t="shared" si="30"/>
        <v>0</v>
      </c>
      <c r="AQ109" s="5">
        <v>0</v>
      </c>
      <c r="AR109" s="118">
        <f t="shared" si="29"/>
        <v>0</v>
      </c>
      <c r="AS109" s="5">
        <v>0</v>
      </c>
      <c r="AT109" s="127">
        <f t="shared" si="27"/>
        <v>0</v>
      </c>
      <c r="AU109" s="5">
        <v>0</v>
      </c>
      <c r="AV109" s="118">
        <f t="shared" si="31"/>
        <v>0</v>
      </c>
      <c r="AW109" s="5">
        <v>0</v>
      </c>
      <c r="AX109" s="118">
        <f t="shared" si="32"/>
        <v>0</v>
      </c>
      <c r="AY109" s="5">
        <v>0</v>
      </c>
      <c r="AZ109" s="127">
        <f t="shared" si="28"/>
        <v>0</v>
      </c>
      <c r="BA109" s="105">
        <v>160</v>
      </c>
      <c r="BB109" s="118">
        <f t="shared" si="19"/>
        <v>843.19999999999993</v>
      </c>
      <c r="BC109" s="105">
        <v>2160</v>
      </c>
      <c r="BD109" s="118">
        <f t="shared" si="20"/>
        <v>11383.199999999999</v>
      </c>
      <c r="BE109" s="5">
        <v>200</v>
      </c>
      <c r="BF109" s="127">
        <f t="shared" si="21"/>
        <v>1054</v>
      </c>
      <c r="BG109" s="105">
        <v>957</v>
      </c>
      <c r="BH109" s="118">
        <f t="shared" si="22"/>
        <v>5043.3899999999994</v>
      </c>
      <c r="BI109" s="5">
        <v>519</v>
      </c>
      <c r="BJ109" s="118">
        <f t="shared" si="23"/>
        <v>2735.1299999999997</v>
      </c>
      <c r="BK109" s="5">
        <v>647</v>
      </c>
      <c r="BL109" s="127">
        <f t="shared" si="24"/>
        <v>3409.6899999999996</v>
      </c>
    </row>
    <row r="110" spans="1:64">
      <c r="A110" s="112" t="s">
        <v>259</v>
      </c>
      <c r="B110" s="106" t="s">
        <v>267</v>
      </c>
      <c r="C110" s="66" t="s">
        <v>175</v>
      </c>
      <c r="D110" s="287"/>
      <c r="E110" s="103" t="s">
        <v>176</v>
      </c>
      <c r="F110" s="282"/>
      <c r="G110" s="71" t="s">
        <v>202</v>
      </c>
      <c r="H110" s="70" t="s">
        <v>286</v>
      </c>
      <c r="I110" s="70" t="s">
        <v>184</v>
      </c>
      <c r="J110" s="71" t="s">
        <v>193</v>
      </c>
      <c r="K110" s="70" t="s">
        <v>291</v>
      </c>
      <c r="L110" s="69" t="s">
        <v>213</v>
      </c>
      <c r="M110" s="68" t="s">
        <v>214</v>
      </c>
      <c r="N110" s="68">
        <v>11.73</v>
      </c>
      <c r="O110" s="68">
        <v>18.399999999999999</v>
      </c>
      <c r="P110" s="144">
        <v>18.399999999999999</v>
      </c>
      <c r="Q110" s="144">
        <v>18.399999999999999</v>
      </c>
      <c r="R110" s="144">
        <v>18.399999999999999</v>
      </c>
      <c r="S110" s="144">
        <v>18.399999999999999</v>
      </c>
      <c r="T110" s="144">
        <v>18.399999999999999</v>
      </c>
      <c r="U110" s="144">
        <v>18.399999999999999</v>
      </c>
      <c r="V110" s="144">
        <v>16</v>
      </c>
      <c r="W110" s="144">
        <v>16</v>
      </c>
      <c r="X110" s="144">
        <v>16</v>
      </c>
      <c r="Y110" s="144">
        <v>16</v>
      </c>
      <c r="Z110" s="144">
        <v>16</v>
      </c>
      <c r="AA110" s="58">
        <v>16</v>
      </c>
      <c r="AB110" s="58">
        <v>3.5</v>
      </c>
      <c r="AC110" s="10">
        <v>3.5</v>
      </c>
      <c r="AD110" s="10">
        <v>3.5</v>
      </c>
      <c r="AE110" s="10">
        <v>3.5</v>
      </c>
      <c r="AF110" s="10">
        <v>3.5</v>
      </c>
      <c r="AG110" s="10">
        <v>3.5</v>
      </c>
      <c r="AH110" s="10">
        <v>3.5</v>
      </c>
      <c r="AI110" s="10">
        <v>5.27</v>
      </c>
      <c r="AJ110" s="10">
        <v>5.27</v>
      </c>
      <c r="AK110" s="10">
        <v>5.27</v>
      </c>
      <c r="AL110" s="10">
        <v>5.27</v>
      </c>
      <c r="AM110" s="10">
        <v>5.27</v>
      </c>
      <c r="AN110" s="149">
        <v>5.27</v>
      </c>
      <c r="AO110" s="5">
        <v>3770</v>
      </c>
      <c r="AP110" s="118">
        <f t="shared" si="30"/>
        <v>13195</v>
      </c>
      <c r="AQ110" s="5">
        <v>6063</v>
      </c>
      <c r="AR110" s="118">
        <f t="shared" si="29"/>
        <v>21220.5</v>
      </c>
      <c r="AS110" s="5">
        <v>4008</v>
      </c>
      <c r="AT110" s="127">
        <f t="shared" si="27"/>
        <v>14028</v>
      </c>
      <c r="AU110" s="5">
        <v>1555</v>
      </c>
      <c r="AV110" s="118">
        <f t="shared" si="31"/>
        <v>5442.5</v>
      </c>
      <c r="AW110" s="5">
        <v>3427</v>
      </c>
      <c r="AX110" s="118">
        <f t="shared" si="32"/>
        <v>11994.5</v>
      </c>
      <c r="AY110" s="5">
        <v>1097</v>
      </c>
      <c r="AZ110" s="127">
        <f t="shared" si="28"/>
        <v>3839.5</v>
      </c>
      <c r="BA110" s="105">
        <v>2338</v>
      </c>
      <c r="BB110" s="118">
        <f t="shared" si="19"/>
        <v>12321.259999999998</v>
      </c>
      <c r="BC110" s="105">
        <v>6790</v>
      </c>
      <c r="BD110" s="118">
        <f t="shared" si="20"/>
        <v>35783.299999999996</v>
      </c>
      <c r="BE110" s="5">
        <v>6147</v>
      </c>
      <c r="BF110" s="127">
        <f t="shared" si="21"/>
        <v>32394.69</v>
      </c>
      <c r="BG110" s="105">
        <v>4115</v>
      </c>
      <c r="BH110" s="118">
        <f t="shared" si="22"/>
        <v>21686.05</v>
      </c>
      <c r="BI110" s="5">
        <v>2231</v>
      </c>
      <c r="BJ110" s="118">
        <f t="shared" si="23"/>
        <v>11757.369999999999</v>
      </c>
      <c r="BK110" s="5">
        <v>1480</v>
      </c>
      <c r="BL110" s="127">
        <f t="shared" si="24"/>
        <v>7799.5999999999995</v>
      </c>
    </row>
    <row r="111" spans="1:64">
      <c r="A111" s="112" t="s">
        <v>259</v>
      </c>
      <c r="B111" s="106" t="s">
        <v>267</v>
      </c>
      <c r="C111" s="66" t="s">
        <v>175</v>
      </c>
      <c r="D111" s="287"/>
      <c r="E111" s="103" t="s">
        <v>176</v>
      </c>
      <c r="F111" s="282"/>
      <c r="G111" s="71" t="s">
        <v>202</v>
      </c>
      <c r="H111" s="70" t="s">
        <v>292</v>
      </c>
      <c r="I111" s="70" t="s">
        <v>184</v>
      </c>
      <c r="J111" s="71" t="s">
        <v>283</v>
      </c>
      <c r="K111" s="70" t="s">
        <v>275</v>
      </c>
      <c r="L111" s="69" t="s">
        <v>185</v>
      </c>
      <c r="M111" s="68" t="s">
        <v>293</v>
      </c>
      <c r="N111" s="68">
        <v>9.25</v>
      </c>
      <c r="O111" s="68">
        <v>15.2</v>
      </c>
      <c r="P111" s="144">
        <v>15.2</v>
      </c>
      <c r="Q111" s="144">
        <v>15.2</v>
      </c>
      <c r="R111" s="144">
        <v>15.2</v>
      </c>
      <c r="S111" s="144">
        <v>15.2</v>
      </c>
      <c r="T111" s="144">
        <v>15.2</v>
      </c>
      <c r="U111" s="144">
        <v>15.2</v>
      </c>
      <c r="V111" s="144">
        <v>12.5</v>
      </c>
      <c r="W111" s="144">
        <v>12.5</v>
      </c>
      <c r="X111" s="144">
        <v>12.5</v>
      </c>
      <c r="Y111" s="144">
        <v>12.5</v>
      </c>
      <c r="Z111" s="144">
        <v>12.5</v>
      </c>
      <c r="AA111" s="58">
        <v>12.5</v>
      </c>
      <c r="AB111" s="58">
        <v>1.5</v>
      </c>
      <c r="AC111" s="10">
        <v>1.5</v>
      </c>
      <c r="AD111" s="10">
        <v>1.5</v>
      </c>
      <c r="AE111" s="10">
        <v>1.5</v>
      </c>
      <c r="AF111" s="10">
        <v>1.5</v>
      </c>
      <c r="AG111" s="10">
        <v>1.5</v>
      </c>
      <c r="AH111" s="10">
        <v>1.5</v>
      </c>
      <c r="AI111" s="10">
        <v>4.5199999999999996</v>
      </c>
      <c r="AJ111" s="10">
        <v>4.5199999999999996</v>
      </c>
      <c r="AK111" s="10">
        <v>4.5199999999999996</v>
      </c>
      <c r="AL111" s="10">
        <v>4.5199999999999996</v>
      </c>
      <c r="AM111" s="10">
        <v>4.5199999999999996</v>
      </c>
      <c r="AN111" s="149">
        <v>4.5199999999999996</v>
      </c>
      <c r="AO111" s="5">
        <v>0</v>
      </c>
      <c r="AP111" s="118">
        <f t="shared" si="30"/>
        <v>0</v>
      </c>
      <c r="AQ111" s="5">
        <v>0</v>
      </c>
      <c r="AR111" s="118">
        <f t="shared" si="29"/>
        <v>0</v>
      </c>
      <c r="AS111" s="5">
        <v>0</v>
      </c>
      <c r="AT111" s="127">
        <f t="shared" si="27"/>
        <v>0</v>
      </c>
      <c r="AU111" s="5">
        <v>0</v>
      </c>
      <c r="AV111" s="118">
        <f t="shared" si="31"/>
        <v>0</v>
      </c>
      <c r="AW111" s="5">
        <v>0</v>
      </c>
      <c r="AX111" s="118">
        <f t="shared" si="32"/>
        <v>0</v>
      </c>
      <c r="AY111" s="5">
        <v>0</v>
      </c>
      <c r="AZ111" s="127">
        <f t="shared" si="28"/>
        <v>0</v>
      </c>
      <c r="BA111" s="5">
        <v>0</v>
      </c>
      <c r="BB111" s="118">
        <f t="shared" si="19"/>
        <v>0</v>
      </c>
      <c r="BC111" s="5">
        <v>0</v>
      </c>
      <c r="BD111" s="118">
        <f t="shared" si="20"/>
        <v>0</v>
      </c>
      <c r="BE111" s="5">
        <v>0</v>
      </c>
      <c r="BF111" s="127">
        <f t="shared" si="21"/>
        <v>0</v>
      </c>
      <c r="BG111" s="5">
        <v>0</v>
      </c>
      <c r="BH111" s="118">
        <f t="shared" si="22"/>
        <v>0</v>
      </c>
      <c r="BI111" s="5">
        <v>0</v>
      </c>
      <c r="BJ111" s="118">
        <f t="shared" si="23"/>
        <v>0</v>
      </c>
      <c r="BK111" s="5">
        <v>0</v>
      </c>
      <c r="BL111" s="127">
        <f t="shared" si="24"/>
        <v>0</v>
      </c>
    </row>
    <row r="112" spans="1:64">
      <c r="A112" s="112" t="s">
        <v>259</v>
      </c>
      <c r="B112" s="106" t="s">
        <v>267</v>
      </c>
      <c r="C112" s="66" t="s">
        <v>175</v>
      </c>
      <c r="D112" s="287"/>
      <c r="E112" s="103" t="s">
        <v>176</v>
      </c>
      <c r="F112" s="282"/>
      <c r="G112" s="71" t="s">
        <v>202</v>
      </c>
      <c r="H112" s="70" t="s">
        <v>292</v>
      </c>
      <c r="I112" s="70" t="s">
        <v>184</v>
      </c>
      <c r="J112" s="71" t="s">
        <v>283</v>
      </c>
      <c r="K112" s="70" t="s">
        <v>294</v>
      </c>
      <c r="L112" s="69" t="s">
        <v>185</v>
      </c>
      <c r="M112" s="68" t="s">
        <v>293</v>
      </c>
      <c r="N112" s="68">
        <v>9.25</v>
      </c>
      <c r="O112" s="68">
        <v>15.2</v>
      </c>
      <c r="P112" s="144">
        <v>15.2</v>
      </c>
      <c r="Q112" s="144">
        <v>15.2</v>
      </c>
      <c r="R112" s="144">
        <v>15.2</v>
      </c>
      <c r="S112" s="144">
        <v>15.2</v>
      </c>
      <c r="T112" s="144">
        <v>15.2</v>
      </c>
      <c r="U112" s="144">
        <v>15.2</v>
      </c>
      <c r="V112" s="144">
        <v>13.4</v>
      </c>
      <c r="W112" s="144">
        <v>13.4</v>
      </c>
      <c r="X112" s="144">
        <v>13.4</v>
      </c>
      <c r="Y112" s="144">
        <v>13.4</v>
      </c>
      <c r="Z112" s="144">
        <v>13.4</v>
      </c>
      <c r="AA112" s="58">
        <v>13.4</v>
      </c>
      <c r="AB112" s="58">
        <v>1.5</v>
      </c>
      <c r="AC112" s="10">
        <v>1.5</v>
      </c>
      <c r="AD112" s="10">
        <v>1.5</v>
      </c>
      <c r="AE112" s="10">
        <v>1.5</v>
      </c>
      <c r="AF112" s="10">
        <v>1.5</v>
      </c>
      <c r="AG112" s="10">
        <v>1.5</v>
      </c>
      <c r="AH112" s="10">
        <v>1.5</v>
      </c>
      <c r="AI112" s="10">
        <v>4.4000000000000004</v>
      </c>
      <c r="AJ112" s="10">
        <v>4.4000000000000004</v>
      </c>
      <c r="AK112" s="10">
        <v>4.4000000000000004</v>
      </c>
      <c r="AL112" s="10">
        <v>4.4000000000000004</v>
      </c>
      <c r="AM112" s="10">
        <v>4.4000000000000004</v>
      </c>
      <c r="AN112" s="149">
        <v>4.4000000000000004</v>
      </c>
      <c r="AO112" s="5">
        <v>0</v>
      </c>
      <c r="AP112" s="118">
        <f t="shared" si="30"/>
        <v>0</v>
      </c>
      <c r="AQ112" s="5">
        <v>0</v>
      </c>
      <c r="AR112" s="118">
        <f t="shared" si="29"/>
        <v>0</v>
      </c>
      <c r="AS112" s="5">
        <v>0</v>
      </c>
      <c r="AT112" s="127">
        <f t="shared" si="27"/>
        <v>0</v>
      </c>
      <c r="AU112" s="5">
        <v>0</v>
      </c>
      <c r="AV112" s="118">
        <f t="shared" si="31"/>
        <v>0</v>
      </c>
      <c r="AW112" s="5">
        <v>0</v>
      </c>
      <c r="AX112" s="118">
        <f t="shared" si="32"/>
        <v>0</v>
      </c>
      <c r="AY112" s="5">
        <v>0</v>
      </c>
      <c r="AZ112" s="127">
        <f t="shared" si="28"/>
        <v>0</v>
      </c>
      <c r="BA112" s="5">
        <v>0</v>
      </c>
      <c r="BB112" s="118">
        <f t="shared" si="19"/>
        <v>0</v>
      </c>
      <c r="BC112" s="5">
        <v>0</v>
      </c>
      <c r="BD112" s="118">
        <f t="shared" si="20"/>
        <v>0</v>
      </c>
      <c r="BE112" s="5">
        <v>0</v>
      </c>
      <c r="BF112" s="127">
        <f t="shared" si="21"/>
        <v>0</v>
      </c>
      <c r="BG112" s="5">
        <v>0</v>
      </c>
      <c r="BH112" s="118">
        <f t="shared" si="22"/>
        <v>0</v>
      </c>
      <c r="BI112" s="5">
        <v>0</v>
      </c>
      <c r="BJ112" s="118">
        <f t="shared" si="23"/>
        <v>0</v>
      </c>
      <c r="BK112" s="5">
        <v>0</v>
      </c>
      <c r="BL112" s="127">
        <f t="shared" si="24"/>
        <v>0</v>
      </c>
    </row>
    <row r="113" spans="1:64">
      <c r="A113" s="112" t="s">
        <v>259</v>
      </c>
      <c r="B113" s="106" t="s">
        <v>267</v>
      </c>
      <c r="C113" s="66" t="s">
        <v>175</v>
      </c>
      <c r="D113" s="287"/>
      <c r="E113" s="103" t="s">
        <v>176</v>
      </c>
      <c r="F113" s="282"/>
      <c r="G113" s="71" t="s">
        <v>385</v>
      </c>
      <c r="H113" s="70" t="s">
        <v>397</v>
      </c>
      <c r="I113" s="70" t="s">
        <v>184</v>
      </c>
      <c r="J113" s="71" t="s">
        <v>193</v>
      </c>
      <c r="K113" s="70" t="s">
        <v>398</v>
      </c>
      <c r="L113" s="69" t="s">
        <v>213</v>
      </c>
      <c r="M113" s="68" t="s">
        <v>214</v>
      </c>
      <c r="N113" s="68">
        <v>9.73</v>
      </c>
      <c r="O113" s="68">
        <v>15.4</v>
      </c>
      <c r="P113" s="144">
        <v>15.4</v>
      </c>
      <c r="Q113" s="144">
        <v>15.4</v>
      </c>
      <c r="R113" s="144">
        <v>15.4</v>
      </c>
      <c r="S113" s="144">
        <v>15.4</v>
      </c>
      <c r="T113" s="144">
        <v>15.4</v>
      </c>
      <c r="U113" s="144">
        <v>15.4</v>
      </c>
      <c r="V113" s="144">
        <v>13.2</v>
      </c>
      <c r="W113" s="144">
        <v>13.2</v>
      </c>
      <c r="X113" s="144">
        <v>13.2</v>
      </c>
      <c r="Y113" s="144">
        <v>13.2</v>
      </c>
      <c r="Z113" s="144">
        <v>13.2</v>
      </c>
      <c r="AA113" s="58">
        <v>13.2</v>
      </c>
      <c r="AB113" s="58">
        <v>0</v>
      </c>
      <c r="AC113" s="10">
        <v>0</v>
      </c>
      <c r="AD113" s="10">
        <v>0</v>
      </c>
      <c r="AE113" s="10">
        <v>0</v>
      </c>
      <c r="AF113" s="10">
        <v>0</v>
      </c>
      <c r="AG113" s="10">
        <v>0</v>
      </c>
      <c r="AH113" s="10">
        <v>3.5</v>
      </c>
      <c r="AI113" s="10">
        <v>5.22</v>
      </c>
      <c r="AJ113" s="10">
        <v>5.22</v>
      </c>
      <c r="AK113" s="10">
        <v>5.22</v>
      </c>
      <c r="AL113" s="10">
        <v>5.22</v>
      </c>
      <c r="AM113" s="10">
        <v>5.22</v>
      </c>
      <c r="AN113" s="149">
        <v>5.22</v>
      </c>
      <c r="AO113" s="5">
        <v>0</v>
      </c>
      <c r="AP113" s="118">
        <f t="shared" si="30"/>
        <v>0</v>
      </c>
      <c r="AQ113" s="5">
        <v>0</v>
      </c>
      <c r="AR113" s="118">
        <f t="shared" si="29"/>
        <v>0</v>
      </c>
      <c r="AS113" s="5">
        <v>0</v>
      </c>
      <c r="AT113" s="127">
        <f t="shared" si="27"/>
        <v>0</v>
      </c>
      <c r="AU113" s="5">
        <v>0</v>
      </c>
      <c r="AV113" s="118">
        <f t="shared" si="31"/>
        <v>0</v>
      </c>
      <c r="AW113" s="5">
        <v>0</v>
      </c>
      <c r="AX113" s="118">
        <f t="shared" si="32"/>
        <v>0</v>
      </c>
      <c r="AY113" s="5">
        <v>0</v>
      </c>
      <c r="AZ113" s="127">
        <f t="shared" si="28"/>
        <v>0</v>
      </c>
      <c r="BA113" s="5">
        <v>0</v>
      </c>
      <c r="BB113" s="118">
        <f t="shared" si="19"/>
        <v>0</v>
      </c>
      <c r="BC113" s="5">
        <v>1440</v>
      </c>
      <c r="BD113" s="118">
        <f t="shared" si="20"/>
        <v>7516.7999999999993</v>
      </c>
      <c r="BE113" s="5">
        <v>597</v>
      </c>
      <c r="BF113" s="127">
        <f t="shared" si="21"/>
        <v>3116.3399999999997</v>
      </c>
      <c r="BG113" s="5">
        <v>2720</v>
      </c>
      <c r="BH113" s="118">
        <f t="shared" si="22"/>
        <v>14198.4</v>
      </c>
      <c r="BI113" s="5">
        <v>3553</v>
      </c>
      <c r="BJ113" s="118">
        <f t="shared" si="23"/>
        <v>18546.66</v>
      </c>
      <c r="BK113" s="5">
        <v>1920</v>
      </c>
      <c r="BL113" s="127">
        <f t="shared" si="24"/>
        <v>10022.4</v>
      </c>
    </row>
    <row r="114" spans="1:64">
      <c r="A114" s="112" t="s">
        <v>259</v>
      </c>
      <c r="B114" s="106" t="s">
        <v>267</v>
      </c>
      <c r="C114" s="66" t="s">
        <v>175</v>
      </c>
      <c r="D114" s="287"/>
      <c r="E114" s="103" t="s">
        <v>176</v>
      </c>
      <c r="F114" s="282"/>
      <c r="G114" s="71" t="s">
        <v>385</v>
      </c>
      <c r="H114" s="70" t="s">
        <v>397</v>
      </c>
      <c r="I114" s="70" t="s">
        <v>184</v>
      </c>
      <c r="J114" s="71" t="s">
        <v>193</v>
      </c>
      <c r="K114" s="70" t="s">
        <v>399</v>
      </c>
      <c r="L114" s="69" t="s">
        <v>213</v>
      </c>
      <c r="M114" s="68" t="s">
        <v>214</v>
      </c>
      <c r="N114" s="68">
        <v>11.73</v>
      </c>
      <c r="O114" s="68">
        <v>18.399999999999999</v>
      </c>
      <c r="P114" s="144">
        <v>18.399999999999999</v>
      </c>
      <c r="Q114" s="144">
        <v>18.399999999999999</v>
      </c>
      <c r="R114" s="144">
        <v>18.399999999999999</v>
      </c>
      <c r="S114" s="144">
        <v>18.399999999999999</v>
      </c>
      <c r="T114" s="144">
        <v>18.399999999999999</v>
      </c>
      <c r="U114" s="144">
        <v>18.399999999999999</v>
      </c>
      <c r="V114" s="144">
        <v>16</v>
      </c>
      <c r="W114" s="144">
        <v>16</v>
      </c>
      <c r="X114" s="144">
        <v>16</v>
      </c>
      <c r="Y114" s="144">
        <v>16</v>
      </c>
      <c r="Z114" s="144">
        <v>16</v>
      </c>
      <c r="AA114" s="58">
        <v>16</v>
      </c>
      <c r="AB114" s="58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>
        <v>3.5</v>
      </c>
      <c r="AI114" s="10">
        <v>5.27</v>
      </c>
      <c r="AJ114" s="10">
        <v>5.27</v>
      </c>
      <c r="AK114" s="10">
        <v>5.27</v>
      </c>
      <c r="AL114" s="10">
        <v>5.27</v>
      </c>
      <c r="AM114" s="10">
        <v>5.27</v>
      </c>
      <c r="AN114" s="149">
        <v>5.27</v>
      </c>
      <c r="AO114" s="5">
        <v>0</v>
      </c>
      <c r="AP114" s="118">
        <f t="shared" si="30"/>
        <v>0</v>
      </c>
      <c r="AQ114" s="5">
        <v>0</v>
      </c>
      <c r="AR114" s="118">
        <f t="shared" si="29"/>
        <v>0</v>
      </c>
      <c r="AS114" s="5">
        <v>0</v>
      </c>
      <c r="AT114" s="127">
        <f t="shared" si="27"/>
        <v>0</v>
      </c>
      <c r="AU114" s="5">
        <v>0</v>
      </c>
      <c r="AV114" s="118">
        <f t="shared" si="31"/>
        <v>0</v>
      </c>
      <c r="AW114" s="5">
        <v>0</v>
      </c>
      <c r="AX114" s="118">
        <f t="shared" si="32"/>
        <v>0</v>
      </c>
      <c r="AY114" s="5">
        <v>720</v>
      </c>
      <c r="AZ114" s="127">
        <f t="shared" si="28"/>
        <v>2520</v>
      </c>
      <c r="BA114" s="5">
        <v>1672</v>
      </c>
      <c r="BB114" s="118">
        <f t="shared" si="19"/>
        <v>8811.4399999999987</v>
      </c>
      <c r="BC114" s="5">
        <v>480</v>
      </c>
      <c r="BD114" s="118">
        <f t="shared" si="20"/>
        <v>2529.6</v>
      </c>
      <c r="BE114" s="5">
        <v>398</v>
      </c>
      <c r="BF114" s="127">
        <f t="shared" si="21"/>
        <v>2097.46</v>
      </c>
      <c r="BG114" s="5">
        <v>520</v>
      </c>
      <c r="BH114" s="118">
        <f t="shared" si="22"/>
        <v>2740.3999999999996</v>
      </c>
      <c r="BI114" s="5">
        <v>1560</v>
      </c>
      <c r="BJ114" s="118">
        <f t="shared" si="23"/>
        <v>8221.1999999999989</v>
      </c>
      <c r="BK114" s="5">
        <v>1240</v>
      </c>
      <c r="BL114" s="127">
        <f t="shared" si="24"/>
        <v>6534.7999999999993</v>
      </c>
    </row>
    <row r="115" spans="1:64">
      <c r="A115" s="112" t="s">
        <v>259</v>
      </c>
      <c r="B115" s="106" t="s">
        <v>267</v>
      </c>
      <c r="C115" s="66" t="s">
        <v>175</v>
      </c>
      <c r="D115" s="287"/>
      <c r="E115" s="103" t="s">
        <v>176</v>
      </c>
      <c r="F115" s="282"/>
      <c r="G115" s="71" t="s">
        <v>385</v>
      </c>
      <c r="H115" s="70" t="s">
        <v>400</v>
      </c>
      <c r="I115" s="70" t="s">
        <v>184</v>
      </c>
      <c r="J115" s="71" t="s">
        <v>283</v>
      </c>
      <c r="K115" s="70" t="s">
        <v>401</v>
      </c>
      <c r="L115" s="69" t="s">
        <v>213</v>
      </c>
      <c r="M115" s="68" t="s">
        <v>214</v>
      </c>
      <c r="N115" s="68">
        <v>8.6999999999999993</v>
      </c>
      <c r="O115" s="68">
        <v>14.3</v>
      </c>
      <c r="P115" s="144">
        <v>14.3</v>
      </c>
      <c r="Q115" s="144">
        <v>14.3</v>
      </c>
      <c r="R115" s="144">
        <v>14.3</v>
      </c>
      <c r="S115" s="144">
        <v>14.3</v>
      </c>
      <c r="T115" s="144">
        <v>14.3</v>
      </c>
      <c r="U115" s="144">
        <v>14.3</v>
      </c>
      <c r="V115" s="144">
        <v>12.5</v>
      </c>
      <c r="W115" s="144">
        <v>12.5</v>
      </c>
      <c r="X115" s="144">
        <v>12.5</v>
      </c>
      <c r="Y115" s="144">
        <v>12.5</v>
      </c>
      <c r="Z115" s="144">
        <v>12.5</v>
      </c>
      <c r="AA115" s="58">
        <v>12.5</v>
      </c>
      <c r="AB115" s="58">
        <v>0</v>
      </c>
      <c r="AC115" s="10">
        <v>0</v>
      </c>
      <c r="AD115" s="10">
        <v>0</v>
      </c>
      <c r="AE115" s="10">
        <v>0</v>
      </c>
      <c r="AF115" s="10">
        <v>0</v>
      </c>
      <c r="AG115" s="10">
        <v>0</v>
      </c>
      <c r="AH115" s="10">
        <v>0</v>
      </c>
      <c r="AI115" s="10">
        <v>4.12</v>
      </c>
      <c r="AJ115" s="10">
        <v>4.12</v>
      </c>
      <c r="AK115" s="10">
        <v>4.12</v>
      </c>
      <c r="AL115" s="10">
        <v>4.12</v>
      </c>
      <c r="AM115" s="10">
        <v>4.12</v>
      </c>
      <c r="AN115" s="149">
        <v>4.12</v>
      </c>
      <c r="AO115" s="5">
        <v>0</v>
      </c>
      <c r="AP115" s="118">
        <f t="shared" si="30"/>
        <v>0</v>
      </c>
      <c r="AQ115" s="5">
        <v>0</v>
      </c>
      <c r="AR115" s="118">
        <f t="shared" si="29"/>
        <v>0</v>
      </c>
      <c r="AS115" s="5">
        <v>0</v>
      </c>
      <c r="AT115" s="127">
        <f t="shared" si="27"/>
        <v>0</v>
      </c>
      <c r="AU115" s="5">
        <v>0</v>
      </c>
      <c r="AV115" s="118">
        <f t="shared" si="31"/>
        <v>0</v>
      </c>
      <c r="AW115" s="5">
        <v>0</v>
      </c>
      <c r="AX115" s="118">
        <f t="shared" si="32"/>
        <v>0</v>
      </c>
      <c r="AY115" s="5">
        <v>0</v>
      </c>
      <c r="AZ115" s="127">
        <f t="shared" si="28"/>
        <v>0</v>
      </c>
      <c r="BA115" s="5">
        <v>0</v>
      </c>
      <c r="BB115" s="118">
        <f t="shared" si="19"/>
        <v>0</v>
      </c>
      <c r="BC115" s="5">
        <v>0</v>
      </c>
      <c r="BD115" s="118">
        <f t="shared" si="20"/>
        <v>0</v>
      </c>
      <c r="BE115" s="5">
        <v>0</v>
      </c>
      <c r="BF115" s="127">
        <f t="shared" si="21"/>
        <v>0</v>
      </c>
      <c r="BG115" s="5">
        <v>0</v>
      </c>
      <c r="BH115" s="118">
        <f t="shared" si="22"/>
        <v>0</v>
      </c>
      <c r="BI115" s="5">
        <v>0</v>
      </c>
      <c r="BJ115" s="118">
        <f t="shared" si="23"/>
        <v>0</v>
      </c>
      <c r="BK115" s="5">
        <v>0</v>
      </c>
      <c r="BL115" s="127">
        <f t="shared" si="24"/>
        <v>0</v>
      </c>
    </row>
    <row r="116" spans="1:64">
      <c r="A116" s="112" t="s">
        <v>259</v>
      </c>
      <c r="B116" s="106" t="s">
        <v>267</v>
      </c>
      <c r="C116" s="66" t="s">
        <v>175</v>
      </c>
      <c r="D116" s="287"/>
      <c r="E116" s="103" t="s">
        <v>176</v>
      </c>
      <c r="F116" s="282"/>
      <c r="G116" s="71" t="s">
        <v>385</v>
      </c>
      <c r="H116" s="70" t="s">
        <v>400</v>
      </c>
      <c r="I116" s="70" t="s">
        <v>184</v>
      </c>
      <c r="J116" s="71" t="s">
        <v>283</v>
      </c>
      <c r="K116" s="70" t="s">
        <v>402</v>
      </c>
      <c r="L116" s="69" t="s">
        <v>213</v>
      </c>
      <c r="M116" s="68" t="s">
        <v>214</v>
      </c>
      <c r="N116" s="68">
        <v>9.25</v>
      </c>
      <c r="O116" s="68">
        <v>15.3</v>
      </c>
      <c r="P116" s="144">
        <v>15.3</v>
      </c>
      <c r="Q116" s="144">
        <v>15.3</v>
      </c>
      <c r="R116" s="144">
        <v>15.3</v>
      </c>
      <c r="S116" s="144">
        <v>15.3</v>
      </c>
      <c r="T116" s="144">
        <v>15.3</v>
      </c>
      <c r="U116" s="144">
        <v>15.3</v>
      </c>
      <c r="V116" s="144">
        <v>13.4</v>
      </c>
      <c r="W116" s="144">
        <v>13.4</v>
      </c>
      <c r="X116" s="144">
        <v>13.4</v>
      </c>
      <c r="Y116" s="144">
        <v>13.4</v>
      </c>
      <c r="Z116" s="144">
        <v>13.4</v>
      </c>
      <c r="AA116" s="58">
        <v>13.4</v>
      </c>
      <c r="AB116" s="58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  <c r="AI116" s="10">
        <v>0</v>
      </c>
      <c r="AJ116" s="10">
        <v>0</v>
      </c>
      <c r="AK116" s="10">
        <v>0</v>
      </c>
      <c r="AL116" s="10">
        <v>0</v>
      </c>
      <c r="AM116" s="10">
        <v>0</v>
      </c>
      <c r="AN116" s="149">
        <v>0</v>
      </c>
      <c r="AO116" s="5">
        <v>0</v>
      </c>
      <c r="AP116" s="118">
        <f t="shared" si="30"/>
        <v>0</v>
      </c>
      <c r="AQ116" s="5">
        <v>0</v>
      </c>
      <c r="AR116" s="118">
        <f t="shared" si="29"/>
        <v>0</v>
      </c>
      <c r="AS116" s="5">
        <v>0</v>
      </c>
      <c r="AT116" s="127">
        <f t="shared" si="27"/>
        <v>0</v>
      </c>
      <c r="AU116" s="5">
        <v>0</v>
      </c>
      <c r="AV116" s="118">
        <f t="shared" si="31"/>
        <v>0</v>
      </c>
      <c r="AW116" s="5">
        <v>0</v>
      </c>
      <c r="AX116" s="118">
        <f t="shared" si="32"/>
        <v>0</v>
      </c>
      <c r="AY116" s="5">
        <v>0</v>
      </c>
      <c r="AZ116" s="127">
        <f t="shared" si="28"/>
        <v>0</v>
      </c>
      <c r="BA116" s="5">
        <v>0</v>
      </c>
      <c r="BB116" s="118">
        <f t="shared" si="19"/>
        <v>0</v>
      </c>
      <c r="BC116" s="5">
        <v>0</v>
      </c>
      <c r="BD116" s="118">
        <f t="shared" si="20"/>
        <v>0</v>
      </c>
      <c r="BE116" s="5">
        <v>0</v>
      </c>
      <c r="BF116" s="127">
        <f t="shared" si="21"/>
        <v>0</v>
      </c>
      <c r="BG116" s="5">
        <v>0</v>
      </c>
      <c r="BH116" s="118">
        <f t="shared" si="22"/>
        <v>0</v>
      </c>
      <c r="BI116" s="5">
        <v>0</v>
      </c>
      <c r="BJ116" s="118">
        <f t="shared" si="23"/>
        <v>0</v>
      </c>
      <c r="BK116" s="5">
        <v>0</v>
      </c>
      <c r="BL116" s="127">
        <f t="shared" si="24"/>
        <v>0</v>
      </c>
    </row>
    <row r="117" spans="1:64">
      <c r="A117" s="112" t="s">
        <v>259</v>
      </c>
      <c r="B117" s="106"/>
      <c r="C117" s="66" t="s">
        <v>175</v>
      </c>
      <c r="D117" s="287"/>
      <c r="E117" s="103" t="s">
        <v>176</v>
      </c>
      <c r="F117" s="282"/>
      <c r="G117" s="72"/>
      <c r="H117" s="54"/>
      <c r="I117" s="54"/>
      <c r="J117" s="55"/>
      <c r="K117" s="54"/>
      <c r="L117" s="53"/>
      <c r="M117" s="52"/>
      <c r="N117" s="52"/>
      <c r="O117" s="52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49"/>
      <c r="AB117" s="49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150"/>
      <c r="AO117" s="23"/>
      <c r="AP117" s="118">
        <f t="shared" si="30"/>
        <v>0</v>
      </c>
      <c r="AQ117" s="23"/>
      <c r="AR117" s="118">
        <f t="shared" si="29"/>
        <v>0</v>
      </c>
      <c r="AS117" s="23">
        <v>0</v>
      </c>
      <c r="AT117" s="127">
        <f t="shared" si="27"/>
        <v>0</v>
      </c>
      <c r="AU117" s="23">
        <v>0</v>
      </c>
      <c r="AV117" s="118">
        <f t="shared" si="31"/>
        <v>0</v>
      </c>
      <c r="AW117" s="23"/>
      <c r="AX117" s="118">
        <f t="shared" si="32"/>
        <v>0</v>
      </c>
      <c r="AY117" s="23"/>
      <c r="AZ117" s="127">
        <f t="shared" si="28"/>
        <v>0</v>
      </c>
      <c r="BA117" s="50">
        <v>0</v>
      </c>
      <c r="BB117" s="118">
        <f t="shared" si="19"/>
        <v>0</v>
      </c>
      <c r="BC117" s="50"/>
      <c r="BD117" s="118">
        <f t="shared" si="20"/>
        <v>0</v>
      </c>
      <c r="BE117" s="23"/>
      <c r="BF117" s="127">
        <f t="shared" si="21"/>
        <v>0</v>
      </c>
      <c r="BG117" s="50"/>
      <c r="BH117" s="118">
        <f t="shared" si="22"/>
        <v>0</v>
      </c>
      <c r="BI117" s="23"/>
      <c r="BJ117" s="118">
        <f t="shared" si="23"/>
        <v>0</v>
      </c>
      <c r="BK117" s="23">
        <v>0</v>
      </c>
      <c r="BL117" s="127">
        <f t="shared" si="24"/>
        <v>0</v>
      </c>
    </row>
    <row r="118" spans="1:64">
      <c r="A118" s="112" t="s">
        <v>259</v>
      </c>
      <c r="B118" s="106"/>
      <c r="C118" s="66" t="s">
        <v>175</v>
      </c>
      <c r="D118" s="287"/>
      <c r="E118" s="103" t="s">
        <v>176</v>
      </c>
      <c r="F118" s="282" t="s">
        <v>77</v>
      </c>
      <c r="G118" s="64"/>
      <c r="H118" s="63"/>
      <c r="I118" s="63"/>
      <c r="J118" s="64"/>
      <c r="K118" s="63"/>
      <c r="L118" s="62"/>
      <c r="M118" s="61"/>
      <c r="N118" s="61"/>
      <c r="O118" s="61"/>
      <c r="P118" s="154"/>
      <c r="Q118" s="154"/>
      <c r="R118" s="154"/>
      <c r="S118" s="154"/>
      <c r="T118" s="154"/>
      <c r="U118" s="154"/>
      <c r="V118" s="154"/>
      <c r="W118" s="154"/>
      <c r="X118" s="154"/>
      <c r="Y118" s="154"/>
      <c r="Z118" s="154"/>
      <c r="AA118" s="59"/>
      <c r="AB118" s="59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49"/>
      <c r="AP118" s="117">
        <f t="shared" si="30"/>
        <v>0</v>
      </c>
      <c r="AQ118" s="22"/>
      <c r="AR118" s="117">
        <f t="shared" si="29"/>
        <v>0</v>
      </c>
      <c r="AS118" s="22">
        <v>0</v>
      </c>
      <c r="AT118" s="126">
        <f t="shared" si="27"/>
        <v>0</v>
      </c>
      <c r="AU118" s="22">
        <v>0</v>
      </c>
      <c r="AV118" s="117">
        <f t="shared" si="31"/>
        <v>0</v>
      </c>
      <c r="AW118" s="22"/>
      <c r="AX118" s="117">
        <f t="shared" si="32"/>
        <v>0</v>
      </c>
      <c r="AY118" s="22"/>
      <c r="AZ118" s="126">
        <f t="shared" si="28"/>
        <v>0</v>
      </c>
      <c r="BA118" s="79">
        <v>0</v>
      </c>
      <c r="BB118" s="117">
        <f t="shared" si="19"/>
        <v>0</v>
      </c>
      <c r="BC118" s="79"/>
      <c r="BD118" s="117">
        <f t="shared" si="20"/>
        <v>0</v>
      </c>
      <c r="BE118" s="22"/>
      <c r="BF118" s="126">
        <f t="shared" si="21"/>
        <v>0</v>
      </c>
      <c r="BG118" s="79"/>
      <c r="BH118" s="117">
        <f t="shared" si="22"/>
        <v>0</v>
      </c>
      <c r="BI118" s="22"/>
      <c r="BJ118" s="117">
        <f t="shared" si="23"/>
        <v>0</v>
      </c>
      <c r="BK118" s="22">
        <v>0</v>
      </c>
      <c r="BL118" s="126">
        <f t="shared" si="24"/>
        <v>0</v>
      </c>
    </row>
    <row r="119" spans="1:64">
      <c r="A119" s="112" t="s">
        <v>259</v>
      </c>
      <c r="B119" s="106"/>
      <c r="C119" s="66" t="s">
        <v>175</v>
      </c>
      <c r="D119" s="287"/>
      <c r="E119" s="103" t="s">
        <v>176</v>
      </c>
      <c r="F119" s="282"/>
      <c r="G119" s="72"/>
      <c r="H119" s="54"/>
      <c r="I119" s="54"/>
      <c r="J119" s="55"/>
      <c r="K119" s="54"/>
      <c r="L119" s="53"/>
      <c r="M119" s="52"/>
      <c r="N119" s="52"/>
      <c r="O119" s="52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49"/>
      <c r="AB119" s="49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150"/>
      <c r="AO119" s="23"/>
      <c r="AP119" s="118">
        <f t="shared" si="30"/>
        <v>0</v>
      </c>
      <c r="AQ119" s="23"/>
      <c r="AR119" s="118">
        <f t="shared" si="29"/>
        <v>0</v>
      </c>
      <c r="AS119" s="23">
        <v>0</v>
      </c>
      <c r="AT119" s="127">
        <f t="shared" si="27"/>
        <v>0</v>
      </c>
      <c r="AU119" s="23">
        <v>0</v>
      </c>
      <c r="AV119" s="118">
        <f t="shared" si="31"/>
        <v>0</v>
      </c>
      <c r="AW119" s="23"/>
      <c r="AX119" s="118">
        <f t="shared" si="32"/>
        <v>0</v>
      </c>
      <c r="AY119" s="23"/>
      <c r="AZ119" s="127">
        <f t="shared" si="28"/>
        <v>0</v>
      </c>
      <c r="BA119" s="50">
        <v>0</v>
      </c>
      <c r="BB119" s="118">
        <f t="shared" si="19"/>
        <v>0</v>
      </c>
      <c r="BC119" s="50"/>
      <c r="BD119" s="118">
        <f t="shared" si="20"/>
        <v>0</v>
      </c>
      <c r="BE119" s="23"/>
      <c r="BF119" s="127">
        <f t="shared" si="21"/>
        <v>0</v>
      </c>
      <c r="BG119" s="50"/>
      <c r="BH119" s="118">
        <f t="shared" si="22"/>
        <v>0</v>
      </c>
      <c r="BI119" s="23"/>
      <c r="BJ119" s="118">
        <f t="shared" si="23"/>
        <v>0</v>
      </c>
      <c r="BK119" s="23">
        <v>0</v>
      </c>
      <c r="BL119" s="127">
        <f t="shared" si="24"/>
        <v>0</v>
      </c>
    </row>
    <row r="120" spans="1:64">
      <c r="A120" s="112" t="s">
        <v>259</v>
      </c>
      <c r="B120" s="106" t="s">
        <v>267</v>
      </c>
      <c r="C120" s="66" t="s">
        <v>175</v>
      </c>
      <c r="D120" s="287"/>
      <c r="E120" s="103" t="s">
        <v>176</v>
      </c>
      <c r="F120" s="282" t="s">
        <v>295</v>
      </c>
      <c r="G120" s="64" t="s">
        <v>200</v>
      </c>
      <c r="H120" s="63" t="s">
        <v>296</v>
      </c>
      <c r="I120" s="63" t="s">
        <v>184</v>
      </c>
      <c r="J120" s="64" t="s">
        <v>193</v>
      </c>
      <c r="K120" s="63" t="s">
        <v>297</v>
      </c>
      <c r="L120" s="62" t="s">
        <v>213</v>
      </c>
      <c r="M120" s="61" t="s">
        <v>214</v>
      </c>
      <c r="N120" s="61">
        <v>8.92</v>
      </c>
      <c r="O120" s="61">
        <v>14.4</v>
      </c>
      <c r="P120" s="154">
        <v>14.4</v>
      </c>
      <c r="Q120" s="154">
        <v>14.4</v>
      </c>
      <c r="R120" s="154">
        <v>14.4</v>
      </c>
      <c r="S120" s="154">
        <v>14.4</v>
      </c>
      <c r="T120" s="154">
        <v>14.4</v>
      </c>
      <c r="U120" s="154">
        <v>14.4</v>
      </c>
      <c r="V120" s="154">
        <v>12.6</v>
      </c>
      <c r="W120" s="154">
        <v>12.6</v>
      </c>
      <c r="X120" s="154">
        <v>12.6</v>
      </c>
      <c r="Y120" s="154">
        <v>12.6</v>
      </c>
      <c r="Z120" s="154">
        <v>12.6</v>
      </c>
      <c r="AA120" s="59">
        <v>12.6</v>
      </c>
      <c r="AB120" s="59">
        <v>2.2000000000000002</v>
      </c>
      <c r="AC120" s="10">
        <v>4</v>
      </c>
      <c r="AD120" s="10">
        <v>5.71</v>
      </c>
      <c r="AE120" s="10">
        <v>5.71</v>
      </c>
      <c r="AF120" s="10">
        <v>5.71</v>
      </c>
      <c r="AG120" s="10">
        <v>5.71</v>
      </c>
      <c r="AH120" s="10">
        <v>5.71</v>
      </c>
      <c r="AI120" s="10">
        <v>3.91</v>
      </c>
      <c r="AJ120" s="10">
        <v>3.91</v>
      </c>
      <c r="AK120" s="10">
        <v>3.91</v>
      </c>
      <c r="AL120" s="10">
        <v>3.91</v>
      </c>
      <c r="AM120" s="10">
        <v>3.91</v>
      </c>
      <c r="AN120" s="149">
        <v>3.91</v>
      </c>
      <c r="AO120" s="5">
        <v>0</v>
      </c>
      <c r="AP120" s="117">
        <f t="shared" si="30"/>
        <v>0</v>
      </c>
      <c r="AQ120" s="5">
        <v>0</v>
      </c>
      <c r="AR120" s="117">
        <f t="shared" si="29"/>
        <v>0</v>
      </c>
      <c r="AS120" s="5">
        <v>0</v>
      </c>
      <c r="AT120" s="126">
        <f t="shared" si="27"/>
        <v>0</v>
      </c>
      <c r="AU120" s="5">
        <v>0</v>
      </c>
      <c r="AV120" s="117">
        <f t="shared" si="31"/>
        <v>0</v>
      </c>
      <c r="AW120" s="5">
        <v>0</v>
      </c>
      <c r="AX120" s="117">
        <f t="shared" si="32"/>
        <v>0</v>
      </c>
      <c r="AY120" s="5">
        <v>0</v>
      </c>
      <c r="AZ120" s="126">
        <f t="shared" si="28"/>
        <v>0</v>
      </c>
      <c r="BA120" s="105">
        <v>0</v>
      </c>
      <c r="BB120" s="117">
        <f t="shared" si="19"/>
        <v>0</v>
      </c>
      <c r="BC120" s="105">
        <v>0</v>
      </c>
      <c r="BD120" s="117">
        <f t="shared" si="20"/>
        <v>0</v>
      </c>
      <c r="BE120" s="5">
        <v>0</v>
      </c>
      <c r="BF120" s="126">
        <f t="shared" si="21"/>
        <v>0</v>
      </c>
      <c r="BG120" s="5">
        <v>0</v>
      </c>
      <c r="BH120" s="117">
        <f t="shared" si="22"/>
        <v>0</v>
      </c>
      <c r="BI120" s="5">
        <v>0</v>
      </c>
      <c r="BJ120" s="117">
        <f t="shared" si="23"/>
        <v>0</v>
      </c>
      <c r="BK120" s="5">
        <v>0</v>
      </c>
      <c r="BL120" s="126">
        <f t="shared" si="24"/>
        <v>0</v>
      </c>
    </row>
    <row r="121" spans="1:64">
      <c r="A121" s="112" t="s">
        <v>259</v>
      </c>
      <c r="B121" s="106" t="s">
        <v>267</v>
      </c>
      <c r="C121" s="66" t="s">
        <v>175</v>
      </c>
      <c r="D121" s="287"/>
      <c r="E121" s="103" t="s">
        <v>176</v>
      </c>
      <c r="F121" s="282"/>
      <c r="G121" s="71" t="s">
        <v>200</v>
      </c>
      <c r="H121" s="70" t="s">
        <v>296</v>
      </c>
      <c r="I121" s="70" t="s">
        <v>184</v>
      </c>
      <c r="J121" s="71" t="s">
        <v>193</v>
      </c>
      <c r="K121" s="70" t="s">
        <v>298</v>
      </c>
      <c r="L121" s="69" t="s">
        <v>213</v>
      </c>
      <c r="M121" s="68" t="s">
        <v>214</v>
      </c>
      <c r="N121" s="68">
        <v>8.92</v>
      </c>
      <c r="O121" s="68">
        <v>15.1</v>
      </c>
      <c r="P121" s="144">
        <v>15.1</v>
      </c>
      <c r="Q121" s="144">
        <v>15.1</v>
      </c>
      <c r="R121" s="144">
        <v>15.1</v>
      </c>
      <c r="S121" s="144">
        <v>15.1</v>
      </c>
      <c r="T121" s="144">
        <v>15.1</v>
      </c>
      <c r="U121" s="144">
        <v>15.1</v>
      </c>
      <c r="V121" s="144">
        <v>13.3</v>
      </c>
      <c r="W121" s="144">
        <v>13.3</v>
      </c>
      <c r="X121" s="144">
        <v>13.3</v>
      </c>
      <c r="Y121" s="144">
        <v>13.3</v>
      </c>
      <c r="Z121" s="144">
        <v>13.3</v>
      </c>
      <c r="AA121" s="58">
        <v>13.3</v>
      </c>
      <c r="AB121" s="58">
        <v>2.2000000000000002</v>
      </c>
      <c r="AC121" s="10">
        <v>4</v>
      </c>
      <c r="AD121" s="10">
        <v>6.18</v>
      </c>
      <c r="AE121" s="10">
        <v>6.18</v>
      </c>
      <c r="AF121" s="10">
        <v>6.18</v>
      </c>
      <c r="AG121" s="10">
        <v>6.18</v>
      </c>
      <c r="AH121" s="10">
        <v>6.18</v>
      </c>
      <c r="AI121" s="10">
        <v>4.38</v>
      </c>
      <c r="AJ121" s="10">
        <v>4.38</v>
      </c>
      <c r="AK121" s="10">
        <v>4.38</v>
      </c>
      <c r="AL121" s="10">
        <v>4.38</v>
      </c>
      <c r="AM121" s="10">
        <v>4.38</v>
      </c>
      <c r="AN121" s="149">
        <v>4.38</v>
      </c>
      <c r="AO121" s="5">
        <v>0</v>
      </c>
      <c r="AP121" s="118">
        <f t="shared" si="30"/>
        <v>0</v>
      </c>
      <c r="AQ121" s="5">
        <v>0</v>
      </c>
      <c r="AR121" s="118">
        <f t="shared" si="29"/>
        <v>0</v>
      </c>
      <c r="AS121" s="5">
        <v>0</v>
      </c>
      <c r="AT121" s="127">
        <f t="shared" si="27"/>
        <v>0</v>
      </c>
      <c r="AU121" s="5">
        <v>0</v>
      </c>
      <c r="AV121" s="118">
        <f t="shared" si="31"/>
        <v>0</v>
      </c>
      <c r="AW121" s="5">
        <v>0</v>
      </c>
      <c r="AX121" s="118">
        <f t="shared" si="32"/>
        <v>0</v>
      </c>
      <c r="AY121" s="5">
        <v>0</v>
      </c>
      <c r="AZ121" s="127">
        <f t="shared" si="28"/>
        <v>0</v>
      </c>
      <c r="BA121" s="105">
        <v>0</v>
      </c>
      <c r="BB121" s="118">
        <f t="shared" si="19"/>
        <v>0</v>
      </c>
      <c r="BC121" s="105">
        <v>0</v>
      </c>
      <c r="BD121" s="118">
        <f t="shared" si="20"/>
        <v>0</v>
      </c>
      <c r="BE121" s="5">
        <v>0</v>
      </c>
      <c r="BF121" s="127">
        <f t="shared" si="21"/>
        <v>0</v>
      </c>
      <c r="BG121" s="5">
        <v>0</v>
      </c>
      <c r="BH121" s="118">
        <f t="shared" si="22"/>
        <v>0</v>
      </c>
      <c r="BI121" s="5">
        <v>0</v>
      </c>
      <c r="BJ121" s="118">
        <f t="shared" si="23"/>
        <v>0</v>
      </c>
      <c r="BK121" s="5">
        <v>0</v>
      </c>
      <c r="BL121" s="127">
        <f t="shared" si="24"/>
        <v>0</v>
      </c>
    </row>
    <row r="122" spans="1:64">
      <c r="A122" s="112" t="s">
        <v>259</v>
      </c>
      <c r="B122" s="106" t="s">
        <v>267</v>
      </c>
      <c r="C122" s="66" t="s">
        <v>175</v>
      </c>
      <c r="D122" s="287"/>
      <c r="E122" s="103" t="s">
        <v>176</v>
      </c>
      <c r="F122" s="282"/>
      <c r="G122" s="71" t="s">
        <v>200</v>
      </c>
      <c r="H122" s="70" t="s">
        <v>296</v>
      </c>
      <c r="I122" s="70" t="s">
        <v>184</v>
      </c>
      <c r="J122" s="71" t="s">
        <v>193</v>
      </c>
      <c r="K122" s="70" t="s">
        <v>288</v>
      </c>
      <c r="L122" s="69" t="s">
        <v>213</v>
      </c>
      <c r="M122" s="68" t="s">
        <v>214</v>
      </c>
      <c r="N122" s="68">
        <v>8.92</v>
      </c>
      <c r="O122" s="68">
        <v>15.1</v>
      </c>
      <c r="P122" s="144">
        <v>15.1</v>
      </c>
      <c r="Q122" s="144">
        <v>15.1</v>
      </c>
      <c r="R122" s="144">
        <v>15.1</v>
      </c>
      <c r="S122" s="144">
        <v>15.1</v>
      </c>
      <c r="T122" s="144">
        <v>15.1</v>
      </c>
      <c r="U122" s="144">
        <v>15.1</v>
      </c>
      <c r="V122" s="144">
        <v>13.3</v>
      </c>
      <c r="W122" s="144">
        <v>13.3</v>
      </c>
      <c r="X122" s="144">
        <v>13.3</v>
      </c>
      <c r="Y122" s="144">
        <v>13.3</v>
      </c>
      <c r="Z122" s="144">
        <v>13.3</v>
      </c>
      <c r="AA122" s="58">
        <v>13.3</v>
      </c>
      <c r="AB122" s="58">
        <v>3.5</v>
      </c>
      <c r="AC122" s="10">
        <v>4</v>
      </c>
      <c r="AD122" s="10">
        <v>6.18</v>
      </c>
      <c r="AE122" s="10">
        <v>6.18</v>
      </c>
      <c r="AF122" s="10">
        <v>6.18</v>
      </c>
      <c r="AG122" s="10">
        <v>6.18</v>
      </c>
      <c r="AH122" s="10">
        <v>6.18</v>
      </c>
      <c r="AI122" s="10">
        <v>5.32</v>
      </c>
      <c r="AJ122" s="10">
        <v>5.32</v>
      </c>
      <c r="AK122" s="10">
        <v>5.32</v>
      </c>
      <c r="AL122" s="10">
        <v>5.32</v>
      </c>
      <c r="AM122" s="10">
        <v>5.32</v>
      </c>
      <c r="AN122" s="149">
        <v>5.32</v>
      </c>
      <c r="AO122" s="5">
        <v>1882</v>
      </c>
      <c r="AP122" s="118">
        <f t="shared" si="30"/>
        <v>7528</v>
      </c>
      <c r="AQ122" s="5">
        <v>498</v>
      </c>
      <c r="AR122" s="118">
        <f t="shared" si="29"/>
        <v>3077.64</v>
      </c>
      <c r="AS122" s="5">
        <v>599</v>
      </c>
      <c r="AT122" s="127">
        <f t="shared" si="27"/>
        <v>3701.8199999999997</v>
      </c>
      <c r="AU122" s="5">
        <v>0</v>
      </c>
      <c r="AV122" s="118">
        <f t="shared" si="31"/>
        <v>0</v>
      </c>
      <c r="AW122" s="5">
        <v>0</v>
      </c>
      <c r="AX122" s="118">
        <f t="shared" si="32"/>
        <v>0</v>
      </c>
      <c r="AY122" s="5">
        <v>0</v>
      </c>
      <c r="AZ122" s="127">
        <f t="shared" si="28"/>
        <v>0</v>
      </c>
      <c r="BA122" s="5">
        <v>0</v>
      </c>
      <c r="BB122" s="118">
        <f t="shared" si="19"/>
        <v>0</v>
      </c>
      <c r="BC122" s="5">
        <v>0</v>
      </c>
      <c r="BD122" s="118">
        <f t="shared" si="20"/>
        <v>0</v>
      </c>
      <c r="BE122" s="5">
        <v>0</v>
      </c>
      <c r="BF122" s="127">
        <f t="shared" si="21"/>
        <v>0</v>
      </c>
      <c r="BG122" s="5">
        <v>0</v>
      </c>
      <c r="BH122" s="118">
        <f t="shared" si="22"/>
        <v>0</v>
      </c>
      <c r="BI122" s="5">
        <v>0</v>
      </c>
      <c r="BJ122" s="118">
        <f t="shared" si="23"/>
        <v>0</v>
      </c>
      <c r="BK122" s="5">
        <v>0</v>
      </c>
      <c r="BL122" s="127">
        <f t="shared" si="24"/>
        <v>0</v>
      </c>
    </row>
    <row r="123" spans="1:64">
      <c r="A123" s="112" t="s">
        <v>259</v>
      </c>
      <c r="B123" s="106" t="s">
        <v>267</v>
      </c>
      <c r="C123" s="66" t="s">
        <v>175</v>
      </c>
      <c r="D123" s="287"/>
      <c r="E123" s="103" t="s">
        <v>176</v>
      </c>
      <c r="F123" s="282"/>
      <c r="G123" s="71" t="s">
        <v>202</v>
      </c>
      <c r="H123" s="70" t="s">
        <v>299</v>
      </c>
      <c r="I123" s="70" t="s">
        <v>184</v>
      </c>
      <c r="J123" s="71" t="s">
        <v>193</v>
      </c>
      <c r="K123" s="70" t="s">
        <v>300</v>
      </c>
      <c r="L123" s="69" t="s">
        <v>213</v>
      </c>
      <c r="M123" s="68" t="s">
        <v>214</v>
      </c>
      <c r="N123" s="68">
        <v>8.92</v>
      </c>
      <c r="O123" s="68">
        <v>15.1</v>
      </c>
      <c r="P123" s="144">
        <v>15.1</v>
      </c>
      <c r="Q123" s="144">
        <v>15.1</v>
      </c>
      <c r="R123" s="144">
        <v>15.1</v>
      </c>
      <c r="S123" s="144">
        <v>15.1</v>
      </c>
      <c r="T123" s="144">
        <v>15.1</v>
      </c>
      <c r="U123" s="144">
        <v>15.1</v>
      </c>
      <c r="V123" s="144">
        <v>13.3</v>
      </c>
      <c r="W123" s="144">
        <v>13.3</v>
      </c>
      <c r="X123" s="144">
        <v>13.3</v>
      </c>
      <c r="Y123" s="144">
        <v>13.3</v>
      </c>
      <c r="Z123" s="144">
        <v>13.3</v>
      </c>
      <c r="AA123" s="58">
        <v>13.3</v>
      </c>
      <c r="AB123" s="58">
        <v>1.5</v>
      </c>
      <c r="AC123" s="10">
        <v>1.5</v>
      </c>
      <c r="AD123" s="10">
        <v>1.5</v>
      </c>
      <c r="AE123" s="10">
        <v>1.5</v>
      </c>
      <c r="AF123" s="10">
        <v>1.5</v>
      </c>
      <c r="AG123" s="10">
        <v>1.5</v>
      </c>
      <c r="AH123" s="10">
        <v>1.5</v>
      </c>
      <c r="AI123" s="10">
        <v>5.32</v>
      </c>
      <c r="AJ123" s="10">
        <v>5.32</v>
      </c>
      <c r="AK123" s="10">
        <v>5.32</v>
      </c>
      <c r="AL123" s="10">
        <v>5.32</v>
      </c>
      <c r="AM123" s="10">
        <v>5.32</v>
      </c>
      <c r="AN123" s="149">
        <v>5.32</v>
      </c>
      <c r="AO123" s="5">
        <v>3837</v>
      </c>
      <c r="AP123" s="118">
        <f t="shared" si="30"/>
        <v>5755.5</v>
      </c>
      <c r="AQ123" s="5">
        <v>3779</v>
      </c>
      <c r="AR123" s="118">
        <f t="shared" si="29"/>
        <v>5668.5</v>
      </c>
      <c r="AS123" s="5">
        <v>677</v>
      </c>
      <c r="AT123" s="127">
        <f t="shared" si="27"/>
        <v>1015.5</v>
      </c>
      <c r="AU123" s="5">
        <v>599</v>
      </c>
      <c r="AV123" s="118">
        <f t="shared" si="31"/>
        <v>898.5</v>
      </c>
      <c r="AW123" s="5">
        <v>0</v>
      </c>
      <c r="AX123" s="118">
        <f t="shared" si="32"/>
        <v>0</v>
      </c>
      <c r="AY123" s="5">
        <v>0</v>
      </c>
      <c r="AZ123" s="127">
        <f t="shared" si="28"/>
        <v>0</v>
      </c>
      <c r="BA123" s="105">
        <v>0</v>
      </c>
      <c r="BB123" s="118">
        <f t="shared" si="19"/>
        <v>0</v>
      </c>
      <c r="BC123" s="105">
        <v>0</v>
      </c>
      <c r="BD123" s="118">
        <f t="shared" si="20"/>
        <v>0</v>
      </c>
      <c r="BE123" s="5">
        <v>0</v>
      </c>
      <c r="BF123" s="127">
        <f t="shared" si="21"/>
        <v>0</v>
      </c>
      <c r="BG123" s="5">
        <v>0</v>
      </c>
      <c r="BH123" s="118">
        <f t="shared" si="22"/>
        <v>0</v>
      </c>
      <c r="BI123" s="5">
        <v>0</v>
      </c>
      <c r="BJ123" s="118">
        <f t="shared" si="23"/>
        <v>0</v>
      </c>
      <c r="BK123" s="5">
        <v>0</v>
      </c>
      <c r="BL123" s="127">
        <f t="shared" si="24"/>
        <v>0</v>
      </c>
    </row>
    <row r="124" spans="1:64">
      <c r="A124" s="112" t="s">
        <v>259</v>
      </c>
      <c r="B124" s="106" t="s">
        <v>267</v>
      </c>
      <c r="C124" s="66" t="s">
        <v>175</v>
      </c>
      <c r="D124" s="287"/>
      <c r="E124" s="103" t="s">
        <v>176</v>
      </c>
      <c r="F124" s="282"/>
      <c r="G124" s="71" t="s">
        <v>385</v>
      </c>
      <c r="H124" s="70" t="s">
        <v>403</v>
      </c>
      <c r="I124" s="70" t="s">
        <v>184</v>
      </c>
      <c r="J124" s="71" t="s">
        <v>193</v>
      </c>
      <c r="K124" s="70" t="s">
        <v>288</v>
      </c>
      <c r="L124" s="69" t="s">
        <v>213</v>
      </c>
      <c r="M124" s="68" t="s">
        <v>214</v>
      </c>
      <c r="N124" s="68">
        <v>8.92</v>
      </c>
      <c r="O124" s="68">
        <v>15.1</v>
      </c>
      <c r="P124" s="144">
        <v>15.1</v>
      </c>
      <c r="Q124" s="144">
        <v>15.1</v>
      </c>
      <c r="R124" s="144">
        <v>15.1</v>
      </c>
      <c r="S124" s="144">
        <v>15.1</v>
      </c>
      <c r="T124" s="144">
        <v>15.1</v>
      </c>
      <c r="U124" s="144">
        <v>15.1</v>
      </c>
      <c r="V124" s="144">
        <v>13.3</v>
      </c>
      <c r="W124" s="144">
        <v>13.3</v>
      </c>
      <c r="X124" s="144">
        <v>13.3</v>
      </c>
      <c r="Y124" s="144">
        <v>13.3</v>
      </c>
      <c r="Z124" s="144">
        <v>13.3</v>
      </c>
      <c r="AA124" s="58">
        <v>13.3</v>
      </c>
      <c r="AB124" s="58">
        <v>0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0</v>
      </c>
      <c r="AI124" s="10">
        <v>5.32</v>
      </c>
      <c r="AJ124" s="10">
        <v>5.32</v>
      </c>
      <c r="AK124" s="10">
        <v>5.32</v>
      </c>
      <c r="AL124" s="10">
        <v>5.32</v>
      </c>
      <c r="AM124" s="10">
        <v>5.32</v>
      </c>
      <c r="AN124" s="149">
        <v>5.32</v>
      </c>
      <c r="AO124" s="5">
        <v>0</v>
      </c>
      <c r="AP124" s="118">
        <f t="shared" si="30"/>
        <v>0</v>
      </c>
      <c r="AQ124" s="5">
        <v>0</v>
      </c>
      <c r="AR124" s="118">
        <f t="shared" si="29"/>
        <v>0</v>
      </c>
      <c r="AS124" s="5">
        <v>0</v>
      </c>
      <c r="AT124" s="127">
        <f t="shared" si="27"/>
        <v>0</v>
      </c>
      <c r="AU124" s="5">
        <v>0</v>
      </c>
      <c r="AV124" s="118">
        <f t="shared" si="31"/>
        <v>0</v>
      </c>
      <c r="AW124" s="5">
        <v>0</v>
      </c>
      <c r="AX124" s="118">
        <f t="shared" si="32"/>
        <v>0</v>
      </c>
      <c r="AY124" s="5">
        <v>0</v>
      </c>
      <c r="AZ124" s="127">
        <f t="shared" si="28"/>
        <v>0</v>
      </c>
      <c r="BA124" s="105">
        <v>0</v>
      </c>
      <c r="BB124" s="118">
        <f t="shared" si="19"/>
        <v>0</v>
      </c>
      <c r="BC124" s="105">
        <v>0</v>
      </c>
      <c r="BD124" s="118">
        <f t="shared" si="20"/>
        <v>0</v>
      </c>
      <c r="BE124" s="5">
        <v>0</v>
      </c>
      <c r="BF124" s="127">
        <f t="shared" si="21"/>
        <v>0</v>
      </c>
      <c r="BG124" s="5">
        <v>0</v>
      </c>
      <c r="BH124" s="118">
        <f t="shared" si="22"/>
        <v>0</v>
      </c>
      <c r="BI124" s="5">
        <v>0</v>
      </c>
      <c r="BJ124" s="118">
        <f t="shared" si="23"/>
        <v>0</v>
      </c>
      <c r="BK124" s="5">
        <v>0</v>
      </c>
      <c r="BL124" s="127">
        <f t="shared" si="24"/>
        <v>0</v>
      </c>
    </row>
    <row r="125" spans="1:64">
      <c r="A125" s="112" t="s">
        <v>259</v>
      </c>
      <c r="B125" s="106"/>
      <c r="C125" s="66" t="s">
        <v>175</v>
      </c>
      <c r="D125" s="287"/>
      <c r="E125" s="103" t="s">
        <v>176</v>
      </c>
      <c r="F125" s="282"/>
      <c r="G125" s="72"/>
      <c r="H125" s="54"/>
      <c r="I125" s="54"/>
      <c r="J125" s="55"/>
      <c r="K125" s="54"/>
      <c r="L125" s="53"/>
      <c r="M125" s="52"/>
      <c r="N125" s="52"/>
      <c r="O125" s="52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49"/>
      <c r="AB125" s="49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150"/>
      <c r="AO125" s="23"/>
      <c r="AP125" s="118">
        <f t="shared" si="30"/>
        <v>0</v>
      </c>
      <c r="AQ125" s="23"/>
      <c r="AR125" s="118">
        <f t="shared" si="29"/>
        <v>0</v>
      </c>
      <c r="AS125" s="23">
        <v>0</v>
      </c>
      <c r="AT125" s="127">
        <f t="shared" si="27"/>
        <v>0</v>
      </c>
      <c r="AU125" s="23">
        <v>0</v>
      </c>
      <c r="AV125" s="118">
        <f t="shared" si="31"/>
        <v>0</v>
      </c>
      <c r="AW125" s="23"/>
      <c r="AX125" s="118">
        <f t="shared" si="32"/>
        <v>0</v>
      </c>
      <c r="AY125" s="23"/>
      <c r="AZ125" s="127">
        <f t="shared" si="28"/>
        <v>0</v>
      </c>
      <c r="BA125" s="50">
        <v>0</v>
      </c>
      <c r="BB125" s="118">
        <f t="shared" si="19"/>
        <v>0</v>
      </c>
      <c r="BC125" s="50"/>
      <c r="BD125" s="118">
        <f t="shared" si="20"/>
        <v>0</v>
      </c>
      <c r="BE125" s="23"/>
      <c r="BF125" s="127">
        <f t="shared" si="21"/>
        <v>0</v>
      </c>
      <c r="BG125" s="50"/>
      <c r="BH125" s="118">
        <f t="shared" si="22"/>
        <v>0</v>
      </c>
      <c r="BI125" s="23"/>
      <c r="BJ125" s="118">
        <f t="shared" si="23"/>
        <v>0</v>
      </c>
      <c r="BK125" s="23">
        <v>0</v>
      </c>
      <c r="BL125" s="127">
        <f t="shared" si="24"/>
        <v>0</v>
      </c>
    </row>
    <row r="126" spans="1:64">
      <c r="A126" s="112" t="s">
        <v>259</v>
      </c>
      <c r="B126" s="106"/>
      <c r="C126" s="66" t="s">
        <v>175</v>
      </c>
      <c r="D126" s="287"/>
      <c r="E126" s="103" t="s">
        <v>176</v>
      </c>
      <c r="F126" s="282" t="s">
        <v>79</v>
      </c>
      <c r="G126" s="64"/>
      <c r="H126" s="63"/>
      <c r="I126" s="63"/>
      <c r="J126" s="64"/>
      <c r="K126" s="63"/>
      <c r="L126" s="62"/>
      <c r="M126" s="61"/>
      <c r="N126" s="61"/>
      <c r="O126" s="61"/>
      <c r="P126" s="154"/>
      <c r="Q126" s="154"/>
      <c r="R126" s="154"/>
      <c r="S126" s="154"/>
      <c r="T126" s="154"/>
      <c r="U126" s="154"/>
      <c r="V126" s="154"/>
      <c r="W126" s="154"/>
      <c r="X126" s="154"/>
      <c r="Y126" s="154"/>
      <c r="Z126" s="154"/>
      <c r="AA126" s="59"/>
      <c r="AB126" s="59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49"/>
      <c r="AP126" s="117">
        <f t="shared" si="30"/>
        <v>0</v>
      </c>
      <c r="AQ126" s="22"/>
      <c r="AR126" s="117">
        <f t="shared" si="29"/>
        <v>0</v>
      </c>
      <c r="AS126" s="22">
        <v>0</v>
      </c>
      <c r="AT126" s="126">
        <f t="shared" si="27"/>
        <v>0</v>
      </c>
      <c r="AU126" s="22">
        <v>0</v>
      </c>
      <c r="AV126" s="117">
        <f t="shared" si="31"/>
        <v>0</v>
      </c>
      <c r="AW126" s="22"/>
      <c r="AX126" s="117">
        <f t="shared" si="32"/>
        <v>0</v>
      </c>
      <c r="AY126" s="22"/>
      <c r="AZ126" s="126">
        <f t="shared" si="28"/>
        <v>0</v>
      </c>
      <c r="BA126" s="79">
        <v>0</v>
      </c>
      <c r="BB126" s="117">
        <f t="shared" si="19"/>
        <v>0</v>
      </c>
      <c r="BC126" s="79"/>
      <c r="BD126" s="117">
        <f t="shared" si="20"/>
        <v>0</v>
      </c>
      <c r="BE126" s="22"/>
      <c r="BF126" s="126">
        <f t="shared" si="21"/>
        <v>0</v>
      </c>
      <c r="BG126" s="79"/>
      <c r="BH126" s="117">
        <f t="shared" si="22"/>
        <v>0</v>
      </c>
      <c r="BI126" s="22"/>
      <c r="BJ126" s="117">
        <f t="shared" si="23"/>
        <v>0</v>
      </c>
      <c r="BK126" s="22">
        <v>0</v>
      </c>
      <c r="BL126" s="126">
        <f t="shared" si="24"/>
        <v>0</v>
      </c>
    </row>
    <row r="127" spans="1:64">
      <c r="A127" s="112" t="s">
        <v>259</v>
      </c>
      <c r="B127" s="106"/>
      <c r="C127" s="66" t="s">
        <v>175</v>
      </c>
      <c r="D127" s="287"/>
      <c r="E127" s="103" t="s">
        <v>176</v>
      </c>
      <c r="F127" s="282"/>
      <c r="G127" s="72"/>
      <c r="H127" s="54"/>
      <c r="I127" s="54"/>
      <c r="J127" s="55"/>
      <c r="K127" s="54"/>
      <c r="L127" s="53"/>
      <c r="M127" s="52"/>
      <c r="N127" s="52"/>
      <c r="O127" s="52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49"/>
      <c r="AB127" s="49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150"/>
      <c r="AO127" s="23"/>
      <c r="AP127" s="118">
        <f t="shared" si="30"/>
        <v>0</v>
      </c>
      <c r="AQ127" s="23"/>
      <c r="AR127" s="118">
        <f t="shared" si="29"/>
        <v>0</v>
      </c>
      <c r="AS127" s="23">
        <v>0</v>
      </c>
      <c r="AT127" s="127">
        <f t="shared" si="27"/>
        <v>0</v>
      </c>
      <c r="AU127" s="23">
        <v>0</v>
      </c>
      <c r="AV127" s="118">
        <f t="shared" si="31"/>
        <v>0</v>
      </c>
      <c r="AW127" s="23"/>
      <c r="AX127" s="118">
        <f t="shared" si="32"/>
        <v>0</v>
      </c>
      <c r="AY127" s="23"/>
      <c r="AZ127" s="127">
        <f t="shared" si="28"/>
        <v>0</v>
      </c>
      <c r="BA127" s="50">
        <v>0</v>
      </c>
      <c r="BB127" s="118">
        <f t="shared" si="19"/>
        <v>0</v>
      </c>
      <c r="BC127" s="50"/>
      <c r="BD127" s="118">
        <f t="shared" si="20"/>
        <v>0</v>
      </c>
      <c r="BE127" s="23"/>
      <c r="BF127" s="127">
        <f t="shared" si="21"/>
        <v>0</v>
      </c>
      <c r="BG127" s="50"/>
      <c r="BH127" s="118">
        <f t="shared" si="22"/>
        <v>0</v>
      </c>
      <c r="BI127" s="23"/>
      <c r="BJ127" s="118">
        <f t="shared" si="23"/>
        <v>0</v>
      </c>
      <c r="BK127" s="23">
        <v>0</v>
      </c>
      <c r="BL127" s="127">
        <f t="shared" si="24"/>
        <v>0</v>
      </c>
    </row>
    <row r="128" spans="1:64">
      <c r="A128" s="112" t="s">
        <v>259</v>
      </c>
      <c r="B128" s="106" t="s">
        <v>267</v>
      </c>
      <c r="C128" s="66" t="s">
        <v>175</v>
      </c>
      <c r="D128" s="287"/>
      <c r="E128" s="103" t="s">
        <v>176</v>
      </c>
      <c r="F128" s="282" t="s">
        <v>301</v>
      </c>
      <c r="G128" s="64" t="s">
        <v>187</v>
      </c>
      <c r="H128" s="63" t="s">
        <v>302</v>
      </c>
      <c r="I128" s="63" t="s">
        <v>184</v>
      </c>
      <c r="J128" s="64" t="s">
        <v>193</v>
      </c>
      <c r="K128" s="63" t="s">
        <v>303</v>
      </c>
      <c r="L128" s="62" t="s">
        <v>185</v>
      </c>
      <c r="M128" s="61" t="s">
        <v>204</v>
      </c>
      <c r="N128" s="61">
        <v>9.65</v>
      </c>
      <c r="O128" s="61">
        <v>17.8</v>
      </c>
      <c r="P128" s="154">
        <v>17.8</v>
      </c>
      <c r="Q128" s="154">
        <v>17.8</v>
      </c>
      <c r="R128" s="154">
        <v>17.8</v>
      </c>
      <c r="S128" s="154">
        <v>17.8</v>
      </c>
      <c r="T128" s="154">
        <v>17.8</v>
      </c>
      <c r="U128" s="154">
        <v>17.8</v>
      </c>
      <c r="V128" s="154">
        <v>17.8</v>
      </c>
      <c r="W128" s="154">
        <v>17.8</v>
      </c>
      <c r="X128" s="154">
        <v>17.8</v>
      </c>
      <c r="Y128" s="154">
        <v>17.8</v>
      </c>
      <c r="Z128" s="154">
        <v>17.8</v>
      </c>
      <c r="AA128" s="59">
        <v>17.8</v>
      </c>
      <c r="AB128" s="59">
        <v>8</v>
      </c>
      <c r="AC128" s="10">
        <v>8</v>
      </c>
      <c r="AD128" s="10">
        <v>8</v>
      </c>
      <c r="AE128" s="10">
        <v>8</v>
      </c>
      <c r="AF128" s="10">
        <v>8</v>
      </c>
      <c r="AG128" s="10">
        <v>8</v>
      </c>
      <c r="AH128" s="10">
        <v>8</v>
      </c>
      <c r="AI128" s="10">
        <v>8</v>
      </c>
      <c r="AJ128" s="10">
        <v>8</v>
      </c>
      <c r="AK128" s="10">
        <v>8</v>
      </c>
      <c r="AL128" s="10">
        <v>8</v>
      </c>
      <c r="AM128" s="10">
        <v>8</v>
      </c>
      <c r="AN128" s="149">
        <v>8</v>
      </c>
      <c r="AO128" s="5">
        <v>0</v>
      </c>
      <c r="AP128" s="117">
        <f t="shared" si="30"/>
        <v>0</v>
      </c>
      <c r="AQ128" s="5">
        <v>0</v>
      </c>
      <c r="AR128" s="117">
        <f t="shared" si="29"/>
        <v>0</v>
      </c>
      <c r="AS128" s="5">
        <v>0</v>
      </c>
      <c r="AT128" s="126">
        <f t="shared" si="27"/>
        <v>0</v>
      </c>
      <c r="AU128" s="5">
        <v>0</v>
      </c>
      <c r="AV128" s="117">
        <f t="shared" si="31"/>
        <v>0</v>
      </c>
      <c r="AW128" s="5">
        <v>0</v>
      </c>
      <c r="AX128" s="117">
        <f t="shared" si="32"/>
        <v>0</v>
      </c>
      <c r="AY128" s="5">
        <v>0</v>
      </c>
      <c r="AZ128" s="126">
        <f t="shared" si="28"/>
        <v>0</v>
      </c>
      <c r="BA128" s="105">
        <v>0</v>
      </c>
      <c r="BB128" s="117">
        <f t="shared" si="19"/>
        <v>0</v>
      </c>
      <c r="BC128" s="105">
        <v>0</v>
      </c>
      <c r="BD128" s="117">
        <f t="shared" si="20"/>
        <v>0</v>
      </c>
      <c r="BE128" s="5">
        <v>0</v>
      </c>
      <c r="BF128" s="126">
        <f t="shared" si="21"/>
        <v>0</v>
      </c>
      <c r="BG128" s="105">
        <v>0</v>
      </c>
      <c r="BH128" s="117">
        <f t="shared" si="22"/>
        <v>0</v>
      </c>
      <c r="BI128" s="5">
        <v>0</v>
      </c>
      <c r="BJ128" s="117">
        <f t="shared" si="23"/>
        <v>0</v>
      </c>
      <c r="BK128" s="5">
        <v>0</v>
      </c>
      <c r="BL128" s="126">
        <f t="shared" si="24"/>
        <v>0</v>
      </c>
    </row>
    <row r="129" spans="1:64">
      <c r="A129" s="112" t="s">
        <v>259</v>
      </c>
      <c r="B129" s="106" t="s">
        <v>267</v>
      </c>
      <c r="C129" s="66" t="s">
        <v>175</v>
      </c>
      <c r="D129" s="287"/>
      <c r="E129" s="103" t="s">
        <v>176</v>
      </c>
      <c r="F129" s="282"/>
      <c r="G129" s="71" t="s">
        <v>187</v>
      </c>
      <c r="H129" s="70" t="s">
        <v>304</v>
      </c>
      <c r="I129" s="70" t="s">
        <v>184</v>
      </c>
      <c r="J129" s="71" t="s">
        <v>193</v>
      </c>
      <c r="K129" s="70" t="s">
        <v>305</v>
      </c>
      <c r="L129" s="69" t="s">
        <v>185</v>
      </c>
      <c r="M129" s="68" t="s">
        <v>204</v>
      </c>
      <c r="N129" s="68">
        <v>9.65</v>
      </c>
      <c r="O129" s="68">
        <v>17.8</v>
      </c>
      <c r="P129" s="144">
        <v>17.8</v>
      </c>
      <c r="Q129" s="144">
        <v>17.8</v>
      </c>
      <c r="R129" s="144">
        <v>17.8</v>
      </c>
      <c r="S129" s="144">
        <v>17.8</v>
      </c>
      <c r="T129" s="144">
        <v>17.8</v>
      </c>
      <c r="U129" s="144">
        <v>17.8</v>
      </c>
      <c r="V129" s="144">
        <v>17.8</v>
      </c>
      <c r="W129" s="144">
        <v>17.8</v>
      </c>
      <c r="X129" s="144">
        <v>17.8</v>
      </c>
      <c r="Y129" s="144">
        <v>17.8</v>
      </c>
      <c r="Z129" s="144">
        <v>17.8</v>
      </c>
      <c r="AA129" s="58">
        <v>17.8</v>
      </c>
      <c r="AB129" s="58">
        <v>8</v>
      </c>
      <c r="AC129" s="10">
        <v>8</v>
      </c>
      <c r="AD129" s="10">
        <v>8</v>
      </c>
      <c r="AE129" s="10">
        <v>8</v>
      </c>
      <c r="AF129" s="10">
        <v>8</v>
      </c>
      <c r="AG129" s="10">
        <v>8</v>
      </c>
      <c r="AH129" s="10">
        <v>8</v>
      </c>
      <c r="AI129" s="10">
        <v>8</v>
      </c>
      <c r="AJ129" s="10">
        <v>8</v>
      </c>
      <c r="AK129" s="10">
        <v>8</v>
      </c>
      <c r="AL129" s="10">
        <v>8</v>
      </c>
      <c r="AM129" s="10">
        <v>8</v>
      </c>
      <c r="AN129" s="149">
        <v>8</v>
      </c>
      <c r="AO129" s="5">
        <v>0</v>
      </c>
      <c r="AP129" s="118">
        <f t="shared" si="30"/>
        <v>0</v>
      </c>
      <c r="AQ129" s="5">
        <v>0</v>
      </c>
      <c r="AR129" s="118">
        <f t="shared" si="29"/>
        <v>0</v>
      </c>
      <c r="AS129" s="5">
        <v>0</v>
      </c>
      <c r="AT129" s="127">
        <f t="shared" si="27"/>
        <v>0</v>
      </c>
      <c r="AU129" s="5">
        <v>0</v>
      </c>
      <c r="AV129" s="118">
        <f t="shared" si="31"/>
        <v>0</v>
      </c>
      <c r="AW129" s="5">
        <v>0</v>
      </c>
      <c r="AX129" s="118">
        <f t="shared" si="32"/>
        <v>0</v>
      </c>
      <c r="AY129" s="5">
        <v>0</v>
      </c>
      <c r="AZ129" s="127">
        <f t="shared" si="28"/>
        <v>0</v>
      </c>
      <c r="BA129" s="105">
        <v>0</v>
      </c>
      <c r="BB129" s="118">
        <f t="shared" si="19"/>
        <v>0</v>
      </c>
      <c r="BC129" s="105">
        <v>0</v>
      </c>
      <c r="BD129" s="118">
        <f t="shared" si="20"/>
        <v>0</v>
      </c>
      <c r="BE129" s="5">
        <v>0</v>
      </c>
      <c r="BF129" s="127">
        <f t="shared" si="21"/>
        <v>0</v>
      </c>
      <c r="BG129" s="105">
        <v>0</v>
      </c>
      <c r="BH129" s="118">
        <f t="shared" si="22"/>
        <v>0</v>
      </c>
      <c r="BI129" s="5">
        <v>0</v>
      </c>
      <c r="BJ129" s="118">
        <f t="shared" si="23"/>
        <v>0</v>
      </c>
      <c r="BK129" s="5">
        <v>0</v>
      </c>
      <c r="BL129" s="127">
        <f t="shared" si="24"/>
        <v>0</v>
      </c>
    </row>
    <row r="130" spans="1:64">
      <c r="A130" s="112" t="s">
        <v>259</v>
      </c>
      <c r="B130" s="106" t="s">
        <v>267</v>
      </c>
      <c r="C130" s="66" t="s">
        <v>175</v>
      </c>
      <c r="D130" s="287"/>
      <c r="E130" s="103" t="s">
        <v>176</v>
      </c>
      <c r="F130" s="282"/>
      <c r="G130" s="71" t="s">
        <v>187</v>
      </c>
      <c r="H130" s="70" t="s">
        <v>302</v>
      </c>
      <c r="I130" s="70" t="s">
        <v>184</v>
      </c>
      <c r="J130" s="71" t="s">
        <v>193</v>
      </c>
      <c r="K130" s="70" t="s">
        <v>306</v>
      </c>
      <c r="L130" s="69" t="s">
        <v>185</v>
      </c>
      <c r="M130" s="68" t="s">
        <v>204</v>
      </c>
      <c r="N130" s="68">
        <v>15.19</v>
      </c>
      <c r="O130" s="68">
        <v>26.2</v>
      </c>
      <c r="P130" s="144">
        <v>26.2</v>
      </c>
      <c r="Q130" s="144">
        <v>26.2</v>
      </c>
      <c r="R130" s="144">
        <v>26.2</v>
      </c>
      <c r="S130" s="144">
        <v>26.2</v>
      </c>
      <c r="T130" s="144">
        <v>26.2</v>
      </c>
      <c r="U130" s="144">
        <v>26.2</v>
      </c>
      <c r="V130" s="144">
        <v>26.2</v>
      </c>
      <c r="W130" s="144">
        <v>26.2</v>
      </c>
      <c r="X130" s="144">
        <v>26.2</v>
      </c>
      <c r="Y130" s="144">
        <v>26.2</v>
      </c>
      <c r="Z130" s="144">
        <v>26.2</v>
      </c>
      <c r="AA130" s="58">
        <v>26.2</v>
      </c>
      <c r="AB130" s="58">
        <v>10.86</v>
      </c>
      <c r="AC130" s="10">
        <v>10.86</v>
      </c>
      <c r="AD130" s="10">
        <v>10.86</v>
      </c>
      <c r="AE130" s="10">
        <v>10.86</v>
      </c>
      <c r="AF130" s="10">
        <v>10.86</v>
      </c>
      <c r="AG130" s="10">
        <v>10.86</v>
      </c>
      <c r="AH130" s="10">
        <v>10.86</v>
      </c>
      <c r="AI130" s="10">
        <v>10.86</v>
      </c>
      <c r="AJ130" s="10">
        <v>10.86</v>
      </c>
      <c r="AK130" s="10">
        <v>10.86</v>
      </c>
      <c r="AL130" s="10">
        <v>10.86</v>
      </c>
      <c r="AM130" s="10">
        <v>10.86</v>
      </c>
      <c r="AN130" s="149">
        <v>10.86</v>
      </c>
      <c r="AO130" s="5">
        <v>0</v>
      </c>
      <c r="AP130" s="118">
        <f t="shared" si="30"/>
        <v>0</v>
      </c>
      <c r="AQ130" s="5">
        <v>0</v>
      </c>
      <c r="AR130" s="118">
        <f t="shared" si="29"/>
        <v>0</v>
      </c>
      <c r="AS130" s="5">
        <v>0</v>
      </c>
      <c r="AT130" s="127">
        <f t="shared" si="27"/>
        <v>0</v>
      </c>
      <c r="AU130" s="5">
        <v>0</v>
      </c>
      <c r="AV130" s="118">
        <f t="shared" si="31"/>
        <v>0</v>
      </c>
      <c r="AW130" s="5">
        <v>0</v>
      </c>
      <c r="AX130" s="118">
        <f t="shared" si="32"/>
        <v>0</v>
      </c>
      <c r="AY130" s="5">
        <v>0</v>
      </c>
      <c r="AZ130" s="127">
        <f t="shared" si="28"/>
        <v>0</v>
      </c>
      <c r="BA130" s="105">
        <v>0</v>
      </c>
      <c r="BB130" s="118">
        <f t="shared" si="19"/>
        <v>0</v>
      </c>
      <c r="BC130" s="105">
        <v>0</v>
      </c>
      <c r="BD130" s="118">
        <f t="shared" si="20"/>
        <v>0</v>
      </c>
      <c r="BE130" s="5">
        <v>0</v>
      </c>
      <c r="BF130" s="127">
        <f t="shared" si="21"/>
        <v>0</v>
      </c>
      <c r="BG130" s="105">
        <v>0</v>
      </c>
      <c r="BH130" s="118">
        <f t="shared" si="22"/>
        <v>0</v>
      </c>
      <c r="BI130" s="5">
        <v>0</v>
      </c>
      <c r="BJ130" s="118">
        <f t="shared" si="23"/>
        <v>0</v>
      </c>
      <c r="BK130" s="5">
        <v>0</v>
      </c>
      <c r="BL130" s="127">
        <f t="shared" si="24"/>
        <v>0</v>
      </c>
    </row>
    <row r="131" spans="1:64">
      <c r="A131" s="112" t="s">
        <v>259</v>
      </c>
      <c r="B131" s="106" t="s">
        <v>267</v>
      </c>
      <c r="C131" s="66" t="s">
        <v>175</v>
      </c>
      <c r="D131" s="287"/>
      <c r="E131" s="103" t="s">
        <v>176</v>
      </c>
      <c r="F131" s="282"/>
      <c r="G131" s="71" t="s">
        <v>187</v>
      </c>
      <c r="H131" s="70" t="s">
        <v>304</v>
      </c>
      <c r="I131" s="70" t="s">
        <v>184</v>
      </c>
      <c r="J131" s="71" t="s">
        <v>193</v>
      </c>
      <c r="K131" s="70" t="s">
        <v>307</v>
      </c>
      <c r="L131" s="69" t="s">
        <v>185</v>
      </c>
      <c r="M131" s="68" t="s">
        <v>204</v>
      </c>
      <c r="N131" s="68">
        <v>15.19</v>
      </c>
      <c r="O131" s="68">
        <v>26.2</v>
      </c>
      <c r="P131" s="144">
        <v>26.2</v>
      </c>
      <c r="Q131" s="144">
        <v>26.2</v>
      </c>
      <c r="R131" s="144">
        <v>26.2</v>
      </c>
      <c r="S131" s="144">
        <v>26.2</v>
      </c>
      <c r="T131" s="144">
        <v>26.2</v>
      </c>
      <c r="U131" s="144">
        <v>26.2</v>
      </c>
      <c r="V131" s="144">
        <v>26.2</v>
      </c>
      <c r="W131" s="144">
        <v>26.2</v>
      </c>
      <c r="X131" s="144">
        <v>26.2</v>
      </c>
      <c r="Y131" s="144">
        <v>26.2</v>
      </c>
      <c r="Z131" s="144">
        <v>26.2</v>
      </c>
      <c r="AA131" s="58">
        <v>26.2</v>
      </c>
      <c r="AB131" s="58">
        <v>10.86</v>
      </c>
      <c r="AC131" s="10">
        <v>10.86</v>
      </c>
      <c r="AD131" s="10">
        <v>10.86</v>
      </c>
      <c r="AE131" s="10">
        <v>10.86</v>
      </c>
      <c r="AF131" s="10">
        <v>10.86</v>
      </c>
      <c r="AG131" s="10">
        <v>10.86</v>
      </c>
      <c r="AH131" s="10">
        <v>10.86</v>
      </c>
      <c r="AI131" s="10">
        <v>10.86</v>
      </c>
      <c r="AJ131" s="10">
        <v>10.86</v>
      </c>
      <c r="AK131" s="10">
        <v>10.86</v>
      </c>
      <c r="AL131" s="10">
        <v>10.86</v>
      </c>
      <c r="AM131" s="10">
        <v>10.86</v>
      </c>
      <c r="AN131" s="149">
        <v>10.86</v>
      </c>
      <c r="AO131" s="5">
        <v>0</v>
      </c>
      <c r="AP131" s="118">
        <f t="shared" si="30"/>
        <v>0</v>
      </c>
      <c r="AQ131" s="5">
        <v>0</v>
      </c>
      <c r="AR131" s="118">
        <f t="shared" si="29"/>
        <v>0</v>
      </c>
      <c r="AS131" s="5">
        <v>0</v>
      </c>
      <c r="AT131" s="127">
        <f t="shared" si="27"/>
        <v>0</v>
      </c>
      <c r="AU131" s="5">
        <v>0</v>
      </c>
      <c r="AV131" s="118">
        <f t="shared" si="31"/>
        <v>0</v>
      </c>
      <c r="AW131" s="5">
        <v>0</v>
      </c>
      <c r="AX131" s="118">
        <f t="shared" si="32"/>
        <v>0</v>
      </c>
      <c r="AY131" s="5">
        <v>0</v>
      </c>
      <c r="AZ131" s="127">
        <f t="shared" si="28"/>
        <v>0</v>
      </c>
      <c r="BA131" s="105">
        <v>0</v>
      </c>
      <c r="BB131" s="118">
        <f t="shared" si="19"/>
        <v>0</v>
      </c>
      <c r="BC131" s="105">
        <v>0</v>
      </c>
      <c r="BD131" s="118">
        <f t="shared" si="20"/>
        <v>0</v>
      </c>
      <c r="BE131" s="5">
        <v>0</v>
      </c>
      <c r="BF131" s="127">
        <f t="shared" si="21"/>
        <v>0</v>
      </c>
      <c r="BG131" s="105">
        <v>0</v>
      </c>
      <c r="BH131" s="118">
        <f t="shared" si="22"/>
        <v>0</v>
      </c>
      <c r="BI131" s="5">
        <v>0</v>
      </c>
      <c r="BJ131" s="118">
        <f t="shared" si="23"/>
        <v>0</v>
      </c>
      <c r="BK131" s="5">
        <v>0</v>
      </c>
      <c r="BL131" s="127">
        <f t="shared" si="24"/>
        <v>0</v>
      </c>
    </row>
    <row r="132" spans="1:64">
      <c r="A132" s="112" t="s">
        <v>259</v>
      </c>
      <c r="B132" s="106" t="s">
        <v>267</v>
      </c>
      <c r="C132" s="66" t="s">
        <v>175</v>
      </c>
      <c r="D132" s="287"/>
      <c r="E132" s="103" t="s">
        <v>176</v>
      </c>
      <c r="F132" s="282"/>
      <c r="G132" s="71" t="s">
        <v>178</v>
      </c>
      <c r="H132" s="70" t="s">
        <v>308</v>
      </c>
      <c r="I132" s="70" t="s">
        <v>184</v>
      </c>
      <c r="J132" s="71" t="s">
        <v>283</v>
      </c>
      <c r="K132" s="70" t="s">
        <v>303</v>
      </c>
      <c r="L132" s="69" t="s">
        <v>185</v>
      </c>
      <c r="M132" s="68" t="s">
        <v>204</v>
      </c>
      <c r="N132" s="68">
        <v>10.33</v>
      </c>
      <c r="O132" s="68">
        <v>17.2</v>
      </c>
      <c r="P132" s="144">
        <v>17.2</v>
      </c>
      <c r="Q132" s="144">
        <v>17.2</v>
      </c>
      <c r="R132" s="144">
        <v>17.2</v>
      </c>
      <c r="S132" s="144">
        <v>17.2</v>
      </c>
      <c r="T132" s="144">
        <v>17.2</v>
      </c>
      <c r="U132" s="144">
        <v>17.2</v>
      </c>
      <c r="V132" s="144">
        <v>17.2</v>
      </c>
      <c r="W132" s="144">
        <v>17.2</v>
      </c>
      <c r="X132" s="144">
        <v>17.2</v>
      </c>
      <c r="Y132" s="144">
        <v>17.2</v>
      </c>
      <c r="Z132" s="144">
        <v>17.2</v>
      </c>
      <c r="AA132" s="58">
        <v>17.2</v>
      </c>
      <c r="AB132" s="58">
        <v>7.2</v>
      </c>
      <c r="AC132" s="10">
        <v>7.2</v>
      </c>
      <c r="AD132" s="10">
        <v>7.2</v>
      </c>
      <c r="AE132" s="10">
        <v>7.2</v>
      </c>
      <c r="AF132" s="10">
        <v>7.2</v>
      </c>
      <c r="AG132" s="10">
        <v>7.2</v>
      </c>
      <c r="AH132" s="10">
        <v>7.2</v>
      </c>
      <c r="AI132" s="10">
        <v>7.2</v>
      </c>
      <c r="AJ132" s="10">
        <v>7.2</v>
      </c>
      <c r="AK132" s="10">
        <v>7.2</v>
      </c>
      <c r="AL132" s="10">
        <v>7.2</v>
      </c>
      <c r="AM132" s="10">
        <v>7.2</v>
      </c>
      <c r="AN132" s="149">
        <v>7.2</v>
      </c>
      <c r="AO132" s="5">
        <v>0</v>
      </c>
      <c r="AP132" s="118">
        <f t="shared" si="30"/>
        <v>0</v>
      </c>
      <c r="AQ132" s="5">
        <v>0</v>
      </c>
      <c r="AR132" s="118">
        <f t="shared" si="29"/>
        <v>0</v>
      </c>
      <c r="AS132" s="5">
        <v>0</v>
      </c>
      <c r="AT132" s="127">
        <f t="shared" si="27"/>
        <v>0</v>
      </c>
      <c r="AU132" s="5">
        <v>0</v>
      </c>
      <c r="AV132" s="118">
        <f t="shared" si="31"/>
        <v>0</v>
      </c>
      <c r="AW132" s="5">
        <v>0</v>
      </c>
      <c r="AX132" s="118">
        <f t="shared" si="32"/>
        <v>0</v>
      </c>
      <c r="AY132" s="5">
        <v>0</v>
      </c>
      <c r="AZ132" s="127">
        <f t="shared" si="28"/>
        <v>0</v>
      </c>
      <c r="BA132" s="105">
        <v>0</v>
      </c>
      <c r="BB132" s="118">
        <f t="shared" si="19"/>
        <v>0</v>
      </c>
      <c r="BC132" s="105">
        <v>0</v>
      </c>
      <c r="BD132" s="118">
        <f t="shared" si="20"/>
        <v>0</v>
      </c>
      <c r="BE132" s="5">
        <v>0</v>
      </c>
      <c r="BF132" s="127">
        <f t="shared" si="21"/>
        <v>0</v>
      </c>
      <c r="BG132" s="105">
        <v>0</v>
      </c>
      <c r="BH132" s="118">
        <f t="shared" si="22"/>
        <v>0</v>
      </c>
      <c r="BI132" s="5">
        <v>0</v>
      </c>
      <c r="BJ132" s="118">
        <f t="shared" si="23"/>
        <v>0</v>
      </c>
      <c r="BK132" s="5">
        <v>0</v>
      </c>
      <c r="BL132" s="127">
        <f t="shared" si="24"/>
        <v>0</v>
      </c>
    </row>
    <row r="133" spans="1:64">
      <c r="A133" s="112" t="s">
        <v>259</v>
      </c>
      <c r="B133" s="106" t="s">
        <v>267</v>
      </c>
      <c r="C133" s="66" t="s">
        <v>175</v>
      </c>
      <c r="D133" s="287"/>
      <c r="E133" s="103" t="s">
        <v>176</v>
      </c>
      <c r="F133" s="282"/>
      <c r="G133" s="71" t="s">
        <v>178</v>
      </c>
      <c r="H133" s="70" t="s">
        <v>309</v>
      </c>
      <c r="I133" s="70" t="s">
        <v>184</v>
      </c>
      <c r="J133" s="71" t="s">
        <v>283</v>
      </c>
      <c r="K133" s="70" t="s">
        <v>305</v>
      </c>
      <c r="L133" s="69" t="s">
        <v>185</v>
      </c>
      <c r="M133" s="68" t="s">
        <v>204</v>
      </c>
      <c r="N133" s="68">
        <v>10.33</v>
      </c>
      <c r="O133" s="68">
        <v>17.2</v>
      </c>
      <c r="P133" s="144">
        <v>17.2</v>
      </c>
      <c r="Q133" s="144">
        <v>17.2</v>
      </c>
      <c r="R133" s="144">
        <v>17.2</v>
      </c>
      <c r="S133" s="144">
        <v>17.2</v>
      </c>
      <c r="T133" s="144">
        <v>17.2</v>
      </c>
      <c r="U133" s="144">
        <v>17.2</v>
      </c>
      <c r="V133" s="144">
        <v>17.2</v>
      </c>
      <c r="W133" s="144">
        <v>17.2</v>
      </c>
      <c r="X133" s="144">
        <v>17.2</v>
      </c>
      <c r="Y133" s="144">
        <v>17.2</v>
      </c>
      <c r="Z133" s="144">
        <v>17.2</v>
      </c>
      <c r="AA133" s="58">
        <v>17.2</v>
      </c>
      <c r="AB133" s="58">
        <v>7.2</v>
      </c>
      <c r="AC133" s="10">
        <v>7.2</v>
      </c>
      <c r="AD133" s="10">
        <v>7.2</v>
      </c>
      <c r="AE133" s="10">
        <v>7.2</v>
      </c>
      <c r="AF133" s="10">
        <v>7.2</v>
      </c>
      <c r="AG133" s="10">
        <v>7.2</v>
      </c>
      <c r="AH133" s="10">
        <v>7.2</v>
      </c>
      <c r="AI133" s="10">
        <v>7.2</v>
      </c>
      <c r="AJ133" s="10">
        <v>7.2</v>
      </c>
      <c r="AK133" s="10">
        <v>7.2</v>
      </c>
      <c r="AL133" s="10">
        <v>7.2</v>
      </c>
      <c r="AM133" s="10">
        <v>7.2</v>
      </c>
      <c r="AN133" s="149">
        <v>7.2</v>
      </c>
      <c r="AO133" s="5">
        <v>0</v>
      </c>
      <c r="AP133" s="118">
        <f t="shared" si="30"/>
        <v>0</v>
      </c>
      <c r="AQ133" s="5">
        <v>0</v>
      </c>
      <c r="AR133" s="118">
        <f t="shared" si="29"/>
        <v>0</v>
      </c>
      <c r="AS133" s="5">
        <v>0</v>
      </c>
      <c r="AT133" s="127">
        <f t="shared" si="27"/>
        <v>0</v>
      </c>
      <c r="AU133" s="5">
        <v>0</v>
      </c>
      <c r="AV133" s="118">
        <f t="shared" si="31"/>
        <v>0</v>
      </c>
      <c r="AW133" s="5">
        <v>0</v>
      </c>
      <c r="AX133" s="118">
        <f t="shared" si="32"/>
        <v>0</v>
      </c>
      <c r="AY133" s="5">
        <v>0</v>
      </c>
      <c r="AZ133" s="127">
        <f t="shared" si="28"/>
        <v>0</v>
      </c>
      <c r="BA133" s="105">
        <v>0</v>
      </c>
      <c r="BB133" s="118">
        <f t="shared" si="19"/>
        <v>0</v>
      </c>
      <c r="BC133" s="105">
        <v>0</v>
      </c>
      <c r="BD133" s="118">
        <f t="shared" si="20"/>
        <v>0</v>
      </c>
      <c r="BE133" s="5">
        <v>0</v>
      </c>
      <c r="BF133" s="127">
        <f t="shared" si="21"/>
        <v>0</v>
      </c>
      <c r="BG133" s="105">
        <v>0</v>
      </c>
      <c r="BH133" s="118">
        <f t="shared" si="22"/>
        <v>0</v>
      </c>
      <c r="BI133" s="5">
        <v>0</v>
      </c>
      <c r="BJ133" s="118">
        <f t="shared" si="23"/>
        <v>0</v>
      </c>
      <c r="BK133" s="5">
        <v>0</v>
      </c>
      <c r="BL133" s="127">
        <f t="shared" si="24"/>
        <v>0</v>
      </c>
    </row>
    <row r="134" spans="1:64">
      <c r="A134" s="112" t="s">
        <v>259</v>
      </c>
      <c r="B134" s="106" t="s">
        <v>267</v>
      </c>
      <c r="C134" s="66" t="s">
        <v>175</v>
      </c>
      <c r="D134" s="287"/>
      <c r="E134" s="103" t="s">
        <v>176</v>
      </c>
      <c r="F134" s="282"/>
      <c r="G134" s="71" t="s">
        <v>178</v>
      </c>
      <c r="H134" s="70" t="s">
        <v>308</v>
      </c>
      <c r="I134" s="70" t="s">
        <v>184</v>
      </c>
      <c r="J134" s="71" t="s">
        <v>283</v>
      </c>
      <c r="K134" s="70" t="s">
        <v>306</v>
      </c>
      <c r="L134" s="69" t="s">
        <v>185</v>
      </c>
      <c r="M134" s="68" t="s">
        <v>204</v>
      </c>
      <c r="N134" s="68">
        <v>15.81</v>
      </c>
      <c r="O134" s="68">
        <v>25.35</v>
      </c>
      <c r="P134" s="144">
        <v>25.35</v>
      </c>
      <c r="Q134" s="144">
        <v>25.35</v>
      </c>
      <c r="R134" s="144">
        <v>25.35</v>
      </c>
      <c r="S134" s="144">
        <v>25.35</v>
      </c>
      <c r="T134" s="144">
        <v>25.35</v>
      </c>
      <c r="U134" s="144">
        <v>25.35</v>
      </c>
      <c r="V134" s="144">
        <v>25.35</v>
      </c>
      <c r="W134" s="144">
        <v>25.35</v>
      </c>
      <c r="X134" s="144">
        <v>25.35</v>
      </c>
      <c r="Y134" s="144">
        <v>25.35</v>
      </c>
      <c r="Z134" s="144">
        <v>25.35</v>
      </c>
      <c r="AA134" s="58">
        <v>25.35</v>
      </c>
      <c r="AB134" s="58">
        <v>9.77</v>
      </c>
      <c r="AC134" s="10">
        <v>9.77</v>
      </c>
      <c r="AD134" s="10">
        <v>9.77</v>
      </c>
      <c r="AE134" s="10">
        <v>9.77</v>
      </c>
      <c r="AF134" s="10">
        <v>9.77</v>
      </c>
      <c r="AG134" s="10">
        <v>9.77</v>
      </c>
      <c r="AH134" s="10">
        <v>9.77</v>
      </c>
      <c r="AI134" s="10">
        <v>9.77</v>
      </c>
      <c r="AJ134" s="10">
        <v>9.77</v>
      </c>
      <c r="AK134" s="10">
        <v>9.77</v>
      </c>
      <c r="AL134" s="10">
        <v>9.77</v>
      </c>
      <c r="AM134" s="10">
        <v>9.77</v>
      </c>
      <c r="AN134" s="149">
        <v>9.77</v>
      </c>
      <c r="AO134" s="5">
        <v>0</v>
      </c>
      <c r="AP134" s="118">
        <f t="shared" si="30"/>
        <v>0</v>
      </c>
      <c r="AQ134" s="5">
        <v>0</v>
      </c>
      <c r="AR134" s="118">
        <f t="shared" si="29"/>
        <v>0</v>
      </c>
      <c r="AS134" s="5">
        <v>0</v>
      </c>
      <c r="AT134" s="127">
        <f t="shared" si="27"/>
        <v>0</v>
      </c>
      <c r="AU134" s="5">
        <v>0</v>
      </c>
      <c r="AV134" s="118">
        <f t="shared" si="31"/>
        <v>0</v>
      </c>
      <c r="AW134" s="5">
        <v>0</v>
      </c>
      <c r="AX134" s="118">
        <f t="shared" si="32"/>
        <v>0</v>
      </c>
      <c r="AY134" s="5">
        <v>0</v>
      </c>
      <c r="AZ134" s="127">
        <f t="shared" si="28"/>
        <v>0</v>
      </c>
      <c r="BA134" s="105">
        <v>0</v>
      </c>
      <c r="BB134" s="118">
        <f t="shared" si="19"/>
        <v>0</v>
      </c>
      <c r="BC134" s="105">
        <v>0</v>
      </c>
      <c r="BD134" s="118">
        <f t="shared" si="20"/>
        <v>0</v>
      </c>
      <c r="BE134" s="5">
        <v>0</v>
      </c>
      <c r="BF134" s="127">
        <f t="shared" si="21"/>
        <v>0</v>
      </c>
      <c r="BG134" s="105">
        <v>0</v>
      </c>
      <c r="BH134" s="118">
        <f t="shared" si="22"/>
        <v>0</v>
      </c>
      <c r="BI134" s="5">
        <v>0</v>
      </c>
      <c r="BJ134" s="118">
        <f t="shared" si="23"/>
        <v>0</v>
      </c>
      <c r="BK134" s="5">
        <v>0</v>
      </c>
      <c r="BL134" s="127">
        <f t="shared" si="24"/>
        <v>0</v>
      </c>
    </row>
    <row r="135" spans="1:64">
      <c r="A135" s="112" t="s">
        <v>259</v>
      </c>
      <c r="B135" s="106" t="s">
        <v>267</v>
      </c>
      <c r="C135" s="66" t="s">
        <v>175</v>
      </c>
      <c r="D135" s="287"/>
      <c r="E135" s="103" t="s">
        <v>176</v>
      </c>
      <c r="F135" s="282"/>
      <c r="G135" s="71" t="s">
        <v>178</v>
      </c>
      <c r="H135" s="70" t="s">
        <v>309</v>
      </c>
      <c r="I135" s="70" t="s">
        <v>184</v>
      </c>
      <c r="J135" s="71" t="s">
        <v>283</v>
      </c>
      <c r="K135" s="70" t="s">
        <v>307</v>
      </c>
      <c r="L135" s="69" t="s">
        <v>185</v>
      </c>
      <c r="M135" s="68" t="s">
        <v>204</v>
      </c>
      <c r="N135" s="68">
        <v>15.81</v>
      </c>
      <c r="O135" s="68">
        <v>25.35</v>
      </c>
      <c r="P135" s="144">
        <v>25.35</v>
      </c>
      <c r="Q135" s="144">
        <v>25.35</v>
      </c>
      <c r="R135" s="144">
        <v>25.35</v>
      </c>
      <c r="S135" s="144">
        <v>25.35</v>
      </c>
      <c r="T135" s="144">
        <v>25.35</v>
      </c>
      <c r="U135" s="144">
        <v>25.35</v>
      </c>
      <c r="V135" s="144">
        <v>25.35</v>
      </c>
      <c r="W135" s="144">
        <v>25.35</v>
      </c>
      <c r="X135" s="144">
        <v>25.35</v>
      </c>
      <c r="Y135" s="144">
        <v>25.35</v>
      </c>
      <c r="Z135" s="144">
        <v>25.35</v>
      </c>
      <c r="AA135" s="58">
        <v>25.35</v>
      </c>
      <c r="AB135" s="58">
        <v>9.77</v>
      </c>
      <c r="AC135" s="10">
        <v>9.77</v>
      </c>
      <c r="AD135" s="10">
        <v>9.77</v>
      </c>
      <c r="AE135" s="10">
        <v>9.77</v>
      </c>
      <c r="AF135" s="10">
        <v>9.77</v>
      </c>
      <c r="AG135" s="10">
        <v>9.77</v>
      </c>
      <c r="AH135" s="10">
        <v>9.77</v>
      </c>
      <c r="AI135" s="10">
        <v>9.77</v>
      </c>
      <c r="AJ135" s="10">
        <v>9.77</v>
      </c>
      <c r="AK135" s="10">
        <v>9.77</v>
      </c>
      <c r="AL135" s="10">
        <v>9.77</v>
      </c>
      <c r="AM135" s="10">
        <v>9.77</v>
      </c>
      <c r="AN135" s="149">
        <v>9.77</v>
      </c>
      <c r="AO135" s="5">
        <v>0</v>
      </c>
      <c r="AP135" s="118">
        <f t="shared" si="30"/>
        <v>0</v>
      </c>
      <c r="AQ135" s="5">
        <v>0</v>
      </c>
      <c r="AR135" s="118">
        <f t="shared" si="29"/>
        <v>0</v>
      </c>
      <c r="AS135" s="5">
        <v>0</v>
      </c>
      <c r="AT135" s="127">
        <f t="shared" si="27"/>
        <v>0</v>
      </c>
      <c r="AU135" s="5">
        <v>0</v>
      </c>
      <c r="AV135" s="118">
        <f t="shared" si="31"/>
        <v>0</v>
      </c>
      <c r="AW135" s="5">
        <v>0</v>
      </c>
      <c r="AX135" s="118">
        <f t="shared" si="32"/>
        <v>0</v>
      </c>
      <c r="AY135" s="5">
        <v>0</v>
      </c>
      <c r="AZ135" s="127">
        <f t="shared" si="28"/>
        <v>0</v>
      </c>
      <c r="BA135" s="105">
        <v>0</v>
      </c>
      <c r="BB135" s="118">
        <f t="shared" si="19"/>
        <v>0</v>
      </c>
      <c r="BC135" s="105">
        <v>0</v>
      </c>
      <c r="BD135" s="118">
        <f t="shared" si="20"/>
        <v>0</v>
      </c>
      <c r="BE135" s="5">
        <v>0</v>
      </c>
      <c r="BF135" s="127">
        <f t="shared" si="21"/>
        <v>0</v>
      </c>
      <c r="BG135" s="105">
        <v>0</v>
      </c>
      <c r="BH135" s="118">
        <f t="shared" si="22"/>
        <v>0</v>
      </c>
      <c r="BI135" s="5">
        <v>0</v>
      </c>
      <c r="BJ135" s="118">
        <f t="shared" si="23"/>
        <v>0</v>
      </c>
      <c r="BK135" s="5">
        <v>0</v>
      </c>
      <c r="BL135" s="127">
        <f t="shared" si="24"/>
        <v>0</v>
      </c>
    </row>
    <row r="136" spans="1:64">
      <c r="A136" s="112" t="s">
        <v>259</v>
      </c>
      <c r="B136" s="106" t="s">
        <v>267</v>
      </c>
      <c r="C136" s="66" t="s">
        <v>175</v>
      </c>
      <c r="D136" s="287"/>
      <c r="E136" s="103" t="s">
        <v>176</v>
      </c>
      <c r="F136" s="282"/>
      <c r="G136" s="71" t="s">
        <v>200</v>
      </c>
      <c r="H136" s="70" t="s">
        <v>310</v>
      </c>
      <c r="I136" s="70" t="s">
        <v>184</v>
      </c>
      <c r="J136" s="71" t="s">
        <v>283</v>
      </c>
      <c r="K136" s="70" t="s">
        <v>303</v>
      </c>
      <c r="L136" s="69" t="s">
        <v>185</v>
      </c>
      <c r="M136" s="68" t="s">
        <v>204</v>
      </c>
      <c r="N136" s="68">
        <v>10.33</v>
      </c>
      <c r="O136" s="68">
        <v>17.2</v>
      </c>
      <c r="P136" s="144">
        <v>17.2</v>
      </c>
      <c r="Q136" s="144">
        <v>17.2</v>
      </c>
      <c r="R136" s="144">
        <v>17.2</v>
      </c>
      <c r="S136" s="144">
        <v>17.2</v>
      </c>
      <c r="T136" s="144">
        <v>17.2</v>
      </c>
      <c r="U136" s="144">
        <v>17.2</v>
      </c>
      <c r="V136" s="144">
        <v>17.2</v>
      </c>
      <c r="W136" s="144">
        <v>17.2</v>
      </c>
      <c r="X136" s="144">
        <v>17.2</v>
      </c>
      <c r="Y136" s="144">
        <v>17.2</v>
      </c>
      <c r="Z136" s="144">
        <v>17.2</v>
      </c>
      <c r="AA136" s="58">
        <v>17.2</v>
      </c>
      <c r="AB136" s="58">
        <v>2.5</v>
      </c>
      <c r="AC136" s="10">
        <v>6.87</v>
      </c>
      <c r="AD136" s="10">
        <v>6.87</v>
      </c>
      <c r="AE136" s="10">
        <v>6.87</v>
      </c>
      <c r="AF136" s="10">
        <v>6.87</v>
      </c>
      <c r="AG136" s="10">
        <v>6.87</v>
      </c>
      <c r="AH136" s="10">
        <v>6.87</v>
      </c>
      <c r="AI136" s="10">
        <v>6.87</v>
      </c>
      <c r="AJ136" s="10">
        <v>6.87</v>
      </c>
      <c r="AK136" s="10">
        <v>6.87</v>
      </c>
      <c r="AL136" s="10">
        <v>6.87</v>
      </c>
      <c r="AM136" s="10">
        <v>6.87</v>
      </c>
      <c r="AN136" s="149">
        <v>6.87</v>
      </c>
      <c r="AO136" s="5">
        <v>0</v>
      </c>
      <c r="AP136" s="118">
        <f t="shared" si="30"/>
        <v>0</v>
      </c>
      <c r="AQ136" s="5">
        <v>0</v>
      </c>
      <c r="AR136" s="118">
        <f t="shared" si="29"/>
        <v>0</v>
      </c>
      <c r="AS136" s="5">
        <v>0</v>
      </c>
      <c r="AT136" s="127">
        <f t="shared" si="27"/>
        <v>0</v>
      </c>
      <c r="AU136" s="5">
        <v>0</v>
      </c>
      <c r="AV136" s="118">
        <f t="shared" si="31"/>
        <v>0</v>
      </c>
      <c r="AW136" s="5">
        <v>0</v>
      </c>
      <c r="AX136" s="118">
        <f t="shared" si="32"/>
        <v>0</v>
      </c>
      <c r="AY136" s="5">
        <v>0</v>
      </c>
      <c r="AZ136" s="127">
        <f t="shared" si="28"/>
        <v>0</v>
      </c>
      <c r="BA136" s="105">
        <v>0</v>
      </c>
      <c r="BB136" s="118">
        <f t="shared" si="19"/>
        <v>0</v>
      </c>
      <c r="BC136" s="105">
        <v>0</v>
      </c>
      <c r="BD136" s="118">
        <f t="shared" si="20"/>
        <v>0</v>
      </c>
      <c r="BE136" s="5">
        <v>0</v>
      </c>
      <c r="BF136" s="127">
        <f t="shared" si="21"/>
        <v>0</v>
      </c>
      <c r="BG136" s="105">
        <v>0</v>
      </c>
      <c r="BH136" s="118">
        <f t="shared" si="22"/>
        <v>0</v>
      </c>
      <c r="BI136" s="5">
        <v>0</v>
      </c>
      <c r="BJ136" s="118">
        <f t="shared" si="23"/>
        <v>0</v>
      </c>
      <c r="BK136" s="5">
        <v>0</v>
      </c>
      <c r="BL136" s="127">
        <f t="shared" si="24"/>
        <v>0</v>
      </c>
    </row>
    <row r="137" spans="1:64">
      <c r="A137" s="112" t="s">
        <v>259</v>
      </c>
      <c r="B137" s="106" t="s">
        <v>267</v>
      </c>
      <c r="C137" s="66" t="s">
        <v>175</v>
      </c>
      <c r="D137" s="287"/>
      <c r="E137" s="103" t="s">
        <v>176</v>
      </c>
      <c r="F137" s="282"/>
      <c r="G137" s="71" t="s">
        <v>200</v>
      </c>
      <c r="H137" s="70" t="s">
        <v>311</v>
      </c>
      <c r="I137" s="70" t="s">
        <v>184</v>
      </c>
      <c r="J137" s="71" t="s">
        <v>283</v>
      </c>
      <c r="K137" s="70" t="s">
        <v>305</v>
      </c>
      <c r="L137" s="69" t="s">
        <v>185</v>
      </c>
      <c r="M137" s="68" t="s">
        <v>204</v>
      </c>
      <c r="N137" s="68">
        <v>10.33</v>
      </c>
      <c r="O137" s="68">
        <v>17.2</v>
      </c>
      <c r="P137" s="144">
        <v>17.2</v>
      </c>
      <c r="Q137" s="144">
        <v>17.2</v>
      </c>
      <c r="R137" s="144">
        <v>17.2</v>
      </c>
      <c r="S137" s="144">
        <v>17.2</v>
      </c>
      <c r="T137" s="144">
        <v>17.2</v>
      </c>
      <c r="U137" s="144">
        <v>17.2</v>
      </c>
      <c r="V137" s="144">
        <v>17.2</v>
      </c>
      <c r="W137" s="144">
        <v>17.2</v>
      </c>
      <c r="X137" s="144">
        <v>17.2</v>
      </c>
      <c r="Y137" s="144">
        <v>17.2</v>
      </c>
      <c r="Z137" s="144">
        <v>17.2</v>
      </c>
      <c r="AA137" s="58">
        <v>17.2</v>
      </c>
      <c r="AB137" s="58">
        <v>3.5</v>
      </c>
      <c r="AC137" s="10">
        <v>9.5399999999999991</v>
      </c>
      <c r="AD137" s="10">
        <v>9.5399999999999991</v>
      </c>
      <c r="AE137" s="10">
        <v>9.5399999999999991</v>
      </c>
      <c r="AF137" s="10">
        <v>9.5399999999999991</v>
      </c>
      <c r="AG137" s="10">
        <v>9.5399999999999991</v>
      </c>
      <c r="AH137" s="10">
        <v>9.5399999999999991</v>
      </c>
      <c r="AI137" s="10">
        <v>9.5399999999999991</v>
      </c>
      <c r="AJ137" s="10">
        <v>9.5399999999999991</v>
      </c>
      <c r="AK137" s="10">
        <v>9.5399999999999991</v>
      </c>
      <c r="AL137" s="10">
        <v>9.5399999999999991</v>
      </c>
      <c r="AM137" s="10">
        <v>9.5399999999999991</v>
      </c>
      <c r="AN137" s="149">
        <v>9.5399999999999991</v>
      </c>
      <c r="AO137" s="5">
        <v>0</v>
      </c>
      <c r="AP137" s="118">
        <f t="shared" si="30"/>
        <v>0</v>
      </c>
      <c r="AQ137" s="5">
        <v>0</v>
      </c>
      <c r="AR137" s="118">
        <f t="shared" si="29"/>
        <v>0</v>
      </c>
      <c r="AS137" s="5">
        <v>0</v>
      </c>
      <c r="AT137" s="127">
        <f t="shared" si="27"/>
        <v>0</v>
      </c>
      <c r="AU137" s="5">
        <v>0</v>
      </c>
      <c r="AV137" s="118">
        <f t="shared" si="31"/>
        <v>0</v>
      </c>
      <c r="AW137" s="5">
        <v>0</v>
      </c>
      <c r="AX137" s="118">
        <f t="shared" si="32"/>
        <v>0</v>
      </c>
      <c r="AY137" s="5">
        <v>0</v>
      </c>
      <c r="AZ137" s="127">
        <f t="shared" si="28"/>
        <v>0</v>
      </c>
      <c r="BA137" s="105">
        <v>0</v>
      </c>
      <c r="BB137" s="118">
        <f t="shared" si="19"/>
        <v>0</v>
      </c>
      <c r="BC137" s="105">
        <v>0</v>
      </c>
      <c r="BD137" s="118">
        <f t="shared" si="20"/>
        <v>0</v>
      </c>
      <c r="BE137" s="5">
        <v>0</v>
      </c>
      <c r="BF137" s="127">
        <f t="shared" si="21"/>
        <v>0</v>
      </c>
      <c r="BG137" s="105">
        <v>0</v>
      </c>
      <c r="BH137" s="118">
        <f t="shared" si="22"/>
        <v>0</v>
      </c>
      <c r="BI137" s="5">
        <v>0</v>
      </c>
      <c r="BJ137" s="118">
        <f t="shared" si="23"/>
        <v>0</v>
      </c>
      <c r="BK137" s="5">
        <v>0</v>
      </c>
      <c r="BL137" s="127">
        <f t="shared" si="24"/>
        <v>0</v>
      </c>
    </row>
    <row r="138" spans="1:64">
      <c r="A138" s="112" t="s">
        <v>259</v>
      </c>
      <c r="B138" s="106" t="s">
        <v>267</v>
      </c>
      <c r="C138" s="66" t="s">
        <v>175</v>
      </c>
      <c r="D138" s="287"/>
      <c r="E138" s="103" t="s">
        <v>176</v>
      </c>
      <c r="F138" s="282"/>
      <c r="G138" s="71" t="s">
        <v>200</v>
      </c>
      <c r="H138" s="70" t="s">
        <v>310</v>
      </c>
      <c r="I138" s="70" t="s">
        <v>184</v>
      </c>
      <c r="J138" s="71" t="s">
        <v>283</v>
      </c>
      <c r="K138" s="70" t="s">
        <v>306</v>
      </c>
      <c r="L138" s="69" t="s">
        <v>185</v>
      </c>
      <c r="M138" s="68" t="s">
        <v>204</v>
      </c>
      <c r="N138" s="68">
        <v>15.81</v>
      </c>
      <c r="O138" s="68">
        <v>25.35</v>
      </c>
      <c r="P138" s="144">
        <v>25.35</v>
      </c>
      <c r="Q138" s="144">
        <v>25.35</v>
      </c>
      <c r="R138" s="144">
        <v>25.35</v>
      </c>
      <c r="S138" s="144">
        <v>25.35</v>
      </c>
      <c r="T138" s="144">
        <v>25.35</v>
      </c>
      <c r="U138" s="144">
        <v>25.35</v>
      </c>
      <c r="V138" s="144">
        <v>25.35</v>
      </c>
      <c r="W138" s="144">
        <v>25.35</v>
      </c>
      <c r="X138" s="144">
        <v>25.35</v>
      </c>
      <c r="Y138" s="144">
        <v>25.35</v>
      </c>
      <c r="Z138" s="144">
        <v>25.35</v>
      </c>
      <c r="AA138" s="58">
        <v>25.35</v>
      </c>
      <c r="AB138" s="58">
        <v>2.5</v>
      </c>
      <c r="AC138" s="10">
        <v>6.87</v>
      </c>
      <c r="AD138" s="10">
        <v>6.87</v>
      </c>
      <c r="AE138" s="10">
        <v>6.87</v>
      </c>
      <c r="AF138" s="10">
        <v>6.87</v>
      </c>
      <c r="AG138" s="10">
        <v>6.87</v>
      </c>
      <c r="AH138" s="10">
        <v>6.87</v>
      </c>
      <c r="AI138" s="10">
        <v>6.87</v>
      </c>
      <c r="AJ138" s="10">
        <v>6.87</v>
      </c>
      <c r="AK138" s="10">
        <v>6.87</v>
      </c>
      <c r="AL138" s="10">
        <v>6.87</v>
      </c>
      <c r="AM138" s="10">
        <v>6.87</v>
      </c>
      <c r="AN138" s="149">
        <v>6.87</v>
      </c>
      <c r="AO138" s="5">
        <v>0</v>
      </c>
      <c r="AP138" s="118">
        <f t="shared" si="30"/>
        <v>0</v>
      </c>
      <c r="AQ138" s="5">
        <v>0</v>
      </c>
      <c r="AR138" s="118">
        <f t="shared" si="29"/>
        <v>0</v>
      </c>
      <c r="AS138" s="5">
        <v>0</v>
      </c>
      <c r="AT138" s="127">
        <f t="shared" si="27"/>
        <v>0</v>
      </c>
      <c r="AU138" s="5">
        <v>0</v>
      </c>
      <c r="AV138" s="118">
        <f t="shared" si="31"/>
        <v>0</v>
      </c>
      <c r="AW138" s="5">
        <v>0</v>
      </c>
      <c r="AX138" s="118">
        <f t="shared" si="32"/>
        <v>0</v>
      </c>
      <c r="AY138" s="5">
        <v>0</v>
      </c>
      <c r="AZ138" s="127">
        <f t="shared" si="28"/>
        <v>0</v>
      </c>
      <c r="BA138" s="105">
        <v>0</v>
      </c>
      <c r="BB138" s="118">
        <f t="shared" si="19"/>
        <v>0</v>
      </c>
      <c r="BC138" s="105">
        <v>0</v>
      </c>
      <c r="BD138" s="118">
        <f t="shared" si="20"/>
        <v>0</v>
      </c>
      <c r="BE138" s="5">
        <v>0</v>
      </c>
      <c r="BF138" s="127">
        <f t="shared" si="21"/>
        <v>0</v>
      </c>
      <c r="BG138" s="105">
        <v>0</v>
      </c>
      <c r="BH138" s="118">
        <f t="shared" si="22"/>
        <v>0</v>
      </c>
      <c r="BI138" s="5">
        <v>0</v>
      </c>
      <c r="BJ138" s="118">
        <f t="shared" si="23"/>
        <v>0</v>
      </c>
      <c r="BK138" s="5">
        <v>0</v>
      </c>
      <c r="BL138" s="127">
        <f t="shared" si="24"/>
        <v>0</v>
      </c>
    </row>
    <row r="139" spans="1:64">
      <c r="A139" s="112" t="s">
        <v>259</v>
      </c>
      <c r="B139" s="106" t="s">
        <v>267</v>
      </c>
      <c r="C139" s="66" t="s">
        <v>175</v>
      </c>
      <c r="D139" s="287"/>
      <c r="E139" s="103" t="s">
        <v>176</v>
      </c>
      <c r="F139" s="282"/>
      <c r="G139" s="71" t="s">
        <v>200</v>
      </c>
      <c r="H139" s="70" t="s">
        <v>311</v>
      </c>
      <c r="I139" s="70" t="s">
        <v>184</v>
      </c>
      <c r="J139" s="71" t="s">
        <v>283</v>
      </c>
      <c r="K139" s="70" t="s">
        <v>307</v>
      </c>
      <c r="L139" s="69" t="s">
        <v>185</v>
      </c>
      <c r="M139" s="68" t="s">
        <v>204</v>
      </c>
      <c r="N139" s="68">
        <v>15.81</v>
      </c>
      <c r="O139" s="68">
        <v>25.35</v>
      </c>
      <c r="P139" s="144">
        <v>25.35</v>
      </c>
      <c r="Q139" s="144">
        <v>25.35</v>
      </c>
      <c r="R139" s="144">
        <v>25.35</v>
      </c>
      <c r="S139" s="144">
        <v>25.35</v>
      </c>
      <c r="T139" s="144">
        <v>25.35</v>
      </c>
      <c r="U139" s="144">
        <v>25.35</v>
      </c>
      <c r="V139" s="144">
        <v>25.35</v>
      </c>
      <c r="W139" s="144">
        <v>25.35</v>
      </c>
      <c r="X139" s="144">
        <v>25.35</v>
      </c>
      <c r="Y139" s="144">
        <v>25.35</v>
      </c>
      <c r="Z139" s="144">
        <v>25.35</v>
      </c>
      <c r="AA139" s="58">
        <v>25.35</v>
      </c>
      <c r="AB139" s="58">
        <v>3.5</v>
      </c>
      <c r="AC139" s="10">
        <v>9.5399999999999991</v>
      </c>
      <c r="AD139" s="10">
        <v>9.5399999999999991</v>
      </c>
      <c r="AE139" s="10">
        <v>9.5399999999999991</v>
      </c>
      <c r="AF139" s="10">
        <v>9.5399999999999991</v>
      </c>
      <c r="AG139" s="10">
        <v>9.5399999999999991</v>
      </c>
      <c r="AH139" s="10">
        <v>9.5399999999999991</v>
      </c>
      <c r="AI139" s="10">
        <v>9.5399999999999991</v>
      </c>
      <c r="AJ139" s="10">
        <v>9.5399999999999991</v>
      </c>
      <c r="AK139" s="10">
        <v>9.5399999999999991</v>
      </c>
      <c r="AL139" s="10">
        <v>9.5399999999999991</v>
      </c>
      <c r="AM139" s="10">
        <v>9.5399999999999991</v>
      </c>
      <c r="AN139" s="149">
        <v>9.5399999999999991</v>
      </c>
      <c r="AO139" s="5">
        <v>0</v>
      </c>
      <c r="AP139" s="118">
        <f t="shared" si="30"/>
        <v>0</v>
      </c>
      <c r="AQ139" s="5">
        <v>0</v>
      </c>
      <c r="AR139" s="118">
        <f t="shared" si="29"/>
        <v>0</v>
      </c>
      <c r="AS139" s="5">
        <v>0</v>
      </c>
      <c r="AT139" s="127">
        <f t="shared" si="27"/>
        <v>0</v>
      </c>
      <c r="AU139" s="5">
        <v>0</v>
      </c>
      <c r="AV139" s="118">
        <f t="shared" si="31"/>
        <v>0</v>
      </c>
      <c r="AW139" s="5">
        <v>0</v>
      </c>
      <c r="AX139" s="118">
        <f t="shared" si="32"/>
        <v>0</v>
      </c>
      <c r="AY139" s="5">
        <v>0</v>
      </c>
      <c r="AZ139" s="127">
        <f t="shared" si="28"/>
        <v>0</v>
      </c>
      <c r="BA139" s="105">
        <v>0</v>
      </c>
      <c r="BB139" s="118">
        <f t="shared" si="19"/>
        <v>0</v>
      </c>
      <c r="BC139" s="105">
        <v>0</v>
      </c>
      <c r="BD139" s="118">
        <f t="shared" si="20"/>
        <v>0</v>
      </c>
      <c r="BE139" s="5">
        <v>0</v>
      </c>
      <c r="BF139" s="127">
        <f t="shared" si="21"/>
        <v>0</v>
      </c>
      <c r="BG139" s="105">
        <v>0</v>
      </c>
      <c r="BH139" s="118">
        <f t="shared" si="22"/>
        <v>0</v>
      </c>
      <c r="BI139" s="5">
        <v>0</v>
      </c>
      <c r="BJ139" s="118">
        <f t="shared" si="23"/>
        <v>0</v>
      </c>
      <c r="BK139" s="5">
        <v>0</v>
      </c>
      <c r="BL139" s="127">
        <f t="shared" si="24"/>
        <v>0</v>
      </c>
    </row>
    <row r="140" spans="1:64">
      <c r="A140" s="112" t="s">
        <v>259</v>
      </c>
      <c r="B140" s="106" t="s">
        <v>267</v>
      </c>
      <c r="C140" s="66" t="s">
        <v>175</v>
      </c>
      <c r="D140" s="287"/>
      <c r="E140" s="103" t="s">
        <v>176</v>
      </c>
      <c r="F140" s="282"/>
      <c r="G140" s="71" t="s">
        <v>202</v>
      </c>
      <c r="H140" s="70" t="s">
        <v>312</v>
      </c>
      <c r="I140" s="70" t="s">
        <v>184</v>
      </c>
      <c r="J140" s="71" t="s">
        <v>283</v>
      </c>
      <c r="K140" s="70" t="s">
        <v>313</v>
      </c>
      <c r="L140" s="69" t="s">
        <v>213</v>
      </c>
      <c r="M140" s="68" t="s">
        <v>214</v>
      </c>
      <c r="N140" s="68">
        <v>10.33</v>
      </c>
      <c r="O140" s="68">
        <v>17.2</v>
      </c>
      <c r="P140" s="144">
        <v>17.2</v>
      </c>
      <c r="Q140" s="144">
        <v>17.2</v>
      </c>
      <c r="R140" s="144">
        <v>17.2</v>
      </c>
      <c r="S140" s="144">
        <v>17.2</v>
      </c>
      <c r="T140" s="144">
        <v>17.2</v>
      </c>
      <c r="U140" s="144">
        <v>17.2</v>
      </c>
      <c r="V140" s="144">
        <v>15.4</v>
      </c>
      <c r="W140" s="144">
        <v>15.4</v>
      </c>
      <c r="X140" s="144">
        <v>15.4</v>
      </c>
      <c r="Y140" s="144">
        <v>15.4</v>
      </c>
      <c r="Z140" s="144">
        <v>15.4</v>
      </c>
      <c r="AA140" s="58">
        <v>15.4</v>
      </c>
      <c r="AB140" s="58">
        <v>2.5</v>
      </c>
      <c r="AC140" s="10">
        <v>2.5</v>
      </c>
      <c r="AD140" s="10">
        <v>2.5</v>
      </c>
      <c r="AE140" s="10">
        <v>2.5</v>
      </c>
      <c r="AF140" s="10">
        <v>2.5</v>
      </c>
      <c r="AG140" s="10">
        <v>2.5</v>
      </c>
      <c r="AH140" s="10">
        <v>2.5</v>
      </c>
      <c r="AI140" s="10">
        <v>5.41</v>
      </c>
      <c r="AJ140" s="10">
        <v>5.41</v>
      </c>
      <c r="AK140" s="10">
        <v>5.41</v>
      </c>
      <c r="AL140" s="10">
        <v>5.41</v>
      </c>
      <c r="AM140" s="10">
        <v>5.41</v>
      </c>
      <c r="AN140" s="149">
        <v>5.41</v>
      </c>
      <c r="AO140" s="5">
        <v>1105</v>
      </c>
      <c r="AP140" s="118">
        <f t="shared" si="30"/>
        <v>2762.5</v>
      </c>
      <c r="AQ140" s="5">
        <v>2876</v>
      </c>
      <c r="AR140" s="118">
        <f t="shared" si="29"/>
        <v>7190</v>
      </c>
      <c r="AS140" s="5">
        <v>1597</v>
      </c>
      <c r="AT140" s="127">
        <f t="shared" si="27"/>
        <v>3992.5</v>
      </c>
      <c r="AU140" s="5">
        <v>359</v>
      </c>
      <c r="AV140" s="118">
        <f t="shared" si="31"/>
        <v>897.5</v>
      </c>
      <c r="AW140" s="5">
        <v>80</v>
      </c>
      <c r="AX140" s="118">
        <f t="shared" si="32"/>
        <v>200</v>
      </c>
      <c r="AY140" s="5">
        <v>1229</v>
      </c>
      <c r="AZ140" s="127">
        <f t="shared" si="28"/>
        <v>3072.5</v>
      </c>
      <c r="BA140" s="105">
        <v>1080</v>
      </c>
      <c r="BB140" s="118">
        <f t="shared" si="19"/>
        <v>5842.8</v>
      </c>
      <c r="BC140" s="105">
        <v>2600</v>
      </c>
      <c r="BD140" s="118">
        <f t="shared" si="20"/>
        <v>14066</v>
      </c>
      <c r="BE140" s="5">
        <v>1120</v>
      </c>
      <c r="BF140" s="127">
        <f t="shared" si="21"/>
        <v>6059.2</v>
      </c>
      <c r="BG140" s="105">
        <v>397</v>
      </c>
      <c r="BH140" s="118">
        <f t="shared" si="22"/>
        <v>2147.77</v>
      </c>
      <c r="BI140" s="5">
        <v>522</v>
      </c>
      <c r="BJ140" s="118">
        <f t="shared" si="23"/>
        <v>2824.02</v>
      </c>
      <c r="BK140" s="5">
        <v>1080</v>
      </c>
      <c r="BL140" s="127">
        <f t="shared" si="24"/>
        <v>5842.8</v>
      </c>
    </row>
    <row r="141" spans="1:64">
      <c r="A141" s="112" t="s">
        <v>259</v>
      </c>
      <c r="B141" s="106" t="s">
        <v>267</v>
      </c>
      <c r="C141" s="66" t="s">
        <v>175</v>
      </c>
      <c r="D141" s="287"/>
      <c r="E141" s="103" t="s">
        <v>176</v>
      </c>
      <c r="F141" s="282"/>
      <c r="G141" s="71" t="s">
        <v>202</v>
      </c>
      <c r="H141" s="70" t="s">
        <v>312</v>
      </c>
      <c r="I141" s="70" t="s">
        <v>184</v>
      </c>
      <c r="J141" s="71" t="s">
        <v>283</v>
      </c>
      <c r="K141" s="70" t="s">
        <v>306</v>
      </c>
      <c r="L141" s="69" t="s">
        <v>213</v>
      </c>
      <c r="M141" s="68" t="s">
        <v>214</v>
      </c>
      <c r="N141" s="68">
        <v>15.81</v>
      </c>
      <c r="O141" s="68">
        <v>25.35</v>
      </c>
      <c r="P141" s="144">
        <v>25.35</v>
      </c>
      <c r="Q141" s="144">
        <v>25.35</v>
      </c>
      <c r="R141" s="144">
        <v>25.35</v>
      </c>
      <c r="S141" s="144">
        <v>25.35</v>
      </c>
      <c r="T141" s="144">
        <v>25.35</v>
      </c>
      <c r="U141" s="144">
        <v>25.35</v>
      </c>
      <c r="V141" s="144">
        <v>22.55</v>
      </c>
      <c r="W141" s="144">
        <v>22.55</v>
      </c>
      <c r="X141" s="144">
        <v>22.55</v>
      </c>
      <c r="Y141" s="144">
        <v>22.55</v>
      </c>
      <c r="Z141" s="144">
        <v>22.55</v>
      </c>
      <c r="AA141" s="58">
        <v>22.55</v>
      </c>
      <c r="AB141" s="58">
        <v>3.5</v>
      </c>
      <c r="AC141" s="10">
        <v>3.5</v>
      </c>
      <c r="AD141" s="10">
        <v>3.5</v>
      </c>
      <c r="AE141" s="10">
        <v>3.5</v>
      </c>
      <c r="AF141" s="10">
        <v>3.5</v>
      </c>
      <c r="AG141" s="10">
        <v>3.5</v>
      </c>
      <c r="AH141" s="10">
        <v>3.5</v>
      </c>
      <c r="AI141" s="10">
        <v>7.65</v>
      </c>
      <c r="AJ141" s="10">
        <v>7.65</v>
      </c>
      <c r="AK141" s="10">
        <v>7.65</v>
      </c>
      <c r="AL141" s="10">
        <v>7.65</v>
      </c>
      <c r="AM141" s="10">
        <v>7.65</v>
      </c>
      <c r="AN141" s="149">
        <v>7.65</v>
      </c>
      <c r="AO141" s="5">
        <v>277</v>
      </c>
      <c r="AP141" s="118">
        <f t="shared" si="30"/>
        <v>969.5</v>
      </c>
      <c r="AQ141" s="5">
        <v>180</v>
      </c>
      <c r="AR141" s="118">
        <f t="shared" si="29"/>
        <v>630</v>
      </c>
      <c r="AS141" s="5">
        <v>678</v>
      </c>
      <c r="AT141" s="127">
        <f t="shared" si="27"/>
        <v>2373</v>
      </c>
      <c r="AU141" s="5">
        <v>0</v>
      </c>
      <c r="AV141" s="118">
        <f t="shared" si="31"/>
        <v>0</v>
      </c>
      <c r="AW141" s="5">
        <v>1037</v>
      </c>
      <c r="AX141" s="118">
        <f t="shared" si="32"/>
        <v>3629.5</v>
      </c>
      <c r="AY141" s="5">
        <v>0</v>
      </c>
      <c r="AZ141" s="127">
        <f t="shared" si="28"/>
        <v>0</v>
      </c>
      <c r="BA141" s="105">
        <v>242</v>
      </c>
      <c r="BB141" s="118">
        <f t="shared" si="19"/>
        <v>1851.3000000000002</v>
      </c>
      <c r="BC141" s="105">
        <v>5956</v>
      </c>
      <c r="BD141" s="118">
        <f t="shared" si="20"/>
        <v>45563.4</v>
      </c>
      <c r="BE141" s="5">
        <v>796</v>
      </c>
      <c r="BF141" s="127">
        <f t="shared" si="21"/>
        <v>6089.4000000000005</v>
      </c>
      <c r="BG141" s="105">
        <v>3027</v>
      </c>
      <c r="BH141" s="118">
        <f t="shared" si="22"/>
        <v>23156.55</v>
      </c>
      <c r="BI141" s="5">
        <v>3041</v>
      </c>
      <c r="BJ141" s="118">
        <f t="shared" si="23"/>
        <v>23263.65</v>
      </c>
      <c r="BK141" s="5">
        <v>800</v>
      </c>
      <c r="BL141" s="127">
        <f t="shared" si="24"/>
        <v>6120</v>
      </c>
    </row>
    <row r="142" spans="1:64">
      <c r="A142" s="112" t="s">
        <v>259</v>
      </c>
      <c r="B142" s="106" t="s">
        <v>267</v>
      </c>
      <c r="C142" s="66" t="s">
        <v>175</v>
      </c>
      <c r="D142" s="287"/>
      <c r="E142" s="103" t="s">
        <v>176</v>
      </c>
      <c r="F142" s="282"/>
      <c r="G142" s="71" t="s">
        <v>202</v>
      </c>
      <c r="H142" s="70" t="s">
        <v>314</v>
      </c>
      <c r="I142" s="70" t="s">
        <v>184</v>
      </c>
      <c r="J142" s="71" t="s">
        <v>283</v>
      </c>
      <c r="K142" s="70" t="s">
        <v>315</v>
      </c>
      <c r="L142" s="69" t="s">
        <v>213</v>
      </c>
      <c r="M142" s="68" t="s">
        <v>214</v>
      </c>
      <c r="N142" s="68">
        <v>15.81</v>
      </c>
      <c r="O142" s="68">
        <v>25.35</v>
      </c>
      <c r="P142" s="144">
        <v>25.35</v>
      </c>
      <c r="Q142" s="144">
        <v>25.35</v>
      </c>
      <c r="R142" s="144">
        <v>25.35</v>
      </c>
      <c r="S142" s="144">
        <v>25.35</v>
      </c>
      <c r="T142" s="144">
        <v>25.35</v>
      </c>
      <c r="U142" s="144">
        <v>25.35</v>
      </c>
      <c r="V142" s="144">
        <v>22.55</v>
      </c>
      <c r="W142" s="144">
        <v>22.55</v>
      </c>
      <c r="X142" s="144">
        <v>22.55</v>
      </c>
      <c r="Y142" s="144">
        <v>22.55</v>
      </c>
      <c r="Z142" s="144">
        <v>22.55</v>
      </c>
      <c r="AA142" s="58">
        <v>22.55</v>
      </c>
      <c r="AB142" s="58">
        <v>3.5</v>
      </c>
      <c r="AC142" s="10">
        <v>3.5</v>
      </c>
      <c r="AD142" s="10">
        <v>3.5</v>
      </c>
      <c r="AE142" s="10">
        <v>3.5</v>
      </c>
      <c r="AF142" s="10">
        <v>3.5</v>
      </c>
      <c r="AG142" s="10">
        <v>3.5</v>
      </c>
      <c r="AH142" s="10">
        <v>3.5</v>
      </c>
      <c r="AI142" s="10">
        <v>3.5</v>
      </c>
      <c r="AJ142" s="10">
        <v>3.5</v>
      </c>
      <c r="AK142" s="10">
        <v>3.5</v>
      </c>
      <c r="AL142" s="10">
        <v>3.5</v>
      </c>
      <c r="AM142" s="10">
        <v>3.5</v>
      </c>
      <c r="AN142" s="149">
        <v>3.5</v>
      </c>
      <c r="AO142" s="5">
        <v>157</v>
      </c>
      <c r="AP142" s="118">
        <f t="shared" si="30"/>
        <v>549.5</v>
      </c>
      <c r="AQ142" s="5">
        <v>319</v>
      </c>
      <c r="AR142" s="118">
        <f t="shared" si="29"/>
        <v>1116.5</v>
      </c>
      <c r="AS142" s="5">
        <v>200</v>
      </c>
      <c r="AT142" s="127">
        <f t="shared" si="27"/>
        <v>700</v>
      </c>
      <c r="AU142" s="5">
        <v>80</v>
      </c>
      <c r="AV142" s="118">
        <f t="shared" si="31"/>
        <v>280</v>
      </c>
      <c r="AW142" s="5">
        <v>0</v>
      </c>
      <c r="AX142" s="118">
        <f t="shared" si="32"/>
        <v>0</v>
      </c>
      <c r="AY142" s="5">
        <v>120</v>
      </c>
      <c r="AZ142" s="127">
        <f t="shared" si="28"/>
        <v>420</v>
      </c>
      <c r="BA142" s="105">
        <v>0</v>
      </c>
      <c r="BB142" s="118">
        <f t="shared" si="19"/>
        <v>0</v>
      </c>
      <c r="BC142" s="105">
        <v>360</v>
      </c>
      <c r="BD142" s="118">
        <f t="shared" si="20"/>
        <v>1260</v>
      </c>
      <c r="BE142" s="5">
        <v>480</v>
      </c>
      <c r="BF142" s="127">
        <f t="shared" si="21"/>
        <v>1680</v>
      </c>
      <c r="BG142" s="105">
        <v>80</v>
      </c>
      <c r="BH142" s="118">
        <f t="shared" si="22"/>
        <v>280</v>
      </c>
      <c r="BI142" s="5">
        <v>40</v>
      </c>
      <c r="BJ142" s="118">
        <f t="shared" si="23"/>
        <v>140</v>
      </c>
      <c r="BK142" s="5">
        <v>0</v>
      </c>
      <c r="BL142" s="127">
        <f t="shared" si="24"/>
        <v>0</v>
      </c>
    </row>
    <row r="143" spans="1:64">
      <c r="A143" s="112" t="s">
        <v>259</v>
      </c>
      <c r="B143" s="106" t="s">
        <v>267</v>
      </c>
      <c r="C143" s="66" t="s">
        <v>175</v>
      </c>
      <c r="D143" s="287"/>
      <c r="E143" s="103" t="s">
        <v>176</v>
      </c>
      <c r="F143" s="282"/>
      <c r="G143" s="71" t="s">
        <v>202</v>
      </c>
      <c r="H143" s="70" t="s">
        <v>314</v>
      </c>
      <c r="I143" s="70" t="s">
        <v>184</v>
      </c>
      <c r="J143" s="71" t="s">
        <v>283</v>
      </c>
      <c r="K143" s="70" t="s">
        <v>306</v>
      </c>
      <c r="L143" s="69" t="s">
        <v>213</v>
      </c>
      <c r="M143" s="68" t="s">
        <v>214</v>
      </c>
      <c r="N143" s="68">
        <v>15.81</v>
      </c>
      <c r="O143" s="68">
        <v>25.35</v>
      </c>
      <c r="P143" s="144">
        <v>25.35</v>
      </c>
      <c r="Q143" s="144">
        <v>25.35</v>
      </c>
      <c r="R143" s="144">
        <v>25.35</v>
      </c>
      <c r="S143" s="144">
        <v>25.35</v>
      </c>
      <c r="T143" s="144">
        <v>25.35</v>
      </c>
      <c r="U143" s="144">
        <v>25.35</v>
      </c>
      <c r="V143" s="144">
        <v>22.55</v>
      </c>
      <c r="W143" s="144">
        <v>22.55</v>
      </c>
      <c r="X143" s="144">
        <v>22.55</v>
      </c>
      <c r="Y143" s="144">
        <v>22.55</v>
      </c>
      <c r="Z143" s="144">
        <v>22.55</v>
      </c>
      <c r="AA143" s="58">
        <v>22.55</v>
      </c>
      <c r="AB143" s="58">
        <v>3.5</v>
      </c>
      <c r="AC143" s="10">
        <v>3.5</v>
      </c>
      <c r="AD143" s="10">
        <v>3.5</v>
      </c>
      <c r="AE143" s="10">
        <v>3.5</v>
      </c>
      <c r="AF143" s="10">
        <v>3.5</v>
      </c>
      <c r="AG143" s="10">
        <v>3.5</v>
      </c>
      <c r="AH143" s="10">
        <v>3.5</v>
      </c>
      <c r="AI143" s="10">
        <v>3.5</v>
      </c>
      <c r="AJ143" s="10">
        <v>3.5</v>
      </c>
      <c r="AK143" s="10">
        <v>3.5</v>
      </c>
      <c r="AL143" s="10">
        <v>3.5</v>
      </c>
      <c r="AM143" s="10">
        <v>3.5</v>
      </c>
      <c r="AN143" s="149">
        <v>3.5</v>
      </c>
      <c r="AO143" s="5">
        <v>80</v>
      </c>
      <c r="AP143" s="118">
        <f t="shared" si="30"/>
        <v>280</v>
      </c>
      <c r="AQ143" s="5">
        <v>160</v>
      </c>
      <c r="AR143" s="118">
        <f t="shared" si="29"/>
        <v>560</v>
      </c>
      <c r="AS143" s="5">
        <v>0</v>
      </c>
      <c r="AT143" s="127">
        <f t="shared" si="27"/>
        <v>0</v>
      </c>
      <c r="AU143" s="5">
        <v>80</v>
      </c>
      <c r="AV143" s="118">
        <f t="shared" si="31"/>
        <v>280</v>
      </c>
      <c r="AW143" s="5">
        <v>0</v>
      </c>
      <c r="AX143" s="118">
        <f t="shared" si="32"/>
        <v>0</v>
      </c>
      <c r="AY143" s="5">
        <v>40</v>
      </c>
      <c r="AZ143" s="127">
        <f t="shared" si="28"/>
        <v>140</v>
      </c>
      <c r="BA143" s="105">
        <v>0</v>
      </c>
      <c r="BB143" s="118">
        <f t="shared" si="19"/>
        <v>0</v>
      </c>
      <c r="BC143" s="105">
        <v>80</v>
      </c>
      <c r="BD143" s="118">
        <f t="shared" si="20"/>
        <v>280</v>
      </c>
      <c r="BE143" s="5">
        <v>80</v>
      </c>
      <c r="BF143" s="127">
        <f t="shared" si="21"/>
        <v>280</v>
      </c>
      <c r="BG143" s="105">
        <v>40</v>
      </c>
      <c r="BH143" s="118">
        <f t="shared" si="22"/>
        <v>140</v>
      </c>
      <c r="BI143" s="5">
        <v>80</v>
      </c>
      <c r="BJ143" s="118">
        <f t="shared" si="23"/>
        <v>280</v>
      </c>
      <c r="BK143" s="5">
        <v>0</v>
      </c>
      <c r="BL143" s="127">
        <f t="shared" si="24"/>
        <v>0</v>
      </c>
    </row>
    <row r="144" spans="1:64">
      <c r="A144" s="112" t="s">
        <v>259</v>
      </c>
      <c r="B144" s="106"/>
      <c r="C144" s="66" t="s">
        <v>175</v>
      </c>
      <c r="D144" s="287"/>
      <c r="E144" s="103" t="s">
        <v>176</v>
      </c>
      <c r="F144" s="282"/>
      <c r="G144" s="56"/>
      <c r="H144" s="54"/>
      <c r="I144" s="54"/>
      <c r="J144" s="55"/>
      <c r="K144" s="54"/>
      <c r="L144" s="53"/>
      <c r="M144" s="52"/>
      <c r="N144" s="52"/>
      <c r="O144" s="52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  <c r="AA144" s="49"/>
      <c r="AB144" s="49"/>
      <c r="AC144" s="48"/>
      <c r="AD144" s="48"/>
      <c r="AE144" s="48"/>
      <c r="AF144" s="48"/>
      <c r="AG144" s="48"/>
      <c r="AH144" s="48"/>
      <c r="AI144" s="48"/>
      <c r="AJ144" s="48"/>
      <c r="AK144" s="48"/>
      <c r="AL144" s="48"/>
      <c r="AM144" s="48"/>
      <c r="AN144" s="150"/>
      <c r="AO144" s="23"/>
      <c r="AP144" s="118">
        <f t="shared" si="30"/>
        <v>0</v>
      </c>
      <c r="AQ144" s="23"/>
      <c r="AR144" s="118">
        <f t="shared" si="29"/>
        <v>0</v>
      </c>
      <c r="AS144" s="23"/>
      <c r="AT144" s="127">
        <f t="shared" si="27"/>
        <v>0</v>
      </c>
      <c r="AU144" s="23"/>
      <c r="AV144" s="118">
        <f t="shared" si="31"/>
        <v>0</v>
      </c>
      <c r="AW144" s="23"/>
      <c r="AX144" s="118">
        <f t="shared" si="32"/>
        <v>0</v>
      </c>
      <c r="AY144" s="23"/>
      <c r="AZ144" s="127">
        <f t="shared" si="28"/>
        <v>0</v>
      </c>
      <c r="BA144" s="50"/>
      <c r="BB144" s="118">
        <f t="shared" si="19"/>
        <v>0</v>
      </c>
      <c r="BC144" s="50"/>
      <c r="BD144" s="118">
        <f t="shared" si="20"/>
        <v>0</v>
      </c>
      <c r="BE144" s="23"/>
      <c r="BF144" s="127">
        <f t="shared" si="21"/>
        <v>0</v>
      </c>
      <c r="BG144" s="50"/>
      <c r="BH144" s="118">
        <f t="shared" si="22"/>
        <v>0</v>
      </c>
      <c r="BI144" s="23"/>
      <c r="BJ144" s="118">
        <f t="shared" si="23"/>
        <v>0</v>
      </c>
      <c r="BK144" s="23"/>
      <c r="BL144" s="127">
        <f t="shared" si="24"/>
        <v>0</v>
      </c>
    </row>
    <row r="145" spans="1:64">
      <c r="A145" s="112" t="s">
        <v>259</v>
      </c>
      <c r="B145" s="106"/>
      <c r="C145" s="66" t="s">
        <v>175</v>
      </c>
      <c r="D145" s="287"/>
      <c r="E145" s="103" t="s">
        <v>176</v>
      </c>
      <c r="F145" s="282" t="s">
        <v>316</v>
      </c>
      <c r="G145" s="65"/>
      <c r="H145" s="63"/>
      <c r="I145" s="63"/>
      <c r="J145" s="64"/>
      <c r="K145" s="63"/>
      <c r="L145" s="62"/>
      <c r="M145" s="61"/>
      <c r="N145" s="61"/>
      <c r="O145" s="61"/>
      <c r="P145" s="154"/>
      <c r="Q145" s="154"/>
      <c r="R145" s="154"/>
      <c r="S145" s="154"/>
      <c r="T145" s="154"/>
      <c r="U145" s="154"/>
      <c r="V145" s="154"/>
      <c r="W145" s="154"/>
      <c r="X145" s="154"/>
      <c r="Y145" s="154"/>
      <c r="Z145" s="154"/>
      <c r="AA145" s="59"/>
      <c r="AB145" s="59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49"/>
      <c r="AP145" s="117">
        <f t="shared" si="30"/>
        <v>0</v>
      </c>
      <c r="AQ145" s="22"/>
      <c r="AR145" s="117">
        <f t="shared" si="29"/>
        <v>0</v>
      </c>
      <c r="AS145" s="22"/>
      <c r="AT145" s="126">
        <f t="shared" si="27"/>
        <v>0</v>
      </c>
      <c r="AU145" s="22"/>
      <c r="AV145" s="117">
        <f t="shared" si="31"/>
        <v>0</v>
      </c>
      <c r="AW145" s="22"/>
      <c r="AX145" s="117">
        <f t="shared" si="32"/>
        <v>0</v>
      </c>
      <c r="AY145" s="22"/>
      <c r="AZ145" s="126">
        <f t="shared" si="28"/>
        <v>0</v>
      </c>
      <c r="BA145" s="79"/>
      <c r="BB145" s="117">
        <f t="shared" si="19"/>
        <v>0</v>
      </c>
      <c r="BC145" s="79"/>
      <c r="BD145" s="117">
        <f t="shared" si="20"/>
        <v>0</v>
      </c>
      <c r="BE145" s="22"/>
      <c r="BF145" s="126">
        <f t="shared" si="21"/>
        <v>0</v>
      </c>
      <c r="BG145" s="79"/>
      <c r="BH145" s="117">
        <f t="shared" si="22"/>
        <v>0</v>
      </c>
      <c r="BI145" s="22"/>
      <c r="BJ145" s="117">
        <f t="shared" si="23"/>
        <v>0</v>
      </c>
      <c r="BK145" s="22"/>
      <c r="BL145" s="126">
        <f t="shared" si="24"/>
        <v>0</v>
      </c>
    </row>
    <row r="146" spans="1:64">
      <c r="A146" s="112" t="s">
        <v>259</v>
      </c>
      <c r="B146" s="106"/>
      <c r="C146" s="66" t="s">
        <v>175</v>
      </c>
      <c r="D146" s="288"/>
      <c r="E146" s="104" t="s">
        <v>176</v>
      </c>
      <c r="F146" s="282"/>
      <c r="G146" s="56"/>
      <c r="H146" s="54"/>
      <c r="I146" s="54"/>
      <c r="J146" s="55"/>
      <c r="K146" s="54"/>
      <c r="L146" s="53"/>
      <c r="M146" s="52"/>
      <c r="N146" s="52"/>
      <c r="O146" s="52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49"/>
      <c r="AB146" s="49"/>
      <c r="AC146" s="48"/>
      <c r="AD146" s="48"/>
      <c r="AE146" s="48"/>
      <c r="AF146" s="48"/>
      <c r="AG146" s="48"/>
      <c r="AH146" s="48"/>
      <c r="AI146" s="48"/>
      <c r="AJ146" s="48"/>
      <c r="AK146" s="48"/>
      <c r="AL146" s="48"/>
      <c r="AM146" s="48"/>
      <c r="AN146" s="150"/>
      <c r="AO146" s="23"/>
      <c r="AP146" s="118">
        <f t="shared" si="30"/>
        <v>0</v>
      </c>
      <c r="AQ146" s="23"/>
      <c r="AR146" s="118">
        <f t="shared" si="29"/>
        <v>0</v>
      </c>
      <c r="AS146" s="23"/>
      <c r="AT146" s="127">
        <f t="shared" si="27"/>
        <v>0</v>
      </c>
      <c r="AU146" s="23"/>
      <c r="AV146" s="118">
        <f t="shared" si="31"/>
        <v>0</v>
      </c>
      <c r="AW146" s="23"/>
      <c r="AX146" s="118">
        <f t="shared" si="32"/>
        <v>0</v>
      </c>
      <c r="AY146" s="23"/>
      <c r="AZ146" s="127">
        <f t="shared" si="28"/>
        <v>0</v>
      </c>
      <c r="BA146" s="50"/>
      <c r="BB146" s="118">
        <f t="shared" ref="BB146:BB148" si="33">AI146*BA146</f>
        <v>0</v>
      </c>
      <c r="BC146" s="50"/>
      <c r="BD146" s="118">
        <f t="shared" ref="BD146:BD148" si="34">AJ146*BC146</f>
        <v>0</v>
      </c>
      <c r="BE146" s="23"/>
      <c r="BF146" s="127">
        <f t="shared" ref="BF146:BF148" si="35">AK146*BE146</f>
        <v>0</v>
      </c>
      <c r="BG146" s="50"/>
      <c r="BH146" s="118">
        <f t="shared" ref="BH146:BH148" si="36">AL146*BG146</f>
        <v>0</v>
      </c>
      <c r="BI146" s="23"/>
      <c r="BJ146" s="118">
        <f t="shared" ref="BJ146:BJ148" si="37">AM146*BI146</f>
        <v>0</v>
      </c>
      <c r="BK146" s="23"/>
      <c r="BL146" s="127">
        <f t="shared" ref="BL146:BL148" si="38">AN146*BK146</f>
        <v>0</v>
      </c>
    </row>
    <row r="147" spans="1:64">
      <c r="A147" s="112" t="s">
        <v>259</v>
      </c>
      <c r="B147" s="106"/>
      <c r="C147" s="66" t="s">
        <v>175</v>
      </c>
      <c r="D147" s="276" t="s">
        <v>246</v>
      </c>
      <c r="E147" s="276" t="s">
        <v>246</v>
      </c>
      <c r="F147" s="278" t="s">
        <v>318</v>
      </c>
      <c r="G147" s="65"/>
      <c r="H147" s="63"/>
      <c r="I147" s="63"/>
      <c r="J147" s="64"/>
      <c r="K147" s="63"/>
      <c r="L147" s="62"/>
      <c r="M147" s="61"/>
      <c r="N147" s="61"/>
      <c r="O147" s="61"/>
      <c r="P147" s="154"/>
      <c r="Q147" s="154"/>
      <c r="R147" s="154"/>
      <c r="S147" s="154"/>
      <c r="T147" s="154"/>
      <c r="U147" s="154"/>
      <c r="V147" s="154"/>
      <c r="W147" s="154"/>
      <c r="X147" s="154"/>
      <c r="Y147" s="154"/>
      <c r="Z147" s="154"/>
      <c r="AA147" s="59"/>
      <c r="AB147" s="59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49"/>
      <c r="AP147" s="117">
        <f t="shared" si="30"/>
        <v>0</v>
      </c>
      <c r="AQ147" s="22"/>
      <c r="AR147" s="117">
        <f t="shared" si="29"/>
        <v>0</v>
      </c>
      <c r="AS147" s="22"/>
      <c r="AT147" s="126">
        <f t="shared" si="27"/>
        <v>0</v>
      </c>
      <c r="AU147" s="22"/>
      <c r="AV147" s="117">
        <f t="shared" si="31"/>
        <v>0</v>
      </c>
      <c r="AW147" s="22"/>
      <c r="AX147" s="117">
        <f t="shared" si="32"/>
        <v>0</v>
      </c>
      <c r="AY147" s="22"/>
      <c r="AZ147" s="126">
        <f t="shared" si="28"/>
        <v>0</v>
      </c>
      <c r="BA147" s="79"/>
      <c r="BB147" s="117">
        <f t="shared" si="33"/>
        <v>0</v>
      </c>
      <c r="BC147" s="79"/>
      <c r="BD147" s="117">
        <f t="shared" si="34"/>
        <v>0</v>
      </c>
      <c r="BE147" s="22"/>
      <c r="BF147" s="126">
        <f t="shared" si="35"/>
        <v>0</v>
      </c>
      <c r="BG147" s="79"/>
      <c r="BH147" s="117">
        <f t="shared" si="36"/>
        <v>0</v>
      </c>
      <c r="BI147" s="22"/>
      <c r="BJ147" s="117">
        <f t="shared" si="37"/>
        <v>0</v>
      </c>
      <c r="BK147" s="22"/>
      <c r="BL147" s="126">
        <f t="shared" si="38"/>
        <v>0</v>
      </c>
    </row>
    <row r="148" spans="1:64">
      <c r="A148" s="112" t="s">
        <v>259</v>
      </c>
      <c r="B148" s="110"/>
      <c r="C148" s="57" t="s">
        <v>175</v>
      </c>
      <c r="D148" s="277"/>
      <c r="E148" s="277"/>
      <c r="F148" s="278"/>
      <c r="G148" s="56"/>
      <c r="H148" s="54"/>
      <c r="I148" s="54"/>
      <c r="J148" s="55"/>
      <c r="K148" s="54"/>
      <c r="L148" s="53"/>
      <c r="M148" s="52"/>
      <c r="N148" s="52"/>
      <c r="O148" s="52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49"/>
      <c r="AB148" s="49"/>
      <c r="AC148" s="48"/>
      <c r="AD148" s="48"/>
      <c r="AE148" s="48"/>
      <c r="AF148" s="48"/>
      <c r="AG148" s="48"/>
      <c r="AH148" s="48"/>
      <c r="AI148" s="48"/>
      <c r="AJ148" s="48"/>
      <c r="AK148" s="48"/>
      <c r="AL148" s="48"/>
      <c r="AM148" s="48"/>
      <c r="AN148" s="150"/>
      <c r="AO148" s="23"/>
      <c r="AP148" s="184">
        <f t="shared" si="30"/>
        <v>0</v>
      </c>
      <c r="AQ148" s="23"/>
      <c r="AR148" s="184">
        <f t="shared" si="29"/>
        <v>0</v>
      </c>
      <c r="AS148" s="23"/>
      <c r="AT148" s="185">
        <f t="shared" si="27"/>
        <v>0</v>
      </c>
      <c r="AU148" s="23"/>
      <c r="AV148" s="184">
        <f t="shared" si="31"/>
        <v>0</v>
      </c>
      <c r="AW148" s="23"/>
      <c r="AX148" s="184">
        <f t="shared" si="32"/>
        <v>0</v>
      </c>
      <c r="AY148" s="23"/>
      <c r="AZ148" s="185">
        <f t="shared" si="28"/>
        <v>0</v>
      </c>
      <c r="BA148" s="50"/>
      <c r="BB148" s="184">
        <f t="shared" si="33"/>
        <v>0</v>
      </c>
      <c r="BC148" s="50"/>
      <c r="BD148" s="184">
        <f t="shared" si="34"/>
        <v>0</v>
      </c>
      <c r="BE148" s="23"/>
      <c r="BF148" s="185">
        <f t="shared" si="35"/>
        <v>0</v>
      </c>
      <c r="BG148" s="50"/>
      <c r="BH148" s="184">
        <f t="shared" si="36"/>
        <v>0</v>
      </c>
      <c r="BI148" s="23"/>
      <c r="BJ148" s="184">
        <f t="shared" si="37"/>
        <v>0</v>
      </c>
      <c r="BK148" s="23"/>
      <c r="BL148" s="185">
        <f t="shared" si="38"/>
        <v>0</v>
      </c>
    </row>
  </sheetData>
  <autoFilter ref="A2:BO148"/>
  <mergeCells count="27">
    <mergeCell ref="D3:D61"/>
    <mergeCell ref="D62:D80"/>
    <mergeCell ref="F145:F146"/>
    <mergeCell ref="F3:F4"/>
    <mergeCell ref="F37:F38"/>
    <mergeCell ref="F39:F40"/>
    <mergeCell ref="F41:F42"/>
    <mergeCell ref="F5:F22"/>
    <mergeCell ref="F23:F24"/>
    <mergeCell ref="F25:F27"/>
    <mergeCell ref="F28:F34"/>
    <mergeCell ref="F35:F36"/>
    <mergeCell ref="F43:F61"/>
    <mergeCell ref="F62:F80"/>
    <mergeCell ref="F98:F99"/>
    <mergeCell ref="F100:F117"/>
    <mergeCell ref="F118:F119"/>
    <mergeCell ref="F86:F97"/>
    <mergeCell ref="F81:F85"/>
    <mergeCell ref="D81:D85"/>
    <mergeCell ref="D147:D148"/>
    <mergeCell ref="E147:E148"/>
    <mergeCell ref="F147:F148"/>
    <mergeCell ref="F120:F125"/>
    <mergeCell ref="F126:F127"/>
    <mergeCell ref="F128:F144"/>
    <mergeCell ref="D86:D146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1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5"/>
  <dimension ref="B2:H28"/>
  <sheetViews>
    <sheetView topLeftCell="A9" zoomScale="115" zoomScaleNormal="115" workbookViewId="0">
      <selection activeCell="F29" sqref="F29"/>
    </sheetView>
  </sheetViews>
  <sheetFormatPr defaultRowHeight="16.5"/>
  <cols>
    <col min="2" max="2" width="16.75" customWidth="1"/>
    <col min="3" max="3" width="17.125" customWidth="1"/>
    <col min="4" max="4" width="14.375" customWidth="1"/>
    <col min="5" max="5" width="12.375" customWidth="1"/>
    <col min="6" max="6" width="18.375" customWidth="1"/>
  </cols>
  <sheetData>
    <row r="2" spans="2:8" ht="17.25" thickBot="1"/>
    <row r="3" spans="2:8" ht="17.25" thickBot="1">
      <c r="B3" s="30" t="s">
        <v>404</v>
      </c>
      <c r="C3" s="25" t="s">
        <v>405</v>
      </c>
      <c r="D3" s="25" t="s">
        <v>406</v>
      </c>
      <c r="E3" s="26" t="s">
        <v>407</v>
      </c>
      <c r="F3" s="25" t="s">
        <v>34</v>
      </c>
      <c r="H3" s="31"/>
    </row>
    <row r="4" spans="2:8" ht="17.25" thickBot="1">
      <c r="B4" s="24" t="s">
        <v>35</v>
      </c>
      <c r="C4" s="25">
        <f>'FY25'!AP1</f>
        <v>208260.71999999997</v>
      </c>
      <c r="D4" s="25">
        <f>'FY25'!AR1</f>
        <v>299100.14</v>
      </c>
      <c r="E4" s="26">
        <f>'FY25'!AT1</f>
        <v>240706.02999999997</v>
      </c>
      <c r="F4" s="25">
        <f>SUM(C4:E4)</f>
        <v>748066.8899999999</v>
      </c>
    </row>
    <row r="5" spans="2:8" ht="17.25" thickBot="1">
      <c r="B5" s="24" t="s">
        <v>36</v>
      </c>
      <c r="C5" s="25"/>
      <c r="D5" s="25"/>
      <c r="E5" s="26"/>
      <c r="F5" s="25">
        <f t="shared" ref="F5:F6" si="0">SUM(C5:E5)</f>
        <v>0</v>
      </c>
    </row>
    <row r="6" spans="2:8" ht="17.25" thickBot="1">
      <c r="B6" s="27" t="s">
        <v>37</v>
      </c>
      <c r="C6" s="28"/>
      <c r="D6" s="28"/>
      <c r="E6" s="29"/>
      <c r="F6" s="25">
        <f t="shared" si="0"/>
        <v>0</v>
      </c>
      <c r="H6" t="s">
        <v>38</v>
      </c>
    </row>
    <row r="7" spans="2:8" ht="17.25" thickBot="1">
      <c r="B7" s="24" t="s">
        <v>39</v>
      </c>
      <c r="C7" s="25">
        <f>SUM(C4:C6)</f>
        <v>208260.71999999997</v>
      </c>
      <c r="D7" s="25">
        <f>SUM(D4:D6)</f>
        <v>299100.14</v>
      </c>
      <c r="E7" s="25">
        <f t="shared" ref="E7:F7" si="1">SUM(E4:E6)</f>
        <v>240706.02999999997</v>
      </c>
      <c r="F7" s="25">
        <f t="shared" si="1"/>
        <v>748066.8899999999</v>
      </c>
    </row>
    <row r="8" spans="2:8">
      <c r="H8" t="s">
        <v>40</v>
      </c>
    </row>
    <row r="9" spans="2:8" ht="17.25" thickBot="1"/>
    <row r="10" spans="2:8" ht="17.25" thickBot="1">
      <c r="B10" s="30" t="s">
        <v>404</v>
      </c>
      <c r="C10" s="25" t="s">
        <v>408</v>
      </c>
      <c r="D10" s="25" t="s">
        <v>409</v>
      </c>
      <c r="E10" s="26" t="s">
        <v>410</v>
      </c>
      <c r="F10" s="25" t="s">
        <v>44</v>
      </c>
      <c r="H10" t="s">
        <v>45</v>
      </c>
    </row>
    <row r="11" spans="2:8" ht="17.25" thickBot="1">
      <c r="B11" s="24" t="s">
        <v>35</v>
      </c>
      <c r="C11" s="25">
        <f>'FY25'!AV1</f>
        <v>194410.29</v>
      </c>
      <c r="D11" s="25">
        <f>'FY25'!AX1</f>
        <v>238069.66</v>
      </c>
      <c r="E11" s="26">
        <f>'FY25'!AZ1</f>
        <v>252178.74999999997</v>
      </c>
      <c r="F11" s="25">
        <f>SUM(C11:E11)</f>
        <v>684658.7</v>
      </c>
    </row>
    <row r="12" spans="2:8" ht="17.25" thickBot="1">
      <c r="B12" s="24" t="s">
        <v>36</v>
      </c>
      <c r="C12" s="25">
        <v>23806.73</v>
      </c>
      <c r="D12" s="25"/>
      <c r="E12" s="26"/>
      <c r="F12" s="25">
        <f t="shared" ref="F12:F13" si="2">SUM(C12:E12)</f>
        <v>23806.73</v>
      </c>
      <c r="H12" t="s">
        <v>46</v>
      </c>
    </row>
    <row r="13" spans="2:8" ht="17.25" thickBot="1">
      <c r="B13" s="27" t="s">
        <v>37</v>
      </c>
      <c r="C13" s="28"/>
      <c r="D13" s="28"/>
      <c r="E13" s="29"/>
      <c r="F13" s="25">
        <f t="shared" si="2"/>
        <v>0</v>
      </c>
    </row>
    <row r="14" spans="2:8" ht="17.25" thickBot="1">
      <c r="B14" s="24" t="s">
        <v>39</v>
      </c>
      <c r="C14" s="25">
        <f>SUM(C11:C13)</f>
        <v>218217.02000000002</v>
      </c>
      <c r="D14" s="25">
        <f t="shared" ref="D14:F14" si="3">SUM(D11:D13)</f>
        <v>238069.66</v>
      </c>
      <c r="E14" s="25">
        <f t="shared" si="3"/>
        <v>252178.74999999997</v>
      </c>
      <c r="F14" s="25">
        <f t="shared" si="3"/>
        <v>708465.42999999993</v>
      </c>
      <c r="H14" t="s">
        <v>47</v>
      </c>
    </row>
    <row r="15" spans="2:8">
      <c r="H15" t="s">
        <v>48</v>
      </c>
    </row>
    <row r="16" spans="2:8" ht="17.25" thickBot="1"/>
    <row r="17" spans="2:8" ht="17.25" thickBot="1">
      <c r="B17" s="30" t="s">
        <v>404</v>
      </c>
      <c r="C17" s="25" t="s">
        <v>411</v>
      </c>
      <c r="D17" s="25" t="s">
        <v>412</v>
      </c>
      <c r="E17" s="26" t="s">
        <v>413</v>
      </c>
      <c r="F17" s="25" t="s">
        <v>52</v>
      </c>
      <c r="H17" t="s">
        <v>53</v>
      </c>
    </row>
    <row r="18" spans="2:8" ht="17.25" thickBot="1">
      <c r="B18" s="24" t="s">
        <v>35</v>
      </c>
      <c r="C18" s="25">
        <f>'FY25'!BB1</f>
        <v>240498.50000000003</v>
      </c>
      <c r="D18" s="25">
        <f>'FY25'!BD1</f>
        <v>186143.68000000002</v>
      </c>
      <c r="E18" s="26">
        <f>'FY25'!BF1</f>
        <v>118084.48</v>
      </c>
      <c r="F18" s="25">
        <f>SUM(C18:E18)</f>
        <v>544726.66</v>
      </c>
    </row>
    <row r="19" spans="2:8" ht="17.25" thickBot="1">
      <c r="B19" s="24" t="s">
        <v>36</v>
      </c>
      <c r="C19" s="25"/>
      <c r="D19" s="25">
        <v>34270.559999999998</v>
      </c>
      <c r="E19" s="26">
        <v>6442.8</v>
      </c>
      <c r="F19" s="25">
        <f t="shared" ref="F19:F20" si="4">SUM(C19:E19)</f>
        <v>40713.360000000001</v>
      </c>
    </row>
    <row r="20" spans="2:8" ht="17.25" thickBot="1">
      <c r="B20" s="27" t="s">
        <v>37</v>
      </c>
      <c r="C20" s="28"/>
      <c r="D20" s="28"/>
      <c r="E20" s="29"/>
      <c r="F20" s="25">
        <f t="shared" si="4"/>
        <v>0</v>
      </c>
    </row>
    <row r="21" spans="2:8" ht="17.25" thickBot="1">
      <c r="B21" s="24" t="s">
        <v>39</v>
      </c>
      <c r="C21" s="25">
        <f>SUM(C18:C20)</f>
        <v>240498.50000000003</v>
      </c>
      <c r="D21" s="25">
        <f t="shared" ref="D21:F21" si="5">SUM(D18:D20)</f>
        <v>220414.24000000002</v>
      </c>
      <c r="E21" s="25">
        <f t="shared" si="5"/>
        <v>124527.28</v>
      </c>
      <c r="F21" s="25">
        <f t="shared" si="5"/>
        <v>585440.02</v>
      </c>
    </row>
    <row r="23" spans="2:8" ht="17.25" thickBot="1"/>
    <row r="24" spans="2:8" ht="17.25" thickBot="1">
      <c r="B24" s="30" t="s">
        <v>404</v>
      </c>
      <c r="C24" s="25" t="s">
        <v>414</v>
      </c>
      <c r="D24" s="25" t="s">
        <v>415</v>
      </c>
      <c r="E24" s="26" t="s">
        <v>416</v>
      </c>
      <c r="F24" s="25" t="s">
        <v>57</v>
      </c>
    </row>
    <row r="25" spans="2:8" ht="17.25" thickBot="1">
      <c r="B25" s="24" t="s">
        <v>35</v>
      </c>
      <c r="C25" s="25">
        <f>'FY25'!BH1</f>
        <v>121194.55</v>
      </c>
      <c r="D25" s="25">
        <f>'FY25'!BJ1</f>
        <v>107337.45000000003</v>
      </c>
      <c r="E25" s="26">
        <f>'FY25'!BL1</f>
        <v>91609.349999999991</v>
      </c>
      <c r="F25" s="25">
        <f>SUM(C25:E25)</f>
        <v>320141.35000000003</v>
      </c>
    </row>
    <row r="26" spans="2:8" ht="17.25" thickBot="1">
      <c r="B26" s="24" t="s">
        <v>36</v>
      </c>
      <c r="C26" s="25">
        <v>2197.6020000000003</v>
      </c>
      <c r="D26" s="25">
        <v>4073.076</v>
      </c>
      <c r="E26" s="26">
        <v>0</v>
      </c>
      <c r="F26" s="25">
        <f t="shared" ref="F26:F27" si="6">SUM(C26:E26)</f>
        <v>6270.6779999999999</v>
      </c>
    </row>
    <row r="27" spans="2:8" ht="17.25" thickBot="1">
      <c r="B27" s="27" t="s">
        <v>37</v>
      </c>
      <c r="C27" s="28"/>
      <c r="D27" s="28"/>
      <c r="E27" s="29"/>
      <c r="F27" s="25">
        <f t="shared" si="6"/>
        <v>0</v>
      </c>
    </row>
    <row r="28" spans="2:8" ht="17.25" thickBot="1">
      <c r="B28" s="24" t="s">
        <v>39</v>
      </c>
      <c r="C28" s="25">
        <f>SUM(C25:C27)</f>
        <v>123392.152</v>
      </c>
      <c r="D28" s="25">
        <f t="shared" ref="D28:F28" si="7">SUM(D25:D27)</f>
        <v>111410.52600000003</v>
      </c>
      <c r="E28" s="25">
        <f t="shared" si="7"/>
        <v>91609.349999999991</v>
      </c>
      <c r="F28" s="25">
        <f t="shared" si="7"/>
        <v>326412.02800000005</v>
      </c>
    </row>
  </sheetData>
  <phoneticPr fontId="4" type="noConversion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"/>
  <dimension ref="B3:G152"/>
  <sheetViews>
    <sheetView topLeftCell="A126" zoomScale="110" zoomScaleNormal="110" workbookViewId="0">
      <selection activeCell="D134" sqref="D134"/>
    </sheetView>
  </sheetViews>
  <sheetFormatPr defaultRowHeight="16.5"/>
  <cols>
    <col min="1" max="1" width="2.375" customWidth="1"/>
    <col min="2" max="2" width="26.75" customWidth="1"/>
    <col min="3" max="3" width="22.375" customWidth="1"/>
    <col min="4" max="4" width="15.125" customWidth="1"/>
    <col min="5" max="7" width="18.375" customWidth="1"/>
    <col min="9" max="9" width="9" customWidth="1"/>
  </cols>
  <sheetData>
    <row r="3" spans="2:7">
      <c r="B3" s="14" t="s">
        <v>58</v>
      </c>
      <c r="C3" s="15"/>
      <c r="D3" s="15"/>
      <c r="E3" s="15"/>
      <c r="F3" s="15"/>
      <c r="G3" s="15"/>
    </row>
    <row r="4" spans="2:7" ht="30">
      <c r="B4" s="129"/>
      <c r="C4" s="129" t="s">
        <v>59</v>
      </c>
      <c r="D4" s="16">
        <v>45597</v>
      </c>
      <c r="E4" s="16">
        <v>45627</v>
      </c>
      <c r="F4" s="16">
        <v>45658</v>
      </c>
      <c r="G4" s="130" t="s">
        <v>417</v>
      </c>
    </row>
    <row r="5" spans="2:7">
      <c r="B5" s="274" t="s">
        <v>61</v>
      </c>
      <c r="C5" s="138" t="s">
        <v>62</v>
      </c>
      <c r="D5" s="148">
        <v>15162.369999999999</v>
      </c>
      <c r="E5" s="148">
        <v>19718.972499999996</v>
      </c>
      <c r="F5" s="148">
        <v>10755.87</v>
      </c>
      <c r="G5" s="138">
        <f>SUM(D5:F5)</f>
        <v>45637.212500000001</v>
      </c>
    </row>
    <row r="6" spans="2:7">
      <c r="B6" s="274"/>
      <c r="C6" s="138" t="s">
        <v>63</v>
      </c>
      <c r="D6" s="138">
        <v>88635.087999999989</v>
      </c>
      <c r="E6" s="138">
        <v>81591.896000000008</v>
      </c>
      <c r="F6" s="138">
        <v>73228.471999999994</v>
      </c>
      <c r="G6" s="138">
        <f t="shared" ref="G6:G25" si="0">SUM(D6:F6)</f>
        <v>243455.45600000001</v>
      </c>
    </row>
    <row r="7" spans="2:7">
      <c r="B7" s="274"/>
      <c r="C7" s="138" t="s">
        <v>64</v>
      </c>
      <c r="D7" s="138">
        <v>22158.771999999997</v>
      </c>
      <c r="E7" s="138">
        <v>20397.974000000002</v>
      </c>
      <c r="F7" s="138">
        <v>18307.117999999999</v>
      </c>
      <c r="G7" s="138">
        <f t="shared" si="0"/>
        <v>60863.864000000001</v>
      </c>
    </row>
    <row r="8" spans="2:7">
      <c r="B8" s="274"/>
      <c r="C8" s="138" t="s">
        <v>65</v>
      </c>
      <c r="D8" s="138"/>
      <c r="E8" s="138"/>
      <c r="F8" s="138"/>
      <c r="G8" s="138">
        <f t="shared" si="0"/>
        <v>0</v>
      </c>
    </row>
    <row r="9" spans="2:7">
      <c r="B9" s="274"/>
      <c r="C9" s="138" t="s">
        <v>66</v>
      </c>
      <c r="D9" s="138"/>
      <c r="E9" s="138"/>
      <c r="F9" s="138"/>
      <c r="G9" s="138">
        <f t="shared" si="0"/>
        <v>0</v>
      </c>
    </row>
    <row r="10" spans="2:7">
      <c r="B10" s="274"/>
      <c r="C10" s="138" t="s">
        <v>67</v>
      </c>
      <c r="D10" s="138"/>
      <c r="E10" s="138"/>
      <c r="F10" s="138"/>
      <c r="G10" s="138">
        <f t="shared" si="0"/>
        <v>0</v>
      </c>
    </row>
    <row r="11" spans="2:7">
      <c r="B11" s="274"/>
      <c r="C11" s="138" t="s">
        <v>68</v>
      </c>
      <c r="D11" s="138"/>
      <c r="E11" s="138"/>
      <c r="F11" s="138"/>
      <c r="G11" s="138">
        <f t="shared" si="0"/>
        <v>0</v>
      </c>
    </row>
    <row r="12" spans="2:7">
      <c r="B12" s="274"/>
      <c r="C12" s="138" t="s">
        <v>69</v>
      </c>
      <c r="D12" s="138">
        <v>11037.57</v>
      </c>
      <c r="E12" s="138">
        <v>96561.84</v>
      </c>
      <c r="F12" s="138">
        <v>97041</v>
      </c>
      <c r="G12" s="138">
        <f t="shared" si="0"/>
        <v>204640.41</v>
      </c>
    </row>
    <row r="13" spans="2:7">
      <c r="B13" s="274"/>
      <c r="C13" s="138" t="s">
        <v>70</v>
      </c>
      <c r="D13" s="138"/>
      <c r="E13" s="138"/>
      <c r="F13" s="138"/>
      <c r="G13" s="138">
        <f t="shared" si="0"/>
        <v>0</v>
      </c>
    </row>
    <row r="14" spans="2:7">
      <c r="B14" s="274"/>
      <c r="C14" s="138" t="s">
        <v>71</v>
      </c>
      <c r="D14" s="137"/>
      <c r="E14" s="138"/>
      <c r="F14" s="138"/>
      <c r="G14" s="138">
        <f t="shared" si="0"/>
        <v>0</v>
      </c>
    </row>
    <row r="15" spans="2:7">
      <c r="B15" s="274"/>
      <c r="C15" s="138" t="s">
        <v>72</v>
      </c>
      <c r="D15" s="138">
        <v>1380</v>
      </c>
      <c r="E15" s="138">
        <v>1020</v>
      </c>
      <c r="F15" s="138">
        <v>1020</v>
      </c>
      <c r="G15" s="138">
        <f t="shared" si="0"/>
        <v>3420</v>
      </c>
    </row>
    <row r="16" spans="2:7">
      <c r="B16" s="274"/>
      <c r="C16" s="138" t="s">
        <v>73</v>
      </c>
      <c r="D16" s="138"/>
      <c r="E16" s="138"/>
      <c r="F16" s="138"/>
      <c r="G16" s="138">
        <f t="shared" si="0"/>
        <v>0</v>
      </c>
    </row>
    <row r="17" spans="2:7">
      <c r="B17" s="275" t="s">
        <v>74</v>
      </c>
      <c r="C17" s="138" t="s">
        <v>75</v>
      </c>
      <c r="D17" s="148">
        <v>45487.11</v>
      </c>
      <c r="E17" s="148">
        <v>59156.917499999989</v>
      </c>
      <c r="F17" s="148">
        <v>32267.61</v>
      </c>
      <c r="G17" s="138">
        <f t="shared" si="0"/>
        <v>136911.63750000001</v>
      </c>
    </row>
    <row r="18" spans="2:7">
      <c r="B18" s="275"/>
      <c r="C18" s="138" t="s">
        <v>69</v>
      </c>
      <c r="D18" s="138"/>
      <c r="E18" s="138"/>
      <c r="F18" s="138"/>
      <c r="G18" s="138">
        <f t="shared" si="0"/>
        <v>0</v>
      </c>
    </row>
    <row r="19" spans="2:7">
      <c r="B19" s="275"/>
      <c r="C19" s="138" t="s">
        <v>76</v>
      </c>
      <c r="D19" s="138">
        <v>16911.810000000001</v>
      </c>
      <c r="E19" s="138">
        <v>5904.54</v>
      </c>
      <c r="F19" s="138">
        <v>7773.96</v>
      </c>
      <c r="G19" s="138">
        <f t="shared" si="0"/>
        <v>30590.31</v>
      </c>
    </row>
    <row r="20" spans="2:7">
      <c r="B20" s="275"/>
      <c r="C20" s="138" t="s">
        <v>77</v>
      </c>
      <c r="D20" s="138"/>
      <c r="E20" s="138"/>
      <c r="F20" s="138"/>
      <c r="G20" s="138">
        <f t="shared" si="0"/>
        <v>0</v>
      </c>
    </row>
    <row r="21" spans="2:7">
      <c r="B21" s="275"/>
      <c r="C21" s="138" t="s">
        <v>78</v>
      </c>
      <c r="D21" s="138">
        <v>0</v>
      </c>
      <c r="E21" s="138">
        <v>0</v>
      </c>
      <c r="F21" s="138">
        <v>0</v>
      </c>
      <c r="G21" s="138">
        <f t="shared" si="0"/>
        <v>0</v>
      </c>
    </row>
    <row r="22" spans="2:7">
      <c r="B22" s="275"/>
      <c r="C22" s="138" t="s">
        <v>79</v>
      </c>
      <c r="D22" s="138"/>
      <c r="E22" s="138"/>
      <c r="F22" s="138"/>
      <c r="G22" s="138">
        <f t="shared" si="0"/>
        <v>0</v>
      </c>
    </row>
    <row r="23" spans="2:7">
      <c r="B23" s="275"/>
      <c r="C23" s="138" t="s">
        <v>80</v>
      </c>
      <c r="D23" s="138">
        <v>7488</v>
      </c>
      <c r="E23" s="138">
        <v>14748</v>
      </c>
      <c r="F23" s="138">
        <v>312</v>
      </c>
      <c r="G23" s="138">
        <f t="shared" si="0"/>
        <v>22548</v>
      </c>
    </row>
    <row r="24" spans="2:7">
      <c r="B24" s="275"/>
      <c r="C24" s="138" t="s">
        <v>72</v>
      </c>
      <c r="D24" s="138"/>
      <c r="E24" s="137"/>
      <c r="F24" s="138"/>
      <c r="G24" s="138">
        <f t="shared" si="0"/>
        <v>0</v>
      </c>
    </row>
    <row r="25" spans="2:7" ht="17.25" thickBot="1">
      <c r="B25" s="275"/>
      <c r="C25" s="138" t="s">
        <v>73</v>
      </c>
      <c r="D25" s="138"/>
      <c r="E25" s="137"/>
      <c r="F25" s="137"/>
      <c r="G25" s="131">
        <f t="shared" si="0"/>
        <v>0</v>
      </c>
    </row>
    <row r="26" spans="2:7" ht="17.25" thickBot="1">
      <c r="B26" s="15"/>
      <c r="C26" s="15"/>
      <c r="D26" s="15"/>
      <c r="E26" s="15"/>
      <c r="F26" s="15"/>
      <c r="G26" s="132">
        <f>SUM(G5:G25)</f>
        <v>748066.89000000013</v>
      </c>
    </row>
    <row r="27" spans="2:7">
      <c r="B27" s="15"/>
      <c r="C27" s="15"/>
      <c r="D27" s="15"/>
      <c r="E27" s="15"/>
      <c r="F27" s="15"/>
      <c r="G27" s="15"/>
    </row>
    <row r="28" spans="2:7">
      <c r="B28" s="14" t="s">
        <v>58</v>
      </c>
      <c r="C28" s="15"/>
      <c r="D28" s="15"/>
      <c r="E28" s="15"/>
      <c r="F28" s="15"/>
      <c r="G28" s="15"/>
    </row>
    <row r="29" spans="2:7" ht="30">
      <c r="B29" s="129"/>
      <c r="C29" s="129" t="s">
        <v>81</v>
      </c>
      <c r="D29" s="16">
        <v>45597</v>
      </c>
      <c r="E29" s="16">
        <v>45627</v>
      </c>
      <c r="F29" s="16">
        <v>45658</v>
      </c>
      <c r="G29" s="130" t="s">
        <v>417</v>
      </c>
    </row>
    <row r="30" spans="2:7" ht="17.100000000000001" hidden="1" customHeight="1" thickBot="1">
      <c r="B30" s="138" t="s">
        <v>82</v>
      </c>
      <c r="C30" s="138" t="s">
        <v>83</v>
      </c>
      <c r="D30" s="138"/>
      <c r="E30" s="138"/>
      <c r="F30" s="138"/>
      <c r="G30" s="138"/>
    </row>
    <row r="31" spans="2:7" ht="17.100000000000001" hidden="1" customHeight="1" thickBot="1">
      <c r="B31" s="138"/>
      <c r="C31" s="138" t="s">
        <v>84</v>
      </c>
      <c r="D31" s="138"/>
      <c r="E31" s="138"/>
      <c r="F31" s="138"/>
      <c r="G31" s="138"/>
    </row>
    <row r="32" spans="2:7" ht="17.100000000000001" hidden="1" customHeight="1" thickBot="1">
      <c r="B32" s="138"/>
      <c r="C32" s="138" t="s">
        <v>85</v>
      </c>
      <c r="D32" s="138"/>
      <c r="E32" s="138"/>
      <c r="F32" s="138"/>
      <c r="G32" s="138"/>
    </row>
    <row r="33" spans="2:7" ht="17.100000000000001" hidden="1" customHeight="1" thickBot="1">
      <c r="B33" s="138"/>
      <c r="C33" s="138" t="s">
        <v>86</v>
      </c>
      <c r="D33" s="138"/>
      <c r="E33" s="138"/>
      <c r="F33" s="138"/>
      <c r="G33" s="138"/>
    </row>
    <row r="34" spans="2:7">
      <c r="B34" s="138"/>
      <c r="C34" s="138" t="s">
        <v>87</v>
      </c>
      <c r="D34" s="138">
        <f>SUM(D5:D25)</f>
        <v>208260.71999999997</v>
      </c>
      <c r="E34" s="138">
        <f>SUM(E5:E25)</f>
        <v>299100.13999999996</v>
      </c>
      <c r="F34" s="138">
        <f>SUM(F5:F25)</f>
        <v>240706.03</v>
      </c>
      <c r="G34" s="138">
        <f>SUM(D34:F34)</f>
        <v>748066.8899999999</v>
      </c>
    </row>
    <row r="35" spans="2:7">
      <c r="B35" s="138" t="s">
        <v>88</v>
      </c>
      <c r="C35" s="137"/>
      <c r="D35" s="137"/>
      <c r="E35" s="137"/>
      <c r="F35" s="138"/>
      <c r="G35" s="138">
        <f>SUM(C35:F35)</f>
        <v>0</v>
      </c>
    </row>
    <row r="36" spans="2:7" ht="17.25" thickBot="1">
      <c r="B36" s="138" t="s">
        <v>333</v>
      </c>
      <c r="C36" s="209"/>
      <c r="D36" s="207"/>
      <c r="E36" s="207"/>
      <c r="F36" s="208"/>
      <c r="G36" s="210">
        <v>0</v>
      </c>
    </row>
    <row r="37" spans="2:7" ht="17.25" thickBot="1">
      <c r="B37" s="139"/>
      <c r="C37" s="272" t="s">
        <v>89</v>
      </c>
      <c r="D37" s="273"/>
      <c r="E37" s="273"/>
      <c r="F37" s="273"/>
      <c r="G37" s="135">
        <f>G34-G35+G36</f>
        <v>748066.8899999999</v>
      </c>
    </row>
    <row r="39" spans="2:7">
      <c r="B39" s="14" t="s">
        <v>90</v>
      </c>
      <c r="C39" s="15"/>
      <c r="D39" s="15"/>
      <c r="E39" s="15"/>
      <c r="F39" s="15"/>
      <c r="G39" s="15"/>
    </row>
    <row r="40" spans="2:7" ht="30">
      <c r="B40" s="129"/>
      <c r="C40" s="129" t="s">
        <v>59</v>
      </c>
      <c r="D40" s="16">
        <v>45689</v>
      </c>
      <c r="E40" s="16">
        <v>45717</v>
      </c>
      <c r="F40" s="16">
        <v>45748</v>
      </c>
      <c r="G40" s="130" t="s">
        <v>418</v>
      </c>
    </row>
    <row r="41" spans="2:7">
      <c r="B41" s="274" t="s">
        <v>61</v>
      </c>
      <c r="C41" s="138" t="s">
        <v>62</v>
      </c>
      <c r="D41" s="138">
        <v>9613.7999999999993</v>
      </c>
      <c r="E41" s="138">
        <v>13398.390000000001</v>
      </c>
      <c r="F41" s="138">
        <v>10855.505000000001</v>
      </c>
      <c r="G41" s="138">
        <f>SUM(D41:F41)</f>
        <v>33867.695000000007</v>
      </c>
    </row>
    <row r="42" spans="2:7">
      <c r="B42" s="274"/>
      <c r="C42" s="138" t="s">
        <v>63</v>
      </c>
      <c r="D42" s="138">
        <v>65646.248000000007</v>
      </c>
      <c r="E42" s="138">
        <v>51545.51200000001</v>
      </c>
      <c r="F42" s="138">
        <v>105050.496</v>
      </c>
      <c r="G42" s="138">
        <f t="shared" ref="G42:G61" si="1">SUM(D42:F42)</f>
        <v>222242.25599999999</v>
      </c>
    </row>
    <row r="43" spans="2:7">
      <c r="B43" s="274"/>
      <c r="C43" s="138" t="s">
        <v>64</v>
      </c>
      <c r="D43" s="138">
        <v>16411.562000000002</v>
      </c>
      <c r="E43" s="138">
        <v>12886.378000000002</v>
      </c>
      <c r="F43" s="138">
        <v>26262.624</v>
      </c>
      <c r="G43" s="138">
        <f t="shared" si="1"/>
        <v>55560.563999999998</v>
      </c>
    </row>
    <row r="44" spans="2:7">
      <c r="B44" s="274"/>
      <c r="C44" s="138" t="s">
        <v>65</v>
      </c>
      <c r="D44" s="138"/>
      <c r="E44" s="138"/>
      <c r="F44" s="138"/>
      <c r="G44" s="138">
        <f t="shared" si="1"/>
        <v>0</v>
      </c>
    </row>
    <row r="45" spans="2:7">
      <c r="B45" s="274"/>
      <c r="C45" s="138" t="s">
        <v>66</v>
      </c>
      <c r="D45" s="138"/>
      <c r="E45" s="138"/>
      <c r="F45" s="138"/>
      <c r="G45" s="138">
        <f t="shared" si="1"/>
        <v>0</v>
      </c>
    </row>
    <row r="46" spans="2:7">
      <c r="B46" s="274"/>
      <c r="C46" s="138" t="s">
        <v>67</v>
      </c>
      <c r="D46" s="138"/>
      <c r="E46" s="138"/>
      <c r="F46" s="138"/>
      <c r="G46" s="138">
        <f t="shared" si="1"/>
        <v>0</v>
      </c>
    </row>
    <row r="47" spans="2:7">
      <c r="B47" s="274"/>
      <c r="C47" s="138" t="s">
        <v>68</v>
      </c>
      <c r="D47" s="138"/>
      <c r="E47" s="138"/>
      <c r="F47" s="138"/>
      <c r="G47" s="138">
        <f t="shared" si="1"/>
        <v>0</v>
      </c>
    </row>
    <row r="48" spans="2:7">
      <c r="B48" s="274"/>
      <c r="C48" s="138" t="s">
        <v>69</v>
      </c>
      <c r="D48" s="138">
        <v>66225.78</v>
      </c>
      <c r="E48" s="138">
        <v>106289.21</v>
      </c>
      <c r="F48" s="138">
        <v>64326.009999999995</v>
      </c>
      <c r="G48" s="138">
        <f t="shared" si="1"/>
        <v>236841</v>
      </c>
    </row>
    <row r="49" spans="2:7">
      <c r="B49" s="274"/>
      <c r="C49" s="138" t="s">
        <v>70</v>
      </c>
      <c r="D49" s="138"/>
      <c r="E49" s="138"/>
      <c r="F49" s="138"/>
      <c r="G49" s="138">
        <f t="shared" si="1"/>
        <v>0</v>
      </c>
    </row>
    <row r="50" spans="2:7">
      <c r="B50" s="274"/>
      <c r="C50" s="138" t="s">
        <v>71</v>
      </c>
      <c r="D50" s="138"/>
      <c r="E50" s="138"/>
      <c r="F50" s="138"/>
      <c r="G50" s="138">
        <f t="shared" si="1"/>
        <v>0</v>
      </c>
    </row>
    <row r="51" spans="2:7">
      <c r="B51" s="274"/>
      <c r="C51" s="138" t="s">
        <v>72</v>
      </c>
      <c r="D51" s="138">
        <v>560</v>
      </c>
      <c r="E51" s="138">
        <v>2592</v>
      </c>
      <c r="F51" s="138">
        <v>2332</v>
      </c>
      <c r="G51" s="138">
        <f t="shared" si="1"/>
        <v>5484</v>
      </c>
    </row>
    <row r="52" spans="2:7">
      <c r="B52" s="274"/>
      <c r="C52" s="138" t="s">
        <v>73</v>
      </c>
      <c r="D52" s="138"/>
      <c r="E52" s="138"/>
      <c r="F52" s="138"/>
      <c r="G52" s="138">
        <f t="shared" si="1"/>
        <v>0</v>
      </c>
    </row>
    <row r="53" spans="2:7">
      <c r="B53" s="275" t="s">
        <v>74</v>
      </c>
      <c r="C53" s="138" t="s">
        <v>75</v>
      </c>
      <c r="D53" s="138">
        <v>28841.399999999998</v>
      </c>
      <c r="E53" s="138">
        <v>40195.170000000006</v>
      </c>
      <c r="F53" s="138">
        <v>32566.515000000003</v>
      </c>
      <c r="G53" s="138">
        <f t="shared" si="1"/>
        <v>101603.08500000001</v>
      </c>
    </row>
    <row r="54" spans="2:7">
      <c r="B54" s="275"/>
      <c r="C54" s="138" t="s">
        <v>69</v>
      </c>
      <c r="D54" s="138"/>
      <c r="E54" s="138"/>
      <c r="F54" s="138"/>
      <c r="G54" s="138">
        <f t="shared" si="1"/>
        <v>0</v>
      </c>
    </row>
    <row r="55" spans="2:7">
      <c r="B55" s="275"/>
      <c r="C55" s="138" t="s">
        <v>92</v>
      </c>
      <c r="D55" s="138">
        <v>4303.5</v>
      </c>
      <c r="E55" s="138">
        <v>5628</v>
      </c>
      <c r="F55" s="138">
        <v>6183.6</v>
      </c>
      <c r="G55" s="138">
        <f t="shared" si="1"/>
        <v>16115.1</v>
      </c>
    </row>
    <row r="56" spans="2:7">
      <c r="B56" s="275"/>
      <c r="C56" s="138" t="s">
        <v>77</v>
      </c>
      <c r="D56" s="138"/>
      <c r="E56" s="138"/>
      <c r="F56" s="138"/>
      <c r="G56" s="138">
        <f t="shared" si="1"/>
        <v>0</v>
      </c>
    </row>
    <row r="57" spans="2:7">
      <c r="B57" s="275"/>
      <c r="C57" s="138" t="s">
        <v>78</v>
      </c>
      <c r="D57" s="138">
        <v>0</v>
      </c>
      <c r="E57" s="138">
        <v>0</v>
      </c>
      <c r="F57" s="138"/>
      <c r="G57" s="138">
        <f t="shared" si="1"/>
        <v>0</v>
      </c>
    </row>
    <row r="58" spans="2:7">
      <c r="B58" s="275"/>
      <c r="C58" s="138" t="s">
        <v>79</v>
      </c>
      <c r="D58" s="138"/>
      <c r="E58" s="138"/>
      <c r="F58" s="138"/>
      <c r="G58" s="138">
        <f t="shared" si="1"/>
        <v>0</v>
      </c>
    </row>
    <row r="59" spans="2:7">
      <c r="B59" s="275"/>
      <c r="C59" s="138" t="s">
        <v>80</v>
      </c>
      <c r="D59" s="138">
        <v>2808</v>
      </c>
      <c r="E59" s="138">
        <v>5535</v>
      </c>
      <c r="F59" s="138">
        <v>4602</v>
      </c>
      <c r="G59" s="138">
        <f t="shared" si="1"/>
        <v>12945</v>
      </c>
    </row>
    <row r="60" spans="2:7">
      <c r="B60" s="275"/>
      <c r="C60" s="138" t="s">
        <v>72</v>
      </c>
      <c r="D60" s="138"/>
      <c r="E60" s="137"/>
      <c r="F60" s="138"/>
      <c r="G60" s="138">
        <f t="shared" si="1"/>
        <v>0</v>
      </c>
    </row>
    <row r="61" spans="2:7" ht="17.25" thickBot="1">
      <c r="B61" s="275"/>
      <c r="C61" s="138" t="s">
        <v>73</v>
      </c>
      <c r="D61" s="138"/>
      <c r="E61" s="137"/>
      <c r="F61" s="137"/>
      <c r="G61" s="131">
        <f t="shared" si="1"/>
        <v>0</v>
      </c>
    </row>
    <row r="62" spans="2:7" ht="17.25" thickBot="1">
      <c r="B62" s="15"/>
      <c r="C62" s="15"/>
      <c r="D62" s="15"/>
      <c r="E62" s="15"/>
      <c r="F62" s="15"/>
      <c r="G62" s="132">
        <f>SUM(G41:G61)</f>
        <v>684658.7</v>
      </c>
    </row>
    <row r="63" spans="2:7">
      <c r="B63" s="15"/>
      <c r="C63" s="15"/>
      <c r="D63" s="15"/>
      <c r="E63" s="15"/>
      <c r="F63" s="15"/>
      <c r="G63" s="15"/>
    </row>
    <row r="64" spans="2:7">
      <c r="B64" s="14" t="s">
        <v>90</v>
      </c>
      <c r="C64" s="15"/>
      <c r="D64" s="15"/>
      <c r="E64" s="15"/>
      <c r="F64" s="15"/>
      <c r="G64" s="15"/>
    </row>
    <row r="65" spans="2:7" ht="30">
      <c r="B65" s="129"/>
      <c r="C65" s="129" t="s">
        <v>81</v>
      </c>
      <c r="D65" s="16">
        <v>45689</v>
      </c>
      <c r="E65" s="16">
        <v>45717</v>
      </c>
      <c r="F65" s="16">
        <v>45748</v>
      </c>
      <c r="G65" s="130" t="s">
        <v>418</v>
      </c>
    </row>
    <row r="66" spans="2:7" ht="17.100000000000001" hidden="1" customHeight="1" thickBot="1">
      <c r="B66" s="138" t="s">
        <v>82</v>
      </c>
      <c r="C66" s="138" t="s">
        <v>83</v>
      </c>
      <c r="D66" s="138"/>
      <c r="E66" s="138"/>
      <c r="F66" s="138"/>
      <c r="G66" s="138"/>
    </row>
    <row r="67" spans="2:7" ht="17.100000000000001" hidden="1" customHeight="1" thickBot="1">
      <c r="B67" s="138"/>
      <c r="C67" s="138" t="s">
        <v>84</v>
      </c>
      <c r="D67" s="138"/>
      <c r="E67" s="138"/>
      <c r="F67" s="138"/>
      <c r="G67" s="138"/>
    </row>
    <row r="68" spans="2:7" ht="17.100000000000001" hidden="1" customHeight="1" thickBot="1">
      <c r="B68" s="138"/>
      <c r="C68" s="138" t="s">
        <v>85</v>
      </c>
      <c r="D68" s="138"/>
      <c r="E68" s="138"/>
      <c r="F68" s="138"/>
      <c r="G68" s="138"/>
    </row>
    <row r="69" spans="2:7" ht="17.100000000000001" hidden="1" customHeight="1" thickBot="1">
      <c r="B69" s="138"/>
      <c r="C69" s="138" t="s">
        <v>86</v>
      </c>
      <c r="D69" s="138"/>
      <c r="E69" s="138"/>
      <c r="F69" s="138"/>
      <c r="G69" s="138"/>
    </row>
    <row r="70" spans="2:7">
      <c r="B70" s="138"/>
      <c r="C70" s="138" t="s">
        <v>87</v>
      </c>
      <c r="D70" s="138">
        <f>SUM(D41:D61)</f>
        <v>194410.29</v>
      </c>
      <c r="E70" s="138">
        <f t="shared" ref="E70:F70" si="2">SUM(E41:E61)</f>
        <v>238069.66000000003</v>
      </c>
      <c r="F70" s="138">
        <f t="shared" si="2"/>
        <v>252178.75000000003</v>
      </c>
      <c r="G70" s="140">
        <f>SUM(D70:F70)</f>
        <v>684658.70000000007</v>
      </c>
    </row>
    <row r="71" spans="2:7">
      <c r="B71" s="138" t="s">
        <v>419</v>
      </c>
      <c r="C71" s="138" t="s">
        <v>87</v>
      </c>
      <c r="D71" s="138">
        <v>7856.8980000000001</v>
      </c>
      <c r="E71" s="138"/>
      <c r="F71" s="138"/>
      <c r="G71" s="140">
        <f t="shared" ref="G71:G76" si="3">SUM(D71:F71)</f>
        <v>7856.8980000000001</v>
      </c>
    </row>
    <row r="72" spans="2:7">
      <c r="B72" s="138" t="s">
        <v>420</v>
      </c>
      <c r="C72" s="138" t="s">
        <v>87</v>
      </c>
      <c r="D72" s="138">
        <v>1062.5384999999999</v>
      </c>
      <c r="E72" s="138"/>
      <c r="F72" s="138"/>
      <c r="G72" s="140">
        <f t="shared" si="3"/>
        <v>1062.5384999999999</v>
      </c>
    </row>
    <row r="73" spans="2:7">
      <c r="B73" s="138" t="s">
        <v>421</v>
      </c>
      <c r="C73" s="138" t="s">
        <v>87</v>
      </c>
      <c r="D73" s="138">
        <v>8563.5509999999995</v>
      </c>
      <c r="E73" s="138"/>
      <c r="F73" s="138"/>
      <c r="G73" s="140">
        <f t="shared" si="3"/>
        <v>8563.5509999999995</v>
      </c>
    </row>
    <row r="74" spans="2:7">
      <c r="B74" s="138" t="s">
        <v>422</v>
      </c>
      <c r="C74" s="138" t="s">
        <v>87</v>
      </c>
      <c r="D74" s="138">
        <v>3784.5434999999998</v>
      </c>
      <c r="E74" s="138"/>
      <c r="F74" s="138"/>
      <c r="G74" s="140">
        <f t="shared" si="3"/>
        <v>3784.5434999999998</v>
      </c>
    </row>
    <row r="75" spans="2:7">
      <c r="B75" s="138" t="s">
        <v>423</v>
      </c>
      <c r="C75" s="138" t="s">
        <v>87</v>
      </c>
      <c r="D75" s="138">
        <v>2539.2000000000003</v>
      </c>
      <c r="E75" s="138"/>
      <c r="F75" s="138"/>
      <c r="G75" s="140">
        <f t="shared" si="3"/>
        <v>2539.2000000000003</v>
      </c>
    </row>
    <row r="76" spans="2:7">
      <c r="B76" s="138"/>
      <c r="C76" s="138"/>
      <c r="D76" s="138"/>
      <c r="E76" s="138"/>
      <c r="F76" s="138"/>
      <c r="G76" s="140">
        <f t="shared" si="3"/>
        <v>0</v>
      </c>
    </row>
    <row r="77" spans="2:7" ht="17.25" thickBot="1">
      <c r="B77" s="239"/>
      <c r="C77" s="238"/>
      <c r="D77" s="208"/>
      <c r="E77" s="208"/>
      <c r="F77" s="208"/>
      <c r="G77" s="240"/>
    </row>
    <row r="78" spans="2:7" ht="17.25" thickBot="1">
      <c r="B78" s="139"/>
      <c r="C78" s="272" t="s">
        <v>93</v>
      </c>
      <c r="D78" s="273"/>
      <c r="E78" s="273"/>
      <c r="F78" s="273"/>
      <c r="G78" s="134">
        <f>G70+G71+G72+G73+G74+G75</f>
        <v>708465.4310000001</v>
      </c>
    </row>
    <row r="81" spans="2:7">
      <c r="B81" s="14" t="s">
        <v>94</v>
      </c>
      <c r="C81" s="15"/>
      <c r="D81" s="15"/>
      <c r="E81" s="15"/>
      <c r="F81" s="15"/>
      <c r="G81" s="15"/>
    </row>
    <row r="82" spans="2:7" ht="30">
      <c r="B82" s="129"/>
      <c r="C82" s="129" t="s">
        <v>59</v>
      </c>
      <c r="D82" s="16">
        <v>45778</v>
      </c>
      <c r="E82" s="16">
        <v>45809</v>
      </c>
      <c r="F82" s="16">
        <v>45839</v>
      </c>
      <c r="G82" s="130" t="s">
        <v>424</v>
      </c>
    </row>
    <row r="83" spans="2:7">
      <c r="B83" s="274" t="s">
        <v>61</v>
      </c>
      <c r="C83" s="138" t="s">
        <v>62</v>
      </c>
      <c r="D83" s="138">
        <v>11065.8125</v>
      </c>
      <c r="E83" s="138">
        <v>11657.9</v>
      </c>
      <c r="F83" s="138">
        <v>7522.6849999999995</v>
      </c>
      <c r="G83" s="138">
        <f>SUM(D83:F83)</f>
        <v>30246.397499999999</v>
      </c>
    </row>
    <row r="84" spans="2:7">
      <c r="B84" s="274"/>
      <c r="C84" s="138" t="s">
        <v>63</v>
      </c>
      <c r="D84" s="138">
        <v>49205.703999999991</v>
      </c>
      <c r="E84" s="138">
        <v>23171.576000000001</v>
      </c>
      <c r="F84" s="138">
        <v>32486.912</v>
      </c>
      <c r="G84" s="138">
        <f t="shared" ref="G84:G103" si="4">SUM(D84:F84)</f>
        <v>104864.192</v>
      </c>
    </row>
    <row r="85" spans="2:7">
      <c r="B85" s="274"/>
      <c r="C85" s="138" t="s">
        <v>64</v>
      </c>
      <c r="D85" s="138">
        <v>12301.425999999998</v>
      </c>
      <c r="E85" s="138">
        <v>5792.8940000000002</v>
      </c>
      <c r="F85" s="138">
        <v>8121.7280000000001</v>
      </c>
      <c r="G85" s="138">
        <f t="shared" si="4"/>
        <v>26216.047999999999</v>
      </c>
    </row>
    <row r="86" spans="2:7">
      <c r="B86" s="274"/>
      <c r="C86" s="138" t="s">
        <v>65</v>
      </c>
      <c r="D86" s="138"/>
      <c r="E86" s="138"/>
      <c r="F86" s="138"/>
      <c r="G86" s="138">
        <f t="shared" si="4"/>
        <v>0</v>
      </c>
    </row>
    <row r="87" spans="2:7">
      <c r="B87" s="274"/>
      <c r="C87" s="138" t="s">
        <v>66</v>
      </c>
      <c r="D87" s="138"/>
      <c r="E87" s="138"/>
      <c r="F87" s="138"/>
      <c r="G87" s="138">
        <f t="shared" si="4"/>
        <v>0</v>
      </c>
    </row>
    <row r="88" spans="2:7">
      <c r="B88" s="274"/>
      <c r="C88" s="138" t="s">
        <v>67</v>
      </c>
      <c r="D88" s="138"/>
      <c r="E88" s="138"/>
      <c r="F88" s="138"/>
      <c r="G88" s="138">
        <f t="shared" si="4"/>
        <v>0</v>
      </c>
    </row>
    <row r="89" spans="2:7">
      <c r="B89" s="274"/>
      <c r="C89" s="138" t="s">
        <v>68</v>
      </c>
      <c r="D89" s="138"/>
      <c r="E89" s="138"/>
      <c r="F89" s="138"/>
      <c r="G89" s="138">
        <f t="shared" si="4"/>
        <v>0</v>
      </c>
    </row>
    <row r="90" spans="2:7">
      <c r="B90" s="274"/>
      <c r="C90" s="138" t="s">
        <v>69</v>
      </c>
      <c r="D90" s="138">
        <v>129991.74000000002</v>
      </c>
      <c r="E90" s="138">
        <v>106002.61000000002</v>
      </c>
      <c r="F90" s="138">
        <v>40062.199999999997</v>
      </c>
      <c r="G90" s="138">
        <f t="shared" si="4"/>
        <v>276056.55000000005</v>
      </c>
    </row>
    <row r="91" spans="2:7">
      <c r="B91" s="274"/>
      <c r="C91" s="138" t="s">
        <v>70</v>
      </c>
      <c r="D91" s="138"/>
      <c r="E91" s="138"/>
      <c r="F91" s="138"/>
      <c r="G91" s="138">
        <f t="shared" si="4"/>
        <v>0</v>
      </c>
    </row>
    <row r="92" spans="2:7">
      <c r="B92" s="274"/>
      <c r="C92" s="138" t="s">
        <v>71</v>
      </c>
      <c r="D92" s="138"/>
      <c r="E92" s="138"/>
      <c r="F92" s="138"/>
      <c r="G92" s="138">
        <f t="shared" si="4"/>
        <v>0</v>
      </c>
    </row>
    <row r="93" spans="2:7">
      <c r="B93" s="274"/>
      <c r="C93" s="138" t="s">
        <v>72</v>
      </c>
      <c r="D93" s="138">
        <v>2155</v>
      </c>
      <c r="E93" s="138">
        <v>3420</v>
      </c>
      <c r="F93" s="138">
        <v>3584</v>
      </c>
      <c r="G93" s="138">
        <f t="shared" si="4"/>
        <v>9159</v>
      </c>
    </row>
    <row r="94" spans="2:7">
      <c r="B94" s="274"/>
      <c r="C94" s="138" t="s">
        <v>73</v>
      </c>
      <c r="D94" s="138"/>
      <c r="E94" s="138"/>
      <c r="F94" s="138"/>
      <c r="G94" s="138">
        <f t="shared" si="4"/>
        <v>0</v>
      </c>
    </row>
    <row r="95" spans="2:7">
      <c r="B95" s="275" t="s">
        <v>74</v>
      </c>
      <c r="C95" s="138" t="s">
        <v>75</v>
      </c>
      <c r="D95" s="138">
        <v>33197.4375</v>
      </c>
      <c r="E95" s="138">
        <v>34973.699999999997</v>
      </c>
      <c r="F95" s="138">
        <v>22568.055</v>
      </c>
      <c r="G95" s="138">
        <f t="shared" si="4"/>
        <v>90739.192500000005</v>
      </c>
    </row>
    <row r="96" spans="2:7">
      <c r="B96" s="275"/>
      <c r="C96" s="138" t="s">
        <v>69</v>
      </c>
      <c r="D96" s="138"/>
      <c r="E96" s="138"/>
      <c r="F96" s="138"/>
      <c r="G96" s="138">
        <f t="shared" si="4"/>
        <v>0</v>
      </c>
    </row>
    <row r="97" spans="2:7">
      <c r="B97" s="275"/>
      <c r="C97" s="138" t="s">
        <v>92</v>
      </c>
      <c r="D97" s="138">
        <v>553.38</v>
      </c>
      <c r="E97" s="138">
        <v>0</v>
      </c>
      <c r="F97" s="138">
        <v>306.89999999999998</v>
      </c>
      <c r="G97" s="138">
        <f t="shared" si="4"/>
        <v>860.28</v>
      </c>
    </row>
    <row r="98" spans="2:7">
      <c r="B98" s="275"/>
      <c r="C98" s="138" t="s">
        <v>77</v>
      </c>
      <c r="D98" s="138"/>
      <c r="E98" s="138"/>
      <c r="F98" s="138"/>
      <c r="G98" s="138">
        <f t="shared" si="4"/>
        <v>0</v>
      </c>
    </row>
    <row r="99" spans="2:7">
      <c r="B99" s="275"/>
      <c r="C99" s="138" t="s">
        <v>78</v>
      </c>
      <c r="D99" s="138"/>
      <c r="E99" s="138"/>
      <c r="F99" s="138"/>
      <c r="G99" s="138">
        <f t="shared" si="4"/>
        <v>0</v>
      </c>
    </row>
    <row r="100" spans="2:7">
      <c r="B100" s="275"/>
      <c r="C100" s="138" t="s">
        <v>79</v>
      </c>
      <c r="D100" s="138"/>
      <c r="E100" s="137"/>
      <c r="F100" s="138"/>
      <c r="G100" s="138">
        <f t="shared" si="4"/>
        <v>0</v>
      </c>
    </row>
    <row r="101" spans="2:7">
      <c r="B101" s="275"/>
      <c r="C101" s="138" t="s">
        <v>80</v>
      </c>
      <c r="D101" s="138">
        <v>2028</v>
      </c>
      <c r="E101" s="138">
        <v>1125</v>
      </c>
      <c r="F101" s="138">
        <v>3432</v>
      </c>
      <c r="G101" s="138">
        <f t="shared" si="4"/>
        <v>6585</v>
      </c>
    </row>
    <row r="102" spans="2:7">
      <c r="B102" s="275"/>
      <c r="C102" s="138" t="s">
        <v>72</v>
      </c>
      <c r="D102" s="138"/>
      <c r="E102" s="137"/>
      <c r="F102" s="138"/>
      <c r="G102" s="138">
        <f t="shared" si="4"/>
        <v>0</v>
      </c>
    </row>
    <row r="103" spans="2:7" ht="17.25" thickBot="1">
      <c r="B103" s="275"/>
      <c r="C103" s="138" t="s">
        <v>73</v>
      </c>
      <c r="D103" s="138"/>
      <c r="E103" s="137"/>
      <c r="F103" s="137"/>
      <c r="G103" s="138">
        <f t="shared" si="4"/>
        <v>0</v>
      </c>
    </row>
    <row r="104" spans="2:7" ht="17.25" thickBot="1">
      <c r="B104" s="15"/>
      <c r="C104" s="15"/>
      <c r="D104" s="15"/>
      <c r="E104" s="15"/>
      <c r="F104" s="15"/>
      <c r="G104" s="132">
        <f>SUM(G83:G103)</f>
        <v>544726.66000000015</v>
      </c>
    </row>
    <row r="105" spans="2:7">
      <c r="B105" s="15"/>
      <c r="C105" s="15"/>
      <c r="D105" s="15"/>
      <c r="E105" s="15"/>
      <c r="F105" s="15"/>
      <c r="G105" s="15"/>
    </row>
    <row r="106" spans="2:7">
      <c r="B106" s="14" t="s">
        <v>94</v>
      </c>
      <c r="C106" s="15"/>
      <c r="D106" s="15"/>
      <c r="E106" s="15"/>
      <c r="F106" s="15"/>
      <c r="G106" s="15"/>
    </row>
    <row r="107" spans="2:7" ht="30">
      <c r="B107" s="129"/>
      <c r="C107" s="129" t="s">
        <v>81</v>
      </c>
      <c r="D107" s="16">
        <v>45778</v>
      </c>
      <c r="E107" s="16">
        <v>45809</v>
      </c>
      <c r="F107" s="16">
        <v>45839</v>
      </c>
      <c r="G107" s="130" t="s">
        <v>424</v>
      </c>
    </row>
    <row r="108" spans="2:7">
      <c r="B108" s="146"/>
      <c r="C108" s="131" t="s">
        <v>87</v>
      </c>
      <c r="D108" s="131">
        <f>SUM(D83:D103)</f>
        <v>240498.5</v>
      </c>
      <c r="E108" s="131">
        <f>SUM(E83:E103)</f>
        <v>186143.68</v>
      </c>
      <c r="F108" s="131">
        <f>SUM(F83:F103)</f>
        <v>118084.47999999998</v>
      </c>
      <c r="G108" s="131">
        <f>SUM(D108:F108)</f>
        <v>544726.65999999992</v>
      </c>
    </row>
    <row r="109" spans="2:7">
      <c r="B109" s="148" t="s">
        <v>88</v>
      </c>
      <c r="C109" s="131"/>
      <c r="D109" s="138"/>
      <c r="E109" s="138"/>
      <c r="F109" s="138"/>
      <c r="G109" s="131">
        <f>SUM(D109:F109)</f>
        <v>0</v>
      </c>
    </row>
    <row r="110" spans="2:7">
      <c r="B110" s="138" t="s">
        <v>425</v>
      </c>
      <c r="C110" s="131" t="s">
        <v>87</v>
      </c>
      <c r="D110" s="138"/>
      <c r="E110" s="138">
        <v>672.15</v>
      </c>
      <c r="F110" s="138"/>
      <c r="G110" s="131">
        <f t="shared" ref="G110:G118" si="5">SUM(D110:F110)</f>
        <v>672.15</v>
      </c>
    </row>
    <row r="111" spans="2:7">
      <c r="B111" s="138" t="s">
        <v>426</v>
      </c>
      <c r="C111" s="131" t="s">
        <v>87</v>
      </c>
      <c r="D111" s="138"/>
      <c r="E111" s="138">
        <v>1579.2224999999999</v>
      </c>
      <c r="F111" s="138"/>
      <c r="G111" s="131">
        <f t="shared" si="5"/>
        <v>1579.2224999999999</v>
      </c>
    </row>
    <row r="112" spans="2:7">
      <c r="B112" s="138" t="s">
        <v>427</v>
      </c>
      <c r="C112" s="131" t="s">
        <v>87</v>
      </c>
      <c r="D112" s="138"/>
      <c r="E112" s="138">
        <v>24837.424499999997</v>
      </c>
      <c r="F112" s="138"/>
      <c r="G112" s="131">
        <f t="shared" si="5"/>
        <v>24837.424499999997</v>
      </c>
    </row>
    <row r="113" spans="2:7">
      <c r="B113" s="138" t="s">
        <v>428</v>
      </c>
      <c r="C113" s="131" t="s">
        <v>87</v>
      </c>
      <c r="D113" s="138"/>
      <c r="E113" s="138">
        <v>25.92</v>
      </c>
      <c r="F113" s="138"/>
      <c r="G113" s="131">
        <f t="shared" si="5"/>
        <v>25.92</v>
      </c>
    </row>
    <row r="114" spans="2:7">
      <c r="B114" s="138" t="s">
        <v>429</v>
      </c>
      <c r="C114" s="131" t="s">
        <v>87</v>
      </c>
      <c r="D114" s="138"/>
      <c r="E114" s="138">
        <v>714.42</v>
      </c>
      <c r="F114" s="138"/>
      <c r="G114" s="131">
        <f t="shared" si="5"/>
        <v>714.42</v>
      </c>
    </row>
    <row r="115" spans="2:7">
      <c r="B115" s="138" t="s">
        <v>430</v>
      </c>
      <c r="C115" s="131" t="s">
        <v>87</v>
      </c>
      <c r="D115" s="138"/>
      <c r="E115" s="138">
        <v>1208.8664999999999</v>
      </c>
      <c r="F115" s="138"/>
      <c r="G115" s="131">
        <f t="shared" si="5"/>
        <v>1208.8664999999999</v>
      </c>
    </row>
    <row r="116" spans="2:7">
      <c r="B116" s="138" t="s">
        <v>431</v>
      </c>
      <c r="C116" s="131" t="s">
        <v>87</v>
      </c>
      <c r="D116" s="138"/>
      <c r="E116" s="138">
        <v>4658.2649999999994</v>
      </c>
      <c r="F116" s="138"/>
      <c r="G116" s="131">
        <f t="shared" si="5"/>
        <v>4658.2649999999994</v>
      </c>
    </row>
    <row r="117" spans="2:7">
      <c r="B117" s="138" t="s">
        <v>432</v>
      </c>
      <c r="C117" s="131" t="s">
        <v>87</v>
      </c>
      <c r="D117" s="138"/>
      <c r="E117" s="138">
        <v>574.29599999999994</v>
      </c>
      <c r="F117" s="138"/>
      <c r="G117" s="131">
        <f t="shared" si="5"/>
        <v>574.29599999999994</v>
      </c>
    </row>
    <row r="118" spans="2:7">
      <c r="B118" s="138" t="s">
        <v>433</v>
      </c>
      <c r="C118" s="131" t="s">
        <v>87</v>
      </c>
      <c r="D118" s="138"/>
      <c r="E118" s="138"/>
      <c r="F118" s="138">
        <v>6442.8</v>
      </c>
      <c r="G118" s="131">
        <f t="shared" si="5"/>
        <v>6442.8</v>
      </c>
    </row>
    <row r="119" spans="2:7">
      <c r="B119" s="147"/>
      <c r="C119" s="147"/>
      <c r="D119" s="147"/>
      <c r="E119" s="147"/>
      <c r="F119" s="148" t="s">
        <v>96</v>
      </c>
      <c r="G119" s="148">
        <f>G108-G109+G110+G111+G112+G113+G114+G115+G116+G117+G118</f>
        <v>585440.02450000006</v>
      </c>
    </row>
    <row r="121" spans="2:7">
      <c r="B121" s="14" t="s">
        <v>97</v>
      </c>
      <c r="C121" s="15"/>
      <c r="D121" s="15"/>
      <c r="E121" s="15"/>
      <c r="F121" s="15"/>
      <c r="G121" s="15"/>
    </row>
    <row r="122" spans="2:7" ht="30">
      <c r="B122" s="129"/>
      <c r="C122" s="129" t="s">
        <v>59</v>
      </c>
      <c r="D122" s="16">
        <v>45870</v>
      </c>
      <c r="E122" s="16">
        <v>45901</v>
      </c>
      <c r="F122" s="16">
        <v>45931</v>
      </c>
      <c r="G122" s="130" t="s">
        <v>434</v>
      </c>
    </row>
    <row r="123" spans="2:7">
      <c r="B123" s="274" t="s">
        <v>61</v>
      </c>
      <c r="C123" s="138" t="s">
        <v>62</v>
      </c>
      <c r="D123" s="138">
        <v>9155.24</v>
      </c>
      <c r="E123" s="138">
        <v>8886.9749999999985</v>
      </c>
      <c r="F123" s="138">
        <v>11614.55</v>
      </c>
      <c r="G123" s="138">
        <f>SUM(D123:F123)</f>
        <v>29656.764999999996</v>
      </c>
    </row>
    <row r="124" spans="2:7">
      <c r="B124" s="274"/>
      <c r="C124" s="138" t="s">
        <v>63</v>
      </c>
      <c r="D124" s="138">
        <v>44863.832000000017</v>
      </c>
      <c r="E124" s="138">
        <v>35165.104000000007</v>
      </c>
      <c r="F124" s="138">
        <v>13324.599999999999</v>
      </c>
      <c r="G124" s="138">
        <f t="shared" ref="G124:G143" si="6">SUM(D124:F124)</f>
        <v>93353.536000000022</v>
      </c>
    </row>
    <row r="125" spans="2:7">
      <c r="B125" s="274"/>
      <c r="C125" s="138" t="s">
        <v>64</v>
      </c>
      <c r="D125" s="138">
        <v>11215.958000000004</v>
      </c>
      <c r="E125" s="138">
        <v>8791.2760000000017</v>
      </c>
      <c r="F125" s="138">
        <v>3331.1499999999996</v>
      </c>
      <c r="G125" s="138">
        <f t="shared" si="6"/>
        <v>23338.384000000005</v>
      </c>
    </row>
    <row r="126" spans="2:7">
      <c r="B126" s="274"/>
      <c r="C126" s="138" t="s">
        <v>65</v>
      </c>
      <c r="D126" s="138"/>
      <c r="E126" s="138"/>
      <c r="F126" s="138"/>
      <c r="G126" s="138">
        <f t="shared" si="6"/>
        <v>0</v>
      </c>
    </row>
    <row r="127" spans="2:7">
      <c r="B127" s="274"/>
      <c r="C127" s="138" t="s">
        <v>66</v>
      </c>
      <c r="D127" s="138"/>
      <c r="E127" s="138"/>
      <c r="F127" s="138"/>
      <c r="G127" s="138">
        <f t="shared" si="6"/>
        <v>0</v>
      </c>
    </row>
    <row r="128" spans="2:7">
      <c r="B128" s="274"/>
      <c r="C128" s="138" t="s">
        <v>67</v>
      </c>
      <c r="D128" s="138"/>
      <c r="E128" s="138"/>
      <c r="F128" s="138"/>
      <c r="G128" s="138">
        <f t="shared" si="6"/>
        <v>0</v>
      </c>
    </row>
    <row r="129" spans="2:7">
      <c r="B129" s="274"/>
      <c r="C129" s="138" t="s">
        <v>68</v>
      </c>
      <c r="D129" s="138"/>
      <c r="E129" s="138"/>
      <c r="F129" s="138"/>
      <c r="G129" s="138">
        <f t="shared" si="6"/>
        <v>0</v>
      </c>
    </row>
    <row r="130" spans="2:7">
      <c r="B130" s="274"/>
      <c r="C130" s="138" t="s">
        <v>69</v>
      </c>
      <c r="D130" s="138">
        <v>24711</v>
      </c>
      <c r="E130" s="138">
        <v>26041.17</v>
      </c>
      <c r="F130" s="138">
        <v>26399.399999999998</v>
      </c>
      <c r="G130" s="138">
        <f t="shared" si="6"/>
        <v>77151.569999999992</v>
      </c>
    </row>
    <row r="131" spans="2:7">
      <c r="B131" s="274"/>
      <c r="C131" s="138" t="s">
        <v>70</v>
      </c>
      <c r="D131" s="138"/>
      <c r="E131" s="138"/>
      <c r="F131" s="138"/>
      <c r="G131" s="138">
        <f t="shared" si="6"/>
        <v>0</v>
      </c>
    </row>
    <row r="132" spans="2:7">
      <c r="B132" s="274"/>
      <c r="C132" s="138" t="s">
        <v>71</v>
      </c>
      <c r="D132" s="138"/>
      <c r="E132" s="138"/>
      <c r="F132" s="138"/>
      <c r="G132" s="138">
        <f t="shared" si="6"/>
        <v>0</v>
      </c>
    </row>
    <row r="133" spans="2:7">
      <c r="B133" s="274"/>
      <c r="C133" s="138" t="s">
        <v>72</v>
      </c>
      <c r="D133" s="138">
        <v>2132</v>
      </c>
      <c r="E133" s="138">
        <v>1636</v>
      </c>
      <c r="F133" s="138">
        <v>1940</v>
      </c>
      <c r="G133" s="138">
        <f t="shared" si="6"/>
        <v>5708</v>
      </c>
    </row>
    <row r="134" spans="2:7">
      <c r="B134" s="274"/>
      <c r="C134" s="138" t="s">
        <v>73</v>
      </c>
      <c r="D134" s="138"/>
      <c r="E134" s="138"/>
      <c r="F134" s="138"/>
      <c r="G134" s="138">
        <f t="shared" si="6"/>
        <v>0</v>
      </c>
    </row>
    <row r="135" spans="2:7">
      <c r="B135" s="275" t="s">
        <v>74</v>
      </c>
      <c r="C135" s="138" t="s">
        <v>75</v>
      </c>
      <c r="D135" s="138">
        <v>27465.72</v>
      </c>
      <c r="E135" s="138">
        <v>26660.924999999996</v>
      </c>
      <c r="F135" s="138">
        <v>34843.649999999994</v>
      </c>
      <c r="G135" s="138">
        <f t="shared" si="6"/>
        <v>88970.294999999984</v>
      </c>
    </row>
    <row r="136" spans="2:7">
      <c r="B136" s="275"/>
      <c r="C136" s="138" t="s">
        <v>69</v>
      </c>
      <c r="D136" s="138"/>
      <c r="E136" s="138"/>
      <c r="F136" s="138"/>
      <c r="G136" s="138">
        <f t="shared" si="6"/>
        <v>0</v>
      </c>
    </row>
    <row r="137" spans="2:7">
      <c r="B137" s="275"/>
      <c r="C137" s="138" t="s">
        <v>92</v>
      </c>
      <c r="D137" s="138">
        <v>1068.8</v>
      </c>
      <c r="E137" s="138">
        <v>0</v>
      </c>
      <c r="F137" s="138">
        <v>0</v>
      </c>
      <c r="G137" s="138">
        <f t="shared" si="6"/>
        <v>1068.8</v>
      </c>
    </row>
    <row r="138" spans="2:7">
      <c r="B138" s="275"/>
      <c r="C138" s="138" t="s">
        <v>77</v>
      </c>
      <c r="D138" s="138"/>
      <c r="E138" s="138"/>
      <c r="F138" s="138"/>
      <c r="G138" s="138">
        <f t="shared" si="6"/>
        <v>0</v>
      </c>
    </row>
    <row r="139" spans="2:7">
      <c r="B139" s="275"/>
      <c r="C139" s="138" t="s">
        <v>78</v>
      </c>
      <c r="D139" s="138"/>
      <c r="E139" s="138"/>
      <c r="F139" s="138"/>
      <c r="G139" s="138">
        <f t="shared" si="6"/>
        <v>0</v>
      </c>
    </row>
    <row r="140" spans="2:7">
      <c r="B140" s="275"/>
      <c r="C140" s="138" t="s">
        <v>79</v>
      </c>
      <c r="D140" s="138"/>
      <c r="E140" s="138"/>
      <c r="F140" s="138"/>
      <c r="G140" s="138">
        <f t="shared" si="6"/>
        <v>0</v>
      </c>
    </row>
    <row r="141" spans="2:7">
      <c r="B141" s="275"/>
      <c r="C141" s="138" t="s">
        <v>80</v>
      </c>
      <c r="D141" s="138">
        <v>582</v>
      </c>
      <c r="E141" s="138">
        <v>156</v>
      </c>
      <c r="F141" s="138">
        <v>156</v>
      </c>
      <c r="G141" s="138">
        <f t="shared" si="6"/>
        <v>894</v>
      </c>
    </row>
    <row r="142" spans="2:7">
      <c r="B142" s="275"/>
      <c r="C142" s="138" t="s">
        <v>72</v>
      </c>
      <c r="D142" s="138"/>
      <c r="E142" s="137"/>
      <c r="F142" s="138"/>
      <c r="G142" s="138">
        <f t="shared" si="6"/>
        <v>0</v>
      </c>
    </row>
    <row r="143" spans="2:7" ht="17.25" thickBot="1">
      <c r="B143" s="275"/>
      <c r="C143" s="138" t="s">
        <v>73</v>
      </c>
      <c r="D143" s="138"/>
      <c r="E143" s="137"/>
      <c r="F143" s="137"/>
      <c r="G143" s="138">
        <f t="shared" si="6"/>
        <v>0</v>
      </c>
    </row>
    <row r="144" spans="2:7" ht="17.25" thickBot="1">
      <c r="B144" s="15"/>
      <c r="C144" s="15"/>
      <c r="D144" s="15"/>
      <c r="E144" s="15"/>
      <c r="F144" s="132" t="s">
        <v>96</v>
      </c>
      <c r="G144" s="132">
        <f>SUM(G123:G143)</f>
        <v>320141.34999999998</v>
      </c>
    </row>
    <row r="145" spans="2:7">
      <c r="B145" s="15"/>
      <c r="C145" s="15"/>
      <c r="D145" s="15"/>
      <c r="E145" s="15"/>
      <c r="F145" s="15"/>
      <c r="G145" s="15"/>
    </row>
    <row r="146" spans="2:7">
      <c r="B146" s="14" t="s">
        <v>97</v>
      </c>
      <c r="C146" s="15"/>
      <c r="D146" s="15"/>
      <c r="E146" s="15"/>
      <c r="F146" s="15"/>
      <c r="G146" s="15"/>
    </row>
    <row r="147" spans="2:7" ht="30">
      <c r="B147" s="129"/>
      <c r="C147" s="129" t="s">
        <v>81</v>
      </c>
      <c r="D147" s="16">
        <v>45870</v>
      </c>
      <c r="E147" s="16">
        <v>45901</v>
      </c>
      <c r="F147" s="16">
        <v>45931</v>
      </c>
      <c r="G147" s="130" t="s">
        <v>434</v>
      </c>
    </row>
    <row r="148" spans="2:7">
      <c r="B148" s="137"/>
      <c r="C148" s="138" t="s">
        <v>87</v>
      </c>
      <c r="D148" s="138">
        <f>SUM(D123:D143)</f>
        <v>121194.55000000003</v>
      </c>
      <c r="E148" s="138">
        <f t="shared" ref="E148:F148" si="7">SUM(E123:E143)</f>
        <v>107337.45000000001</v>
      </c>
      <c r="F148" s="138">
        <f t="shared" si="7"/>
        <v>91609.349999999991</v>
      </c>
      <c r="G148" s="131">
        <f>SUM(D148:F148)</f>
        <v>320141.35000000003</v>
      </c>
    </row>
    <row r="149" spans="2:7">
      <c r="B149" s="138" t="s">
        <v>840</v>
      </c>
      <c r="C149" s="131" t="s">
        <v>87</v>
      </c>
      <c r="D149" s="138">
        <v>2197.6020000000003</v>
      </c>
      <c r="E149" s="138"/>
      <c r="F149" s="138"/>
      <c r="G149" s="131">
        <f>SUM(D149:F149)</f>
        <v>2197.6020000000003</v>
      </c>
    </row>
    <row r="150" spans="2:7">
      <c r="B150" s="138" t="s">
        <v>841</v>
      </c>
      <c r="C150" s="131" t="s">
        <v>87</v>
      </c>
      <c r="D150" s="138"/>
      <c r="E150" s="138">
        <v>4073.076</v>
      </c>
      <c r="F150" s="138"/>
      <c r="G150" s="131">
        <f>SUM(D150:F150)</f>
        <v>4073.076</v>
      </c>
    </row>
    <row r="151" spans="2:7" ht="17.25" thickBot="1">
      <c r="B151" s="137"/>
      <c r="C151" s="138"/>
      <c r="D151" s="138"/>
      <c r="E151" s="138"/>
      <c r="F151" s="138"/>
      <c r="G151" s="131"/>
    </row>
    <row r="152" spans="2:7" ht="17.25" thickBot="1">
      <c r="B152" s="15"/>
      <c r="C152" s="15"/>
      <c r="D152" s="15"/>
      <c r="E152" s="15"/>
      <c r="F152" s="132" t="s">
        <v>96</v>
      </c>
      <c r="G152" s="133">
        <f>SUM(G148:G151)</f>
        <v>326412.02800000005</v>
      </c>
    </row>
  </sheetData>
  <mergeCells count="10">
    <mergeCell ref="B95:B103"/>
    <mergeCell ref="B123:B134"/>
    <mergeCell ref="B135:B143"/>
    <mergeCell ref="B5:B16"/>
    <mergeCell ref="B17:B25"/>
    <mergeCell ref="C37:F37"/>
    <mergeCell ref="B41:B52"/>
    <mergeCell ref="B53:B61"/>
    <mergeCell ref="C78:F78"/>
    <mergeCell ref="B83:B94"/>
  </mergeCells>
  <phoneticPr fontId="4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">
    <tabColor rgb="FFFF0000"/>
    <pageSetUpPr fitToPage="1"/>
  </sheetPr>
  <dimension ref="A1:BR287"/>
  <sheetViews>
    <sheetView zoomScaleNormal="100" workbookViewId="0">
      <pane xSplit="13" ySplit="2" topLeftCell="AJ83" activePane="bottomRight" state="frozen"/>
      <selection pane="topRight" activeCell="C26" sqref="C26"/>
      <selection pane="bottomLeft" activeCell="C26" sqref="C26"/>
      <selection pane="bottomRight" activeCell="AN1" sqref="AN1:AN1048576"/>
    </sheetView>
  </sheetViews>
  <sheetFormatPr defaultColWidth="9" defaultRowHeight="15"/>
  <cols>
    <col min="1" max="1" width="6.375" style="1" bestFit="1" customWidth="1"/>
    <col min="2" max="2" width="11.75" style="1" hidden="1" customWidth="1"/>
    <col min="3" max="3" width="9" style="2" hidden="1" customWidth="1"/>
    <col min="4" max="4" width="11.375" style="1" hidden="1" customWidth="1"/>
    <col min="5" max="5" width="13.625" style="2" hidden="1" customWidth="1"/>
    <col min="6" max="6" width="12.75" style="1" hidden="1" customWidth="1"/>
    <col min="7" max="7" width="10" style="33" hidden="1" customWidth="1"/>
    <col min="8" max="8" width="25.625" style="1" customWidth="1"/>
    <col min="9" max="9" width="10.125" style="1" customWidth="1"/>
    <col min="10" max="10" width="10" style="33" customWidth="1"/>
    <col min="11" max="11" width="19.125" style="1" customWidth="1"/>
    <col min="12" max="12" width="9.375" style="2" customWidth="1"/>
    <col min="13" max="13" width="16.75" style="1" customWidth="1"/>
    <col min="14" max="14" width="9.75" style="1" customWidth="1"/>
    <col min="15" max="15" width="10.25" style="10" customWidth="1"/>
    <col min="16" max="21" width="7" style="10" customWidth="1"/>
    <col min="22" max="22" width="8" style="10" customWidth="1"/>
    <col min="23" max="24" width="6.75" style="10" customWidth="1"/>
    <col min="25" max="27" width="7" style="10" customWidth="1"/>
    <col min="28" max="28" width="11.375" style="10" customWidth="1"/>
    <col min="29" max="29" width="7.375" style="10" customWidth="1"/>
    <col min="30" max="31" width="7.375" style="3" customWidth="1"/>
    <col min="32" max="40" width="7.375" style="1" customWidth="1"/>
    <col min="41" max="41" width="9.375" style="5" customWidth="1"/>
    <col min="42" max="42" width="13" style="120" customWidth="1"/>
    <col min="43" max="43" width="9.375" style="5" customWidth="1"/>
    <col min="44" max="44" width="13" style="120" customWidth="1"/>
    <col min="45" max="45" width="8.375" style="5" customWidth="1"/>
    <col min="46" max="46" width="13" style="120" customWidth="1"/>
    <col min="47" max="47" width="8.375" style="1" customWidth="1"/>
    <col min="48" max="48" width="13" style="121" customWidth="1"/>
    <col min="49" max="49" width="8.75" style="1" customWidth="1"/>
    <col min="50" max="50" width="13" style="121" customWidth="1"/>
    <col min="51" max="51" width="8.375" style="1" customWidth="1"/>
    <col min="52" max="52" width="13" style="121" customWidth="1"/>
    <col min="53" max="53" width="8.375" style="1" customWidth="1"/>
    <col min="54" max="54" width="13" style="125" customWidth="1"/>
    <col min="55" max="55" width="8.375" style="1" customWidth="1"/>
    <col min="56" max="56" width="13" style="125" customWidth="1"/>
    <col min="57" max="57" width="8.375" style="1" customWidth="1"/>
    <col min="58" max="58" width="13" style="125" customWidth="1"/>
    <col min="59" max="59" width="8.375" style="1" customWidth="1"/>
    <col min="60" max="60" width="13" style="125" customWidth="1"/>
    <col min="61" max="61" width="8.375" style="1" customWidth="1"/>
    <col min="62" max="62" width="13" style="125" customWidth="1"/>
    <col min="63" max="63" width="8.375" style="1" customWidth="1"/>
    <col min="64" max="64" width="13" style="125" customWidth="1"/>
    <col min="65" max="65" width="15.125" style="220" bestFit="1" customWidth="1"/>
    <col min="66" max="66" width="9.125" style="1" customWidth="1"/>
    <col min="67" max="67" width="6.375" style="1" customWidth="1"/>
    <col min="68" max="68" width="27.75" style="1" bestFit="1" customWidth="1"/>
    <col min="69" max="16384" width="9" style="1"/>
  </cols>
  <sheetData>
    <row r="1" spans="1:70" s="2" customFormat="1" ht="82.5" customHeight="1" thickBot="1">
      <c r="A1" s="221"/>
      <c r="B1" s="17"/>
      <c r="C1" s="17"/>
      <c r="D1" s="17" t="s">
        <v>435</v>
      </c>
      <c r="E1" s="13" t="s">
        <v>436</v>
      </c>
      <c r="F1" s="7"/>
      <c r="G1" s="11" t="s">
        <v>437</v>
      </c>
      <c r="H1" s="11" t="s">
        <v>438</v>
      </c>
      <c r="I1" s="12" t="s">
        <v>439</v>
      </c>
      <c r="J1" s="12" t="s">
        <v>440</v>
      </c>
      <c r="K1" s="12" t="s">
        <v>441</v>
      </c>
      <c r="L1" s="12" t="s">
        <v>442</v>
      </c>
      <c r="M1" s="241" t="s">
        <v>443</v>
      </c>
      <c r="N1" s="12"/>
      <c r="O1" s="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4">
        <f t="shared" ref="AC1:AN1" si="0">SUM(AC3:AC287)</f>
        <v>230.30999999999997</v>
      </c>
      <c r="AD1" s="4">
        <f t="shared" si="0"/>
        <v>231.65000000000003</v>
      </c>
      <c r="AE1" s="4">
        <f t="shared" si="0"/>
        <v>231.65000000000003</v>
      </c>
      <c r="AF1" s="4">
        <f t="shared" si="0"/>
        <v>231.92000000000004</v>
      </c>
      <c r="AG1" s="4">
        <f t="shared" si="0"/>
        <v>231.92000000000004</v>
      </c>
      <c r="AH1" s="4">
        <f t="shared" si="0"/>
        <v>231.92000000000004</v>
      </c>
      <c r="AI1" s="4">
        <f t="shared" si="0"/>
        <v>231.92000000000004</v>
      </c>
      <c r="AJ1" s="4">
        <f>SUM(AJ3:AJ287)</f>
        <v>231.92000000000004</v>
      </c>
      <c r="AK1" s="4">
        <f t="shared" si="0"/>
        <v>219.02999999999969</v>
      </c>
      <c r="AL1" s="4">
        <f t="shared" si="0"/>
        <v>218.14999999999969</v>
      </c>
      <c r="AM1" s="4">
        <f t="shared" si="0"/>
        <v>218.14999999999969</v>
      </c>
      <c r="AN1" s="4">
        <f t="shared" si="0"/>
        <v>218.14999999999969</v>
      </c>
      <c r="AO1" s="116"/>
      <c r="AP1" s="114">
        <f>SUM(AP3:AP1175)</f>
        <v>208260.71999999997</v>
      </c>
      <c r="AQ1" s="114"/>
      <c r="AR1" s="114">
        <f>SUM(AR3:AR1175)</f>
        <v>299100.14</v>
      </c>
      <c r="AS1" s="114"/>
      <c r="AT1" s="114">
        <f>SUM(AT3:AT1175)</f>
        <v>240706.02999999997</v>
      </c>
      <c r="AU1" s="114"/>
      <c r="AV1" s="114">
        <f>SUM(AV3:AV1175)</f>
        <v>194410.29</v>
      </c>
      <c r="AW1" s="114"/>
      <c r="AX1" s="114">
        <f>SUM(AX3:AX1175)</f>
        <v>238069.66</v>
      </c>
      <c r="AY1" s="114"/>
      <c r="AZ1" s="114">
        <f>SUM(AZ3:AZ1175)</f>
        <v>252178.74999999997</v>
      </c>
      <c r="BA1" s="114"/>
      <c r="BB1" s="114">
        <f>SUM(BB3:BB1175)</f>
        <v>240498.50000000003</v>
      </c>
      <c r="BC1" s="114"/>
      <c r="BD1" s="114">
        <f>SUM(BD3:BD1175)</f>
        <v>186143.68000000002</v>
      </c>
      <c r="BE1" s="114"/>
      <c r="BF1" s="114">
        <f>SUM(BF3:BF1175)</f>
        <v>118084.48</v>
      </c>
      <c r="BG1" s="114"/>
      <c r="BH1" s="114">
        <f>SUM(BH3:BH1175)</f>
        <v>121194.55</v>
      </c>
      <c r="BI1" s="114"/>
      <c r="BJ1" s="114">
        <f>SUM(BJ3:BJ1175)</f>
        <v>107337.45000000003</v>
      </c>
      <c r="BK1" s="114"/>
      <c r="BL1" s="114">
        <f>SUM(BL3:BL1175)</f>
        <v>91609.349999999991</v>
      </c>
      <c r="BM1" s="12" t="s">
        <v>444</v>
      </c>
      <c r="BN1" s="12" t="s">
        <v>445</v>
      </c>
      <c r="BO1" s="12" t="s">
        <v>446</v>
      </c>
      <c r="BP1" s="12" t="s">
        <v>447</v>
      </c>
    </row>
    <row r="2" spans="1:70" s="6" customFormat="1" ht="60.75" thickBot="1">
      <c r="A2" s="156" t="s">
        <v>448</v>
      </c>
      <c r="B2" s="171" t="s">
        <v>109</v>
      </c>
      <c r="C2" s="176" t="s">
        <v>110</v>
      </c>
      <c r="D2" s="172" t="s">
        <v>111</v>
      </c>
      <c r="E2" s="172" t="s">
        <v>59</v>
      </c>
      <c r="F2" s="172" t="s">
        <v>112</v>
      </c>
      <c r="G2" s="200" t="s">
        <v>113</v>
      </c>
      <c r="H2" s="172" t="s">
        <v>114</v>
      </c>
      <c r="I2" s="157" t="s">
        <v>115</v>
      </c>
      <c r="J2" s="158" t="s">
        <v>116</v>
      </c>
      <c r="K2" s="157" t="s">
        <v>117</v>
      </c>
      <c r="L2" s="157" t="s">
        <v>118</v>
      </c>
      <c r="M2" s="177" t="s">
        <v>119</v>
      </c>
      <c r="N2" s="202" t="s">
        <v>351</v>
      </c>
      <c r="O2" s="159" t="s">
        <v>120</v>
      </c>
      <c r="P2" s="187" t="s">
        <v>121</v>
      </c>
      <c r="Q2" s="160" t="s">
        <v>122</v>
      </c>
      <c r="R2" s="160" t="s">
        <v>123</v>
      </c>
      <c r="S2" s="160" t="s">
        <v>124</v>
      </c>
      <c r="T2" s="160" t="s">
        <v>125</v>
      </c>
      <c r="U2" s="160" t="s">
        <v>126</v>
      </c>
      <c r="V2" s="160" t="s">
        <v>127</v>
      </c>
      <c r="W2" s="160" t="s">
        <v>128</v>
      </c>
      <c r="X2" s="160" t="s">
        <v>129</v>
      </c>
      <c r="Y2" s="160" t="s">
        <v>130</v>
      </c>
      <c r="Z2" s="160" t="s">
        <v>131</v>
      </c>
      <c r="AA2" s="160" t="s">
        <v>132</v>
      </c>
      <c r="AB2" s="201" t="s">
        <v>133</v>
      </c>
      <c r="AC2" s="161" t="s">
        <v>134</v>
      </c>
      <c r="AD2" s="161" t="s">
        <v>135</v>
      </c>
      <c r="AE2" s="161" t="s">
        <v>136</v>
      </c>
      <c r="AF2" s="161" t="s">
        <v>137</v>
      </c>
      <c r="AG2" s="161" t="s">
        <v>138</v>
      </c>
      <c r="AH2" s="161" t="s">
        <v>139</v>
      </c>
      <c r="AI2" s="161" t="s">
        <v>140</v>
      </c>
      <c r="AJ2" s="161" t="s">
        <v>141</v>
      </c>
      <c r="AK2" s="161" t="s">
        <v>142</v>
      </c>
      <c r="AL2" s="161" t="s">
        <v>143</v>
      </c>
      <c r="AM2" s="161" t="s">
        <v>144</v>
      </c>
      <c r="AN2" s="161" t="s">
        <v>145</v>
      </c>
      <c r="AO2" s="162" t="s">
        <v>146</v>
      </c>
      <c r="AP2" s="163" t="s">
        <v>147</v>
      </c>
      <c r="AQ2" s="162" t="s">
        <v>148</v>
      </c>
      <c r="AR2" s="163" t="s">
        <v>149</v>
      </c>
      <c r="AS2" s="163" t="s">
        <v>150</v>
      </c>
      <c r="AT2" s="188" t="s">
        <v>151</v>
      </c>
      <c r="AU2" s="196" t="s">
        <v>152</v>
      </c>
      <c r="AV2" s="197" t="s">
        <v>153</v>
      </c>
      <c r="AW2" s="198" t="s">
        <v>154</v>
      </c>
      <c r="AX2" s="197" t="s">
        <v>155</v>
      </c>
      <c r="AY2" s="197" t="s">
        <v>156</v>
      </c>
      <c r="AZ2" s="199" t="s">
        <v>157</v>
      </c>
      <c r="BA2" s="192" t="s">
        <v>158</v>
      </c>
      <c r="BB2" s="193" t="s">
        <v>159</v>
      </c>
      <c r="BC2" s="194" t="s">
        <v>160</v>
      </c>
      <c r="BD2" s="193" t="s">
        <v>161</v>
      </c>
      <c r="BE2" s="193" t="s">
        <v>162</v>
      </c>
      <c r="BF2" s="195" t="s">
        <v>163</v>
      </c>
      <c r="BG2" s="189" t="s">
        <v>164</v>
      </c>
      <c r="BH2" s="190" t="s">
        <v>165</v>
      </c>
      <c r="BI2" s="191" t="s">
        <v>166</v>
      </c>
      <c r="BJ2" s="190" t="s">
        <v>167</v>
      </c>
      <c r="BK2" s="190" t="s">
        <v>168</v>
      </c>
      <c r="BL2" s="190" t="s">
        <v>169</v>
      </c>
      <c r="BM2" s="222" t="s">
        <v>170</v>
      </c>
      <c r="BN2" s="223" t="s">
        <v>171</v>
      </c>
      <c r="BO2" s="223" t="s">
        <v>449</v>
      </c>
      <c r="BP2" s="223" t="s">
        <v>450</v>
      </c>
    </row>
    <row r="3" spans="1:70">
      <c r="A3" s="219" t="s">
        <v>451</v>
      </c>
      <c r="B3" s="106" t="s">
        <v>354</v>
      </c>
      <c r="C3" s="66" t="s">
        <v>175</v>
      </c>
      <c r="D3" s="284" t="s">
        <v>452</v>
      </c>
      <c r="E3" s="136" t="s">
        <v>176</v>
      </c>
      <c r="F3" s="294" t="s">
        <v>355</v>
      </c>
      <c r="G3" s="65" t="s">
        <v>178</v>
      </c>
      <c r="H3" s="91" t="s">
        <v>356</v>
      </c>
      <c r="I3" s="91" t="s">
        <v>180</v>
      </c>
      <c r="J3" s="65">
        <v>13</v>
      </c>
      <c r="K3" s="91" t="s">
        <v>181</v>
      </c>
      <c r="L3" s="90" t="s">
        <v>182</v>
      </c>
      <c r="M3" s="89" t="s">
        <v>453</v>
      </c>
      <c r="N3" s="89">
        <v>3.24</v>
      </c>
      <c r="O3" s="89">
        <v>4.07</v>
      </c>
      <c r="P3" s="78">
        <v>4.07</v>
      </c>
      <c r="Q3" s="78">
        <v>4.07</v>
      </c>
      <c r="R3" s="78">
        <v>4.07</v>
      </c>
      <c r="S3" s="78">
        <v>4.07</v>
      </c>
      <c r="T3" s="78">
        <v>4.07</v>
      </c>
      <c r="U3" s="78">
        <v>4.07</v>
      </c>
      <c r="V3" s="78">
        <v>4.07</v>
      </c>
      <c r="W3" s="78">
        <v>4.07</v>
      </c>
      <c r="X3" s="78">
        <v>4.07</v>
      </c>
      <c r="Y3" s="78">
        <v>4.07</v>
      </c>
      <c r="Z3" s="78">
        <v>4.07</v>
      </c>
      <c r="AA3" s="87">
        <v>4.07</v>
      </c>
      <c r="AB3" s="87">
        <v>0.83</v>
      </c>
      <c r="AC3" s="78">
        <v>0.83</v>
      </c>
      <c r="AD3" s="78">
        <v>0.83</v>
      </c>
      <c r="AE3" s="78">
        <v>0.83</v>
      </c>
      <c r="AF3" s="78">
        <v>0.83</v>
      </c>
      <c r="AG3" s="78">
        <v>0.83</v>
      </c>
      <c r="AH3" s="78">
        <v>0.83</v>
      </c>
      <c r="AI3" s="78">
        <v>0.83</v>
      </c>
      <c r="AJ3" s="78">
        <v>0.83</v>
      </c>
      <c r="AK3" s="78">
        <v>0.83</v>
      </c>
      <c r="AL3" s="78">
        <v>0.83</v>
      </c>
      <c r="AM3" s="78">
        <v>0.83</v>
      </c>
      <c r="AN3" s="151">
        <v>0.83</v>
      </c>
      <c r="AO3" s="22">
        <v>1280</v>
      </c>
      <c r="AP3" s="117">
        <f t="shared" ref="AP3:AP277" si="1">AC3*AO3</f>
        <v>1062.3999999999999</v>
      </c>
      <c r="AQ3" s="22">
        <v>2040</v>
      </c>
      <c r="AR3" s="117">
        <f t="shared" ref="AR3:AR277" si="2">AD3*AQ3</f>
        <v>1693.1999999999998</v>
      </c>
      <c r="AS3" s="22">
        <v>840</v>
      </c>
      <c r="AT3" s="126">
        <f t="shared" ref="AT3:AT277" si="3">AE3*AS3</f>
        <v>697.19999999999993</v>
      </c>
      <c r="AU3" s="22">
        <v>1880</v>
      </c>
      <c r="AV3" s="117">
        <f t="shared" ref="AV3:AV277" si="4">AF3*AU3</f>
        <v>1560.3999999999999</v>
      </c>
      <c r="AW3" s="22">
        <v>1280</v>
      </c>
      <c r="AX3" s="117">
        <f t="shared" ref="AX3:AX277" si="5">AG3*AW3</f>
        <v>1062.3999999999999</v>
      </c>
      <c r="AY3" s="22">
        <v>120</v>
      </c>
      <c r="AZ3" s="126">
        <f t="shared" ref="AZ3:AZ277" si="6">AH3*AY3</f>
        <v>99.6</v>
      </c>
      <c r="BA3" s="79">
        <v>1520</v>
      </c>
      <c r="BB3" s="117">
        <f t="shared" ref="BB3:BB277" si="7">AI3*BA3</f>
        <v>1261.5999999999999</v>
      </c>
      <c r="BC3" s="79">
        <v>1640</v>
      </c>
      <c r="BD3" s="117">
        <f t="shared" ref="BD3:BD277" si="8">AJ3*BC3</f>
        <v>1361.2</v>
      </c>
      <c r="BE3" s="22">
        <v>2000</v>
      </c>
      <c r="BF3" s="126">
        <f t="shared" ref="BF3:BF277" si="9">AK3*BE3</f>
        <v>1660</v>
      </c>
      <c r="BG3" s="79">
        <v>480</v>
      </c>
      <c r="BH3" s="117">
        <f t="shared" ref="BH3:BH35" si="10">AL3*BG3</f>
        <v>398.4</v>
      </c>
      <c r="BI3" s="22">
        <v>680</v>
      </c>
      <c r="BJ3" s="117">
        <f t="shared" ref="BJ3:BJ277" si="11">AM3*BI3</f>
        <v>564.4</v>
      </c>
      <c r="BK3" s="22">
        <v>320</v>
      </c>
      <c r="BL3" s="126">
        <f t="shared" ref="BL3:BL277" si="12">AN3*BK3</f>
        <v>265.59999999999997</v>
      </c>
      <c r="BM3" s="220" t="s">
        <v>454</v>
      </c>
      <c r="BO3" s="1" t="s">
        <v>455</v>
      </c>
      <c r="BP3" s="1" t="s">
        <v>456</v>
      </c>
      <c r="BQ3" s="233"/>
      <c r="BR3" s="234"/>
    </row>
    <row r="4" spans="1:70">
      <c r="A4" s="219" t="s">
        <v>451</v>
      </c>
      <c r="B4" s="106" t="s">
        <v>354</v>
      </c>
      <c r="C4" s="66" t="s">
        <v>175</v>
      </c>
      <c r="D4" s="284"/>
      <c r="E4" s="136" t="s">
        <v>176</v>
      </c>
      <c r="F4" s="294"/>
      <c r="G4" s="86" t="s">
        <v>178</v>
      </c>
      <c r="H4" s="85" t="s">
        <v>356</v>
      </c>
      <c r="I4" s="85" t="s">
        <v>180</v>
      </c>
      <c r="J4" s="86">
        <v>13</v>
      </c>
      <c r="K4" s="85" t="s">
        <v>181</v>
      </c>
      <c r="L4" s="84" t="s">
        <v>182</v>
      </c>
      <c r="M4" s="83" t="s">
        <v>453</v>
      </c>
      <c r="N4" s="83">
        <v>3.24</v>
      </c>
      <c r="O4" s="83">
        <v>4.07</v>
      </c>
      <c r="P4" s="10">
        <v>4.07</v>
      </c>
      <c r="Q4" s="10">
        <v>4.07</v>
      </c>
      <c r="R4" s="10">
        <v>4.07</v>
      </c>
      <c r="S4" s="10">
        <v>4.07</v>
      </c>
      <c r="T4" s="10">
        <v>4.07</v>
      </c>
      <c r="U4" s="10">
        <v>4.07</v>
      </c>
      <c r="V4" s="10">
        <v>4.07</v>
      </c>
      <c r="W4" s="10">
        <v>4.07</v>
      </c>
      <c r="X4" s="10">
        <v>4.07</v>
      </c>
      <c r="Y4" s="10">
        <v>4.07</v>
      </c>
      <c r="Z4" s="10">
        <v>4.07</v>
      </c>
      <c r="AA4" s="81">
        <v>4.07</v>
      </c>
      <c r="AB4" s="81">
        <v>0.83</v>
      </c>
      <c r="AC4" s="10">
        <v>0.83</v>
      </c>
      <c r="AD4" s="10">
        <v>0.83</v>
      </c>
      <c r="AE4" s="10">
        <v>0.83</v>
      </c>
      <c r="AF4" s="10">
        <v>0.83</v>
      </c>
      <c r="AG4" s="10">
        <v>0.83</v>
      </c>
      <c r="AH4" s="10">
        <v>0.83</v>
      </c>
      <c r="AI4" s="10">
        <v>0.83</v>
      </c>
      <c r="AJ4" s="10">
        <v>0.83</v>
      </c>
      <c r="AK4" s="10">
        <v>0.83</v>
      </c>
      <c r="AL4" s="10">
        <v>0.83</v>
      </c>
      <c r="AM4" s="10">
        <v>0.83</v>
      </c>
      <c r="AN4" s="149">
        <v>0.83</v>
      </c>
      <c r="AO4" s="5">
        <v>560</v>
      </c>
      <c r="AP4" s="118">
        <f t="shared" si="1"/>
        <v>464.79999999999995</v>
      </c>
      <c r="AQ4" s="5">
        <v>560</v>
      </c>
      <c r="AR4" s="118">
        <f t="shared" si="2"/>
        <v>464.79999999999995</v>
      </c>
      <c r="AS4" s="5">
        <v>520</v>
      </c>
      <c r="AT4" s="127">
        <f t="shared" si="3"/>
        <v>431.59999999999997</v>
      </c>
      <c r="AU4" s="5">
        <v>1077</v>
      </c>
      <c r="AV4" s="118">
        <f t="shared" si="4"/>
        <v>893.91</v>
      </c>
      <c r="AW4" s="5">
        <v>1473</v>
      </c>
      <c r="AX4" s="118">
        <f t="shared" si="5"/>
        <v>1222.5899999999999</v>
      </c>
      <c r="AY4" s="5">
        <v>640</v>
      </c>
      <c r="AZ4" s="127">
        <f t="shared" si="6"/>
        <v>531.19999999999993</v>
      </c>
      <c r="BA4" s="105">
        <v>2920</v>
      </c>
      <c r="BB4" s="118">
        <f t="shared" si="7"/>
        <v>2423.6</v>
      </c>
      <c r="BC4" s="105">
        <v>760</v>
      </c>
      <c r="BD4" s="118">
        <f t="shared" si="8"/>
        <v>630.79999999999995</v>
      </c>
      <c r="BE4" s="5">
        <v>360</v>
      </c>
      <c r="BF4" s="127">
        <f t="shared" si="9"/>
        <v>298.8</v>
      </c>
      <c r="BG4" s="105">
        <v>800</v>
      </c>
      <c r="BH4" s="118">
        <f t="shared" si="10"/>
        <v>664</v>
      </c>
      <c r="BI4" s="5">
        <v>1480</v>
      </c>
      <c r="BJ4" s="118">
        <f t="shared" si="11"/>
        <v>1228.3999999999999</v>
      </c>
      <c r="BK4" s="5">
        <v>600</v>
      </c>
      <c r="BL4" s="127">
        <f t="shared" si="12"/>
        <v>498</v>
      </c>
      <c r="BM4" s="220" t="s">
        <v>457</v>
      </c>
      <c r="BO4" s="1" t="s">
        <v>455</v>
      </c>
      <c r="BP4" s="1" t="s">
        <v>456</v>
      </c>
      <c r="BQ4" s="233"/>
      <c r="BR4" s="234"/>
    </row>
    <row r="5" spans="1:70">
      <c r="A5" s="219" t="s">
        <v>451</v>
      </c>
      <c r="B5" s="106" t="s">
        <v>357</v>
      </c>
      <c r="C5" s="66" t="s">
        <v>175</v>
      </c>
      <c r="D5" s="284"/>
      <c r="E5" s="136" t="s">
        <v>176</v>
      </c>
      <c r="F5" s="295"/>
      <c r="G5" s="86" t="s">
        <v>178</v>
      </c>
      <c r="H5" s="85" t="s">
        <v>356</v>
      </c>
      <c r="I5" s="85" t="s">
        <v>184</v>
      </c>
      <c r="J5" s="86">
        <v>13</v>
      </c>
      <c r="K5" s="85" t="s">
        <v>181</v>
      </c>
      <c r="L5" s="84" t="s">
        <v>185</v>
      </c>
      <c r="M5" s="83" t="s">
        <v>453</v>
      </c>
      <c r="N5" s="83">
        <v>8.0499999999999989</v>
      </c>
      <c r="O5" s="83">
        <v>9.1199999999999992</v>
      </c>
      <c r="P5" s="10">
        <v>9.1199999999999992</v>
      </c>
      <c r="Q5" s="10">
        <v>9.1199999999999992</v>
      </c>
      <c r="R5" s="10">
        <v>9.1199999999999992</v>
      </c>
      <c r="S5" s="10">
        <v>9.1199999999999992</v>
      </c>
      <c r="T5" s="10">
        <v>9.1199999999999992</v>
      </c>
      <c r="U5" s="10">
        <v>9.1199999999999992</v>
      </c>
      <c r="V5" s="10">
        <v>9.1199999999999992</v>
      </c>
      <c r="W5" s="10">
        <v>9.1199999999999992</v>
      </c>
      <c r="X5" s="10">
        <v>9.1199999999999992</v>
      </c>
      <c r="Y5" s="10">
        <v>9.1199999999999992</v>
      </c>
      <c r="Z5" s="10">
        <v>9.1199999999999992</v>
      </c>
      <c r="AA5" s="81">
        <v>9.1199999999999992</v>
      </c>
      <c r="AB5" s="81">
        <v>1.07</v>
      </c>
      <c r="AC5" s="10">
        <v>1.07</v>
      </c>
      <c r="AD5" s="10">
        <v>1.07</v>
      </c>
      <c r="AE5" s="10">
        <v>1.07</v>
      </c>
      <c r="AF5" s="10">
        <v>1.07</v>
      </c>
      <c r="AG5" s="10">
        <v>1.07</v>
      </c>
      <c r="AH5" s="10">
        <v>1.07</v>
      </c>
      <c r="AI5" s="10">
        <v>1.07</v>
      </c>
      <c r="AJ5" s="10">
        <v>1.07</v>
      </c>
      <c r="AK5" s="10">
        <v>1.07</v>
      </c>
      <c r="AL5" s="10">
        <v>1.07</v>
      </c>
      <c r="AM5" s="10">
        <v>1.07</v>
      </c>
      <c r="AN5" s="149">
        <v>1.07</v>
      </c>
      <c r="AO5" s="5">
        <v>1000</v>
      </c>
      <c r="AP5" s="118">
        <f t="shared" si="1"/>
        <v>1070</v>
      </c>
      <c r="AQ5" s="5">
        <v>400</v>
      </c>
      <c r="AR5" s="118">
        <f t="shared" si="2"/>
        <v>428</v>
      </c>
      <c r="AS5" s="5">
        <v>560</v>
      </c>
      <c r="AT5" s="127">
        <f t="shared" si="3"/>
        <v>599.20000000000005</v>
      </c>
      <c r="AU5" s="5">
        <v>1649</v>
      </c>
      <c r="AV5" s="118">
        <f t="shared" si="4"/>
        <v>1764.43</v>
      </c>
      <c r="AW5" s="5">
        <v>720</v>
      </c>
      <c r="AX5" s="118">
        <f t="shared" si="5"/>
        <v>770.40000000000009</v>
      </c>
      <c r="AY5" s="5">
        <v>2951</v>
      </c>
      <c r="AZ5" s="127">
        <f t="shared" si="6"/>
        <v>3157.57</v>
      </c>
      <c r="BA5" s="105">
        <v>779</v>
      </c>
      <c r="BB5" s="118">
        <f t="shared" si="7"/>
        <v>833.53000000000009</v>
      </c>
      <c r="BC5" s="105">
        <v>1380</v>
      </c>
      <c r="BD5" s="118">
        <f t="shared" si="8"/>
        <v>1476.6000000000001</v>
      </c>
      <c r="BE5" s="5">
        <v>1000</v>
      </c>
      <c r="BF5" s="127">
        <f t="shared" si="9"/>
        <v>1070</v>
      </c>
      <c r="BG5" s="105">
        <v>1920</v>
      </c>
      <c r="BH5" s="118">
        <f t="shared" si="10"/>
        <v>2054.4</v>
      </c>
      <c r="BI5" s="5">
        <v>1420</v>
      </c>
      <c r="BJ5" s="118">
        <f t="shared" si="11"/>
        <v>1519.4</v>
      </c>
      <c r="BK5" s="5">
        <v>209</v>
      </c>
      <c r="BL5" s="127">
        <f t="shared" si="12"/>
        <v>223.63000000000002</v>
      </c>
      <c r="BM5" s="220" t="s">
        <v>458</v>
      </c>
      <c r="BO5" s="1" t="s">
        <v>455</v>
      </c>
      <c r="BP5" s="1" t="s">
        <v>459</v>
      </c>
      <c r="BQ5" s="233"/>
      <c r="BR5" s="234"/>
    </row>
    <row r="6" spans="1:70">
      <c r="A6" s="219" t="s">
        <v>451</v>
      </c>
      <c r="B6" s="106" t="s">
        <v>354</v>
      </c>
      <c r="C6" s="66" t="s">
        <v>175</v>
      </c>
      <c r="D6" s="284"/>
      <c r="E6" s="136" t="s">
        <v>176</v>
      </c>
      <c r="F6" s="295"/>
      <c r="G6" s="86" t="s">
        <v>178</v>
      </c>
      <c r="H6" s="85" t="s">
        <v>356</v>
      </c>
      <c r="I6" s="85" t="s">
        <v>184</v>
      </c>
      <c r="J6" s="86">
        <v>13</v>
      </c>
      <c r="K6" s="85" t="s">
        <v>181</v>
      </c>
      <c r="L6" s="84" t="s">
        <v>185</v>
      </c>
      <c r="M6" s="83" t="s">
        <v>453</v>
      </c>
      <c r="N6" s="83">
        <v>8.0499999999999989</v>
      </c>
      <c r="O6" s="83">
        <v>9.1199999999999992</v>
      </c>
      <c r="P6" s="10">
        <v>9.1199999999999992</v>
      </c>
      <c r="Q6" s="10">
        <v>9.1199999999999992</v>
      </c>
      <c r="R6" s="10">
        <v>9.1199999999999992</v>
      </c>
      <c r="S6" s="10">
        <v>9.1199999999999992</v>
      </c>
      <c r="T6" s="10">
        <v>9.1199999999999992</v>
      </c>
      <c r="U6" s="10">
        <v>9.1199999999999992</v>
      </c>
      <c r="V6" s="10">
        <v>9.1199999999999992</v>
      </c>
      <c r="W6" s="10">
        <v>9.1199999999999992</v>
      </c>
      <c r="X6" s="10">
        <v>9.1199999999999992</v>
      </c>
      <c r="Y6" s="10">
        <v>9.1199999999999992</v>
      </c>
      <c r="Z6" s="10">
        <v>9.1199999999999992</v>
      </c>
      <c r="AA6" s="81">
        <v>9.1199999999999992</v>
      </c>
      <c r="AB6" s="81">
        <v>1.07</v>
      </c>
      <c r="AC6" s="10">
        <v>1.07</v>
      </c>
      <c r="AD6" s="10">
        <v>1.07</v>
      </c>
      <c r="AE6" s="10">
        <v>1.07</v>
      </c>
      <c r="AF6" s="10">
        <v>1.07</v>
      </c>
      <c r="AG6" s="10">
        <v>1.07</v>
      </c>
      <c r="AH6" s="10">
        <v>1.07</v>
      </c>
      <c r="AI6" s="10">
        <v>1.07</v>
      </c>
      <c r="AJ6" s="10">
        <v>1.07</v>
      </c>
      <c r="AK6" s="10">
        <v>1.07</v>
      </c>
      <c r="AL6" s="10">
        <v>1.07</v>
      </c>
      <c r="AM6" s="10">
        <v>1.07</v>
      </c>
      <c r="AN6" s="149">
        <v>1.07</v>
      </c>
      <c r="AO6" s="5">
        <v>1080</v>
      </c>
      <c r="AP6" s="118">
        <f t="shared" si="1"/>
        <v>1155.6000000000001</v>
      </c>
      <c r="AQ6" s="5">
        <v>0</v>
      </c>
      <c r="AR6" s="118">
        <f t="shared" si="2"/>
        <v>0</v>
      </c>
      <c r="AS6" s="5">
        <v>280</v>
      </c>
      <c r="AT6" s="127">
        <f t="shared" si="3"/>
        <v>299.60000000000002</v>
      </c>
      <c r="AU6" s="5">
        <v>1716</v>
      </c>
      <c r="AV6" s="118">
        <f t="shared" si="4"/>
        <v>1836.1200000000001</v>
      </c>
      <c r="AW6" s="5">
        <v>567</v>
      </c>
      <c r="AX6" s="118">
        <f t="shared" si="5"/>
        <v>606.69000000000005</v>
      </c>
      <c r="AY6" s="5">
        <v>2037</v>
      </c>
      <c r="AZ6" s="127">
        <f t="shared" si="6"/>
        <v>2179.59</v>
      </c>
      <c r="BA6" s="105">
        <v>959</v>
      </c>
      <c r="BB6" s="118">
        <f t="shared" si="7"/>
        <v>1026.1300000000001</v>
      </c>
      <c r="BC6" s="105">
        <v>2039</v>
      </c>
      <c r="BD6" s="118">
        <f t="shared" si="8"/>
        <v>2181.73</v>
      </c>
      <c r="BE6" s="5">
        <v>1000</v>
      </c>
      <c r="BF6" s="127">
        <f t="shared" si="9"/>
        <v>1070</v>
      </c>
      <c r="BG6" s="105">
        <v>1640</v>
      </c>
      <c r="BH6" s="118">
        <f t="shared" si="10"/>
        <v>1754.8000000000002</v>
      </c>
      <c r="BI6" s="5">
        <v>11835</v>
      </c>
      <c r="BJ6" s="118">
        <f t="shared" si="11"/>
        <v>12663.45</v>
      </c>
      <c r="BK6" s="5">
        <v>3320</v>
      </c>
      <c r="BL6" s="127">
        <f t="shared" si="12"/>
        <v>3552.4</v>
      </c>
      <c r="BM6" s="220" t="s">
        <v>460</v>
      </c>
      <c r="BO6" s="1" t="s">
        <v>455</v>
      </c>
      <c r="BP6" s="1" t="s">
        <v>459</v>
      </c>
      <c r="BQ6" s="233"/>
      <c r="BR6" s="234"/>
    </row>
    <row r="7" spans="1:70">
      <c r="A7" s="219" t="s">
        <v>451</v>
      </c>
      <c r="B7" s="106" t="s">
        <v>354</v>
      </c>
      <c r="C7" s="66" t="s">
        <v>175</v>
      </c>
      <c r="D7" s="284"/>
      <c r="E7" s="136" t="s">
        <v>176</v>
      </c>
      <c r="F7" s="295"/>
      <c r="G7" s="86" t="s">
        <v>178</v>
      </c>
      <c r="H7" s="85" t="s">
        <v>356</v>
      </c>
      <c r="I7" s="85" t="s">
        <v>184</v>
      </c>
      <c r="J7" s="86">
        <v>13</v>
      </c>
      <c r="K7" s="85" t="s">
        <v>181</v>
      </c>
      <c r="L7" s="84" t="s">
        <v>185</v>
      </c>
      <c r="M7" s="83" t="s">
        <v>453</v>
      </c>
      <c r="N7" s="83">
        <v>8.0499999999999989</v>
      </c>
      <c r="O7" s="83">
        <v>9.1199999999999992</v>
      </c>
      <c r="P7" s="10">
        <v>9.1199999999999992</v>
      </c>
      <c r="Q7" s="10">
        <v>9.1199999999999992</v>
      </c>
      <c r="R7" s="10">
        <v>9.1199999999999992</v>
      </c>
      <c r="S7" s="10">
        <v>9.1199999999999992</v>
      </c>
      <c r="T7" s="10">
        <v>9.1199999999999992</v>
      </c>
      <c r="U7" s="10">
        <v>9.1199999999999992</v>
      </c>
      <c r="V7" s="10">
        <v>9.1199999999999992</v>
      </c>
      <c r="W7" s="10">
        <v>9.1199999999999992</v>
      </c>
      <c r="X7" s="10">
        <v>9.1199999999999992</v>
      </c>
      <c r="Y7" s="10">
        <v>9.1199999999999992</v>
      </c>
      <c r="Z7" s="10">
        <v>9.1199999999999992</v>
      </c>
      <c r="AA7" s="81">
        <v>9.1199999999999992</v>
      </c>
      <c r="AB7" s="81">
        <v>1.07</v>
      </c>
      <c r="AC7" s="10">
        <v>1.07</v>
      </c>
      <c r="AD7" s="10">
        <v>1.07</v>
      </c>
      <c r="AE7" s="10">
        <v>1.07</v>
      </c>
      <c r="AF7" s="10">
        <v>1.07</v>
      </c>
      <c r="AG7" s="10">
        <v>1.07</v>
      </c>
      <c r="AH7" s="10">
        <v>1.07</v>
      </c>
      <c r="AI7" s="10">
        <v>1.07</v>
      </c>
      <c r="AJ7" s="10">
        <v>1.07</v>
      </c>
      <c r="AK7" s="10">
        <v>1.07</v>
      </c>
      <c r="AL7" s="10">
        <v>1.07</v>
      </c>
      <c r="AM7" s="10">
        <v>1.07</v>
      </c>
      <c r="AN7" s="149">
        <v>1.07</v>
      </c>
      <c r="AO7" s="5">
        <v>40</v>
      </c>
      <c r="AP7" s="118">
        <f t="shared" si="1"/>
        <v>42.800000000000004</v>
      </c>
      <c r="AQ7" s="5">
        <v>0</v>
      </c>
      <c r="AR7" s="118">
        <f t="shared" si="2"/>
        <v>0</v>
      </c>
      <c r="AS7" s="5">
        <v>240</v>
      </c>
      <c r="AT7" s="127">
        <f t="shared" si="3"/>
        <v>256.8</v>
      </c>
      <c r="AU7" s="5">
        <v>38</v>
      </c>
      <c r="AV7" s="118">
        <f t="shared" si="4"/>
        <v>40.660000000000004</v>
      </c>
      <c r="AW7" s="5">
        <v>80</v>
      </c>
      <c r="AX7" s="118">
        <f t="shared" si="5"/>
        <v>85.600000000000009</v>
      </c>
      <c r="AY7" s="5">
        <v>40</v>
      </c>
      <c r="AZ7" s="127">
        <f t="shared" si="6"/>
        <v>42.800000000000004</v>
      </c>
      <c r="BA7" s="105">
        <v>84</v>
      </c>
      <c r="BB7" s="118">
        <f t="shared" si="7"/>
        <v>89.88000000000001</v>
      </c>
      <c r="BC7" s="105">
        <v>0</v>
      </c>
      <c r="BD7" s="118">
        <f t="shared" si="8"/>
        <v>0</v>
      </c>
      <c r="BE7" s="5">
        <v>38</v>
      </c>
      <c r="BF7" s="127">
        <f t="shared" si="9"/>
        <v>40.660000000000004</v>
      </c>
      <c r="BG7" s="105">
        <v>0</v>
      </c>
      <c r="BH7" s="118">
        <f t="shared" si="10"/>
        <v>0</v>
      </c>
      <c r="BI7" s="5">
        <v>39</v>
      </c>
      <c r="BJ7" s="118">
        <f t="shared" si="11"/>
        <v>41.730000000000004</v>
      </c>
      <c r="BK7" s="5">
        <v>0</v>
      </c>
      <c r="BL7" s="127">
        <f t="shared" si="12"/>
        <v>0</v>
      </c>
      <c r="BM7" s="220" t="s">
        <v>461</v>
      </c>
      <c r="BO7" s="1" t="s">
        <v>455</v>
      </c>
      <c r="BP7" s="1" t="s">
        <v>462</v>
      </c>
      <c r="BQ7" s="233"/>
      <c r="BR7" s="234"/>
    </row>
    <row r="8" spans="1:70">
      <c r="A8" s="219" t="s">
        <v>451</v>
      </c>
      <c r="B8" s="106" t="s">
        <v>354</v>
      </c>
      <c r="C8" s="66" t="s">
        <v>175</v>
      </c>
      <c r="D8" s="284"/>
      <c r="E8" s="136" t="s">
        <v>176</v>
      </c>
      <c r="F8" s="295"/>
      <c r="G8" s="86" t="s">
        <v>178</v>
      </c>
      <c r="H8" s="85" t="s">
        <v>356</v>
      </c>
      <c r="I8" s="85" t="s">
        <v>184</v>
      </c>
      <c r="J8" s="86">
        <v>13</v>
      </c>
      <c r="K8" s="85" t="s">
        <v>181</v>
      </c>
      <c r="L8" s="84" t="s">
        <v>185</v>
      </c>
      <c r="M8" s="83" t="s">
        <v>453</v>
      </c>
      <c r="N8" s="83">
        <v>8.0499999999999989</v>
      </c>
      <c r="O8" s="83">
        <v>9.1199999999999992</v>
      </c>
      <c r="P8" s="10">
        <v>9.1199999999999992</v>
      </c>
      <c r="Q8" s="10">
        <v>9.1199999999999992</v>
      </c>
      <c r="R8" s="10">
        <v>9.1199999999999992</v>
      </c>
      <c r="S8" s="10">
        <v>9.1199999999999992</v>
      </c>
      <c r="T8" s="10">
        <v>9.1199999999999992</v>
      </c>
      <c r="U8" s="10">
        <v>9.1199999999999992</v>
      </c>
      <c r="V8" s="10">
        <v>9.1199999999999992</v>
      </c>
      <c r="W8" s="10">
        <v>9.1199999999999992</v>
      </c>
      <c r="X8" s="10">
        <v>9.1199999999999992</v>
      </c>
      <c r="Y8" s="10">
        <v>9.1199999999999992</v>
      </c>
      <c r="Z8" s="10">
        <v>9.1199999999999992</v>
      </c>
      <c r="AA8" s="81">
        <v>9.1199999999999992</v>
      </c>
      <c r="AB8" s="81">
        <v>1.07</v>
      </c>
      <c r="AC8" s="10">
        <v>1.07</v>
      </c>
      <c r="AD8" s="10">
        <v>1.07</v>
      </c>
      <c r="AE8" s="10">
        <v>1.07</v>
      </c>
      <c r="AF8" s="10">
        <v>1.07</v>
      </c>
      <c r="AG8" s="10">
        <v>1.07</v>
      </c>
      <c r="AH8" s="10">
        <v>1.07</v>
      </c>
      <c r="AI8" s="10">
        <v>1.07</v>
      </c>
      <c r="AJ8" s="10">
        <v>1.07</v>
      </c>
      <c r="AK8" s="10">
        <v>1.07</v>
      </c>
      <c r="AL8" s="10">
        <v>1.07</v>
      </c>
      <c r="AM8" s="10">
        <v>1.07</v>
      </c>
      <c r="AN8" s="149">
        <v>1.07</v>
      </c>
      <c r="AO8" s="5">
        <v>400</v>
      </c>
      <c r="AP8" s="118">
        <f t="shared" si="1"/>
        <v>428</v>
      </c>
      <c r="AQ8" s="5">
        <v>157</v>
      </c>
      <c r="AR8" s="118">
        <f t="shared" si="2"/>
        <v>167.99</v>
      </c>
      <c r="AS8" s="5">
        <v>240</v>
      </c>
      <c r="AT8" s="127">
        <f t="shared" si="3"/>
        <v>256.8</v>
      </c>
      <c r="AU8" s="5">
        <v>440</v>
      </c>
      <c r="AV8" s="118">
        <f t="shared" si="4"/>
        <v>470.8</v>
      </c>
      <c r="AW8" s="5">
        <v>520</v>
      </c>
      <c r="AX8" s="118">
        <f t="shared" si="5"/>
        <v>556.4</v>
      </c>
      <c r="AY8" s="5">
        <v>320</v>
      </c>
      <c r="AZ8" s="127">
        <f t="shared" si="6"/>
        <v>342.40000000000003</v>
      </c>
      <c r="BA8" s="105">
        <v>600</v>
      </c>
      <c r="BB8" s="118">
        <f t="shared" si="7"/>
        <v>642</v>
      </c>
      <c r="BC8" s="105">
        <v>760</v>
      </c>
      <c r="BD8" s="118">
        <f t="shared" si="8"/>
        <v>813.2</v>
      </c>
      <c r="BE8" s="5">
        <v>0</v>
      </c>
      <c r="BF8" s="127">
        <f t="shared" si="9"/>
        <v>0</v>
      </c>
      <c r="BG8" s="105">
        <v>80</v>
      </c>
      <c r="BH8" s="118">
        <f t="shared" si="10"/>
        <v>85.600000000000009</v>
      </c>
      <c r="BI8" s="5">
        <v>280</v>
      </c>
      <c r="BJ8" s="118">
        <f t="shared" si="11"/>
        <v>299.60000000000002</v>
      </c>
      <c r="BK8" s="5">
        <v>313</v>
      </c>
      <c r="BL8" s="127">
        <f t="shared" si="12"/>
        <v>334.91</v>
      </c>
      <c r="BM8" s="220" t="s">
        <v>463</v>
      </c>
      <c r="BO8" s="1" t="s">
        <v>455</v>
      </c>
      <c r="BP8" s="1" t="s">
        <v>462</v>
      </c>
      <c r="BQ8" s="233"/>
      <c r="BR8" s="234"/>
    </row>
    <row r="9" spans="1:70">
      <c r="A9" s="219" t="s">
        <v>451</v>
      </c>
      <c r="B9" s="106" t="s">
        <v>357</v>
      </c>
      <c r="C9" s="66" t="s">
        <v>175</v>
      </c>
      <c r="D9" s="284"/>
      <c r="E9" s="136" t="s">
        <v>176</v>
      </c>
      <c r="F9" s="295"/>
      <c r="G9" s="86" t="s">
        <v>187</v>
      </c>
      <c r="H9" s="85" t="s">
        <v>464</v>
      </c>
      <c r="I9" s="85" t="s">
        <v>180</v>
      </c>
      <c r="J9" s="86">
        <v>13</v>
      </c>
      <c r="K9" s="85" t="s">
        <v>181</v>
      </c>
      <c r="L9" s="84" t="s">
        <v>185</v>
      </c>
      <c r="M9" s="83" t="s">
        <v>465</v>
      </c>
      <c r="N9" s="83">
        <v>3.24</v>
      </c>
      <c r="O9" s="83">
        <v>4.07</v>
      </c>
      <c r="P9" s="10">
        <v>4.07</v>
      </c>
      <c r="Q9" s="10">
        <v>4.07</v>
      </c>
      <c r="R9" s="10">
        <v>4.07</v>
      </c>
      <c r="S9" s="10">
        <v>4.07</v>
      </c>
      <c r="T9" s="10">
        <v>4.07</v>
      </c>
      <c r="U9" s="10">
        <v>4.07</v>
      </c>
      <c r="V9" s="10">
        <v>4.07</v>
      </c>
      <c r="W9" s="10">
        <v>4.07</v>
      </c>
      <c r="X9" s="10">
        <v>4.07</v>
      </c>
      <c r="Y9" s="10">
        <v>4.07</v>
      </c>
      <c r="Z9" s="10">
        <v>4.07</v>
      </c>
      <c r="AA9" s="81">
        <v>4.07</v>
      </c>
      <c r="AB9" s="81">
        <v>0.83</v>
      </c>
      <c r="AC9" s="10">
        <v>0.83</v>
      </c>
      <c r="AD9" s="10">
        <v>0.83</v>
      </c>
      <c r="AE9" s="10">
        <v>0.83</v>
      </c>
      <c r="AF9" s="10">
        <v>0.83</v>
      </c>
      <c r="AG9" s="10">
        <v>0.83</v>
      </c>
      <c r="AH9" s="10">
        <v>0.83</v>
      </c>
      <c r="AI9" s="10">
        <v>0.83</v>
      </c>
      <c r="AJ9" s="10">
        <v>0.83</v>
      </c>
      <c r="AK9" s="10">
        <v>0.83</v>
      </c>
      <c r="AL9" s="10">
        <v>0.83</v>
      </c>
      <c r="AM9" s="10">
        <v>0.83</v>
      </c>
      <c r="AN9" s="149">
        <v>0.83</v>
      </c>
      <c r="AO9" s="5">
        <v>40562</v>
      </c>
      <c r="AP9" s="118">
        <f t="shared" si="1"/>
        <v>33666.46</v>
      </c>
      <c r="AQ9" s="5">
        <v>6879</v>
      </c>
      <c r="AR9" s="118">
        <f t="shared" si="2"/>
        <v>5709.57</v>
      </c>
      <c r="AS9" s="5">
        <v>11843</v>
      </c>
      <c r="AT9" s="127">
        <f t="shared" si="3"/>
        <v>9829.6899999999987</v>
      </c>
      <c r="AU9" s="5">
        <v>22492</v>
      </c>
      <c r="AV9" s="118">
        <f t="shared" si="4"/>
        <v>18668.36</v>
      </c>
      <c r="AW9" s="5">
        <v>2743</v>
      </c>
      <c r="AX9" s="118">
        <f t="shared" si="5"/>
        <v>2276.69</v>
      </c>
      <c r="AY9" s="5">
        <v>18922</v>
      </c>
      <c r="AZ9" s="127">
        <f t="shared" si="6"/>
        <v>15705.259999999998</v>
      </c>
      <c r="BA9" s="105">
        <v>0</v>
      </c>
      <c r="BB9" s="118">
        <f t="shared" si="7"/>
        <v>0</v>
      </c>
      <c r="BC9" s="105">
        <v>0</v>
      </c>
      <c r="BD9" s="118">
        <f t="shared" si="8"/>
        <v>0</v>
      </c>
      <c r="BE9" s="5">
        <v>0</v>
      </c>
      <c r="BF9" s="127">
        <f t="shared" si="9"/>
        <v>0</v>
      </c>
      <c r="BG9" s="105">
        <v>0</v>
      </c>
      <c r="BH9" s="118">
        <f t="shared" si="10"/>
        <v>0</v>
      </c>
      <c r="BI9" s="5">
        <v>0</v>
      </c>
      <c r="BJ9" s="118">
        <f t="shared" si="11"/>
        <v>0</v>
      </c>
      <c r="BK9" s="5">
        <v>0</v>
      </c>
      <c r="BL9" s="127">
        <f t="shared" si="12"/>
        <v>0</v>
      </c>
      <c r="BM9" s="220" t="s">
        <v>466</v>
      </c>
      <c r="BO9" s="1" t="s">
        <v>455</v>
      </c>
      <c r="BP9" s="1" t="s">
        <v>467</v>
      </c>
      <c r="BQ9" s="233"/>
      <c r="BR9" s="234"/>
    </row>
    <row r="10" spans="1:70">
      <c r="A10" s="219" t="s">
        <v>451</v>
      </c>
      <c r="B10" s="106" t="s">
        <v>357</v>
      </c>
      <c r="C10" s="66" t="s">
        <v>175</v>
      </c>
      <c r="D10" s="284"/>
      <c r="E10" s="136" t="s">
        <v>176</v>
      </c>
      <c r="F10" s="295"/>
      <c r="G10" s="86" t="s">
        <v>187</v>
      </c>
      <c r="H10" s="85" t="s">
        <v>464</v>
      </c>
      <c r="I10" s="85" t="s">
        <v>180</v>
      </c>
      <c r="J10" s="86">
        <v>13</v>
      </c>
      <c r="K10" s="85" t="s">
        <v>181</v>
      </c>
      <c r="L10" s="84" t="s">
        <v>185</v>
      </c>
      <c r="M10" s="83" t="s">
        <v>465</v>
      </c>
      <c r="N10" s="83">
        <v>3.24</v>
      </c>
      <c r="O10" s="83">
        <v>4.07</v>
      </c>
      <c r="P10" s="10">
        <v>4.07</v>
      </c>
      <c r="Q10" s="10">
        <v>4.07</v>
      </c>
      <c r="R10" s="10">
        <v>4.07</v>
      </c>
      <c r="S10" s="10">
        <v>4.07</v>
      </c>
      <c r="T10" s="10">
        <v>4.07</v>
      </c>
      <c r="U10" s="10">
        <v>4.07</v>
      </c>
      <c r="V10" s="10">
        <v>4.07</v>
      </c>
      <c r="W10" s="10">
        <v>4.07</v>
      </c>
      <c r="X10" s="10">
        <v>4.07</v>
      </c>
      <c r="Y10" s="10">
        <v>4.07</v>
      </c>
      <c r="Z10" s="10">
        <v>4.07</v>
      </c>
      <c r="AA10" s="81">
        <v>4.07</v>
      </c>
      <c r="AB10" s="81">
        <v>0.83</v>
      </c>
      <c r="AC10" s="10">
        <v>0.83</v>
      </c>
      <c r="AD10" s="10">
        <v>0.83</v>
      </c>
      <c r="AE10" s="10">
        <v>0.83</v>
      </c>
      <c r="AF10" s="10">
        <v>0.83</v>
      </c>
      <c r="AG10" s="10">
        <v>0.83</v>
      </c>
      <c r="AH10" s="10">
        <v>0.83</v>
      </c>
      <c r="AI10" s="10">
        <v>0.83</v>
      </c>
      <c r="AJ10" s="10">
        <v>0.83</v>
      </c>
      <c r="AK10" s="10">
        <v>0.83</v>
      </c>
      <c r="AL10" s="10">
        <v>0.83</v>
      </c>
      <c r="AM10" s="10">
        <v>0.83</v>
      </c>
      <c r="AN10" s="149">
        <v>0.83</v>
      </c>
      <c r="AO10" s="5">
        <v>0</v>
      </c>
      <c r="AP10" s="118">
        <f t="shared" si="1"/>
        <v>0</v>
      </c>
      <c r="AQ10" s="5">
        <v>0</v>
      </c>
      <c r="AR10" s="118">
        <f t="shared" si="2"/>
        <v>0</v>
      </c>
      <c r="AS10" s="5">
        <v>0</v>
      </c>
      <c r="AT10" s="127">
        <f t="shared" si="3"/>
        <v>0</v>
      </c>
      <c r="AU10" s="5">
        <v>0</v>
      </c>
      <c r="AV10" s="118">
        <f t="shared" si="4"/>
        <v>0</v>
      </c>
      <c r="AW10" s="5">
        <v>0</v>
      </c>
      <c r="AX10" s="118">
        <f t="shared" si="5"/>
        <v>0</v>
      </c>
      <c r="AY10" s="5">
        <v>0</v>
      </c>
      <c r="AZ10" s="127">
        <f t="shared" si="6"/>
        <v>0</v>
      </c>
      <c r="BA10" s="105">
        <v>4154</v>
      </c>
      <c r="BB10" s="118">
        <f t="shared" si="7"/>
        <v>3447.8199999999997</v>
      </c>
      <c r="BC10" s="105">
        <v>2990</v>
      </c>
      <c r="BD10" s="118">
        <f t="shared" si="8"/>
        <v>2481.6999999999998</v>
      </c>
      <c r="BE10" s="5">
        <v>10197</v>
      </c>
      <c r="BF10" s="127">
        <f t="shared" si="9"/>
        <v>8463.51</v>
      </c>
      <c r="BG10" s="105">
        <v>25853</v>
      </c>
      <c r="BH10" s="118">
        <f t="shared" si="10"/>
        <v>21457.989999999998</v>
      </c>
      <c r="BI10" s="5">
        <v>15990</v>
      </c>
      <c r="BJ10" s="118">
        <f t="shared" si="11"/>
        <v>13271.699999999999</v>
      </c>
      <c r="BK10" s="5">
        <v>2200</v>
      </c>
      <c r="BL10" s="127">
        <f t="shared" si="12"/>
        <v>1826</v>
      </c>
      <c r="BM10" s="220" t="s">
        <v>466</v>
      </c>
      <c r="BO10" s="1" t="s">
        <v>455</v>
      </c>
      <c r="BP10" s="1" t="s">
        <v>468</v>
      </c>
      <c r="BQ10" s="233"/>
      <c r="BR10" s="234"/>
    </row>
    <row r="11" spans="1:70">
      <c r="A11" s="219" t="s">
        <v>451</v>
      </c>
      <c r="B11" s="106" t="s">
        <v>354</v>
      </c>
      <c r="C11" s="66" t="s">
        <v>175</v>
      </c>
      <c r="D11" s="284"/>
      <c r="E11" s="136" t="s">
        <v>176</v>
      </c>
      <c r="F11" s="295"/>
      <c r="G11" s="86" t="s">
        <v>187</v>
      </c>
      <c r="H11" s="85" t="s">
        <v>464</v>
      </c>
      <c r="I11" s="85" t="s">
        <v>180</v>
      </c>
      <c r="J11" s="86">
        <v>13</v>
      </c>
      <c r="K11" s="85" t="s">
        <v>181</v>
      </c>
      <c r="L11" s="84" t="s">
        <v>185</v>
      </c>
      <c r="M11" s="83" t="s">
        <v>465</v>
      </c>
      <c r="N11" s="83">
        <v>3.24</v>
      </c>
      <c r="O11" s="83">
        <v>4.07</v>
      </c>
      <c r="P11" s="10">
        <v>4.07</v>
      </c>
      <c r="Q11" s="10">
        <v>4.07</v>
      </c>
      <c r="R11" s="10">
        <v>4.07</v>
      </c>
      <c r="S11" s="10">
        <v>4.07</v>
      </c>
      <c r="T11" s="10">
        <v>4.07</v>
      </c>
      <c r="U11" s="10">
        <v>4.07</v>
      </c>
      <c r="V11" s="10">
        <v>4.07</v>
      </c>
      <c r="W11" s="10">
        <v>4.07</v>
      </c>
      <c r="X11" s="10">
        <v>4.07</v>
      </c>
      <c r="Y11" s="10">
        <v>4.07</v>
      </c>
      <c r="Z11" s="10">
        <v>4.07</v>
      </c>
      <c r="AA11" s="81">
        <v>4.07</v>
      </c>
      <c r="AB11" s="81">
        <v>0.83</v>
      </c>
      <c r="AC11" s="10">
        <v>0.83</v>
      </c>
      <c r="AD11" s="10">
        <v>0.83</v>
      </c>
      <c r="AE11" s="10">
        <v>0.83</v>
      </c>
      <c r="AF11" s="10">
        <v>0.83</v>
      </c>
      <c r="AG11" s="10">
        <v>0.83</v>
      </c>
      <c r="AH11" s="10">
        <v>0.83</v>
      </c>
      <c r="AI11" s="10">
        <v>0.83</v>
      </c>
      <c r="AJ11" s="10">
        <v>0.83</v>
      </c>
      <c r="AK11" s="10">
        <v>0.83</v>
      </c>
      <c r="AL11" s="10">
        <v>0.83</v>
      </c>
      <c r="AM11" s="10">
        <v>0.83</v>
      </c>
      <c r="AN11" s="149">
        <v>0.83</v>
      </c>
      <c r="AO11" s="5">
        <v>1278</v>
      </c>
      <c r="AP11" s="118">
        <f t="shared" si="1"/>
        <v>1060.74</v>
      </c>
      <c r="AQ11" s="5">
        <v>479</v>
      </c>
      <c r="AR11" s="118">
        <f t="shared" si="2"/>
        <v>397.57</v>
      </c>
      <c r="AS11" s="5">
        <v>477</v>
      </c>
      <c r="AT11" s="127">
        <f t="shared" si="3"/>
        <v>395.90999999999997</v>
      </c>
      <c r="AU11" s="5">
        <v>0</v>
      </c>
      <c r="AV11" s="118">
        <f t="shared" si="4"/>
        <v>0</v>
      </c>
      <c r="AW11" s="5">
        <v>1760</v>
      </c>
      <c r="AX11" s="118">
        <f t="shared" si="5"/>
        <v>1460.8</v>
      </c>
      <c r="AY11" s="5">
        <v>1120</v>
      </c>
      <c r="AZ11" s="127">
        <f t="shared" si="6"/>
        <v>929.59999999999991</v>
      </c>
      <c r="BA11" s="105">
        <v>0</v>
      </c>
      <c r="BB11" s="118">
        <f t="shared" si="7"/>
        <v>0</v>
      </c>
      <c r="BC11" s="105">
        <v>0</v>
      </c>
      <c r="BD11" s="118">
        <f t="shared" si="8"/>
        <v>0</v>
      </c>
      <c r="BE11" s="5">
        <v>0</v>
      </c>
      <c r="BF11" s="127">
        <f t="shared" si="9"/>
        <v>0</v>
      </c>
      <c r="BG11" s="105">
        <v>0</v>
      </c>
      <c r="BH11" s="118">
        <f t="shared" si="10"/>
        <v>0</v>
      </c>
      <c r="BI11" s="5">
        <v>0</v>
      </c>
      <c r="BJ11" s="118">
        <f t="shared" si="11"/>
        <v>0</v>
      </c>
      <c r="BK11" s="5">
        <v>0</v>
      </c>
      <c r="BL11" s="127">
        <f t="shared" si="12"/>
        <v>0</v>
      </c>
      <c r="BM11" s="220" t="s">
        <v>469</v>
      </c>
      <c r="BO11" s="1" t="s">
        <v>455</v>
      </c>
      <c r="BP11" s="1" t="s">
        <v>467</v>
      </c>
      <c r="BQ11" s="233"/>
      <c r="BR11" s="234"/>
    </row>
    <row r="12" spans="1:70">
      <c r="A12" s="219" t="s">
        <v>451</v>
      </c>
      <c r="B12" s="106" t="s">
        <v>354</v>
      </c>
      <c r="C12" s="66" t="s">
        <v>175</v>
      </c>
      <c r="D12" s="284"/>
      <c r="E12" s="136" t="s">
        <v>176</v>
      </c>
      <c r="F12" s="295"/>
      <c r="G12" s="86" t="s">
        <v>187</v>
      </c>
      <c r="H12" s="85" t="s">
        <v>464</v>
      </c>
      <c r="I12" s="85" t="s">
        <v>180</v>
      </c>
      <c r="J12" s="86">
        <v>13</v>
      </c>
      <c r="K12" s="85" t="s">
        <v>181</v>
      </c>
      <c r="L12" s="84" t="s">
        <v>185</v>
      </c>
      <c r="M12" s="83" t="s">
        <v>465</v>
      </c>
      <c r="N12" s="83">
        <v>3.24</v>
      </c>
      <c r="O12" s="83">
        <v>4.07</v>
      </c>
      <c r="P12" s="10">
        <v>4.07</v>
      </c>
      <c r="Q12" s="10">
        <v>4.07</v>
      </c>
      <c r="R12" s="10">
        <v>4.07</v>
      </c>
      <c r="S12" s="10">
        <v>4.07</v>
      </c>
      <c r="T12" s="10">
        <v>4.07</v>
      </c>
      <c r="U12" s="10">
        <v>4.07</v>
      </c>
      <c r="V12" s="10">
        <v>4.07</v>
      </c>
      <c r="W12" s="10">
        <v>4.07</v>
      </c>
      <c r="X12" s="10">
        <v>4.07</v>
      </c>
      <c r="Y12" s="10">
        <v>4.07</v>
      </c>
      <c r="Z12" s="10">
        <v>4.07</v>
      </c>
      <c r="AA12" s="81">
        <v>4.07</v>
      </c>
      <c r="AB12" s="81">
        <v>0.83</v>
      </c>
      <c r="AC12" s="10">
        <v>0.83</v>
      </c>
      <c r="AD12" s="10">
        <v>0.83</v>
      </c>
      <c r="AE12" s="10">
        <v>0.83</v>
      </c>
      <c r="AF12" s="10">
        <v>0.83</v>
      </c>
      <c r="AG12" s="10">
        <v>0.83</v>
      </c>
      <c r="AH12" s="10">
        <v>0.83</v>
      </c>
      <c r="AI12" s="10">
        <v>0.83</v>
      </c>
      <c r="AJ12" s="10">
        <v>0.83</v>
      </c>
      <c r="AK12" s="10">
        <v>0.83</v>
      </c>
      <c r="AL12" s="10">
        <v>0.83</v>
      </c>
      <c r="AM12" s="10">
        <v>0.83</v>
      </c>
      <c r="AN12" s="149">
        <v>0.83</v>
      </c>
      <c r="AP12" s="118">
        <f t="shared" si="1"/>
        <v>0</v>
      </c>
      <c r="AR12" s="118">
        <f t="shared" si="2"/>
        <v>0</v>
      </c>
      <c r="AT12" s="127">
        <f t="shared" si="3"/>
        <v>0</v>
      </c>
      <c r="AU12" s="5"/>
      <c r="AV12" s="118">
        <f t="shared" si="4"/>
        <v>0</v>
      </c>
      <c r="AW12" s="5"/>
      <c r="AX12" s="118">
        <f t="shared" si="5"/>
        <v>0</v>
      </c>
      <c r="AY12" s="5"/>
      <c r="AZ12" s="127">
        <f t="shared" si="6"/>
        <v>0</v>
      </c>
      <c r="BA12" s="105">
        <v>358</v>
      </c>
      <c r="BB12" s="118">
        <f t="shared" si="7"/>
        <v>297.14</v>
      </c>
      <c r="BC12" s="105">
        <v>0</v>
      </c>
      <c r="BD12" s="118">
        <f t="shared" si="8"/>
        <v>0</v>
      </c>
      <c r="BE12" s="5">
        <v>120</v>
      </c>
      <c r="BF12" s="127">
        <f t="shared" si="9"/>
        <v>99.6</v>
      </c>
      <c r="BG12" s="105">
        <v>200</v>
      </c>
      <c r="BH12" s="118">
        <f t="shared" si="10"/>
        <v>166</v>
      </c>
      <c r="BI12" s="5">
        <v>80</v>
      </c>
      <c r="BJ12" s="118">
        <f t="shared" si="11"/>
        <v>66.399999999999991</v>
      </c>
      <c r="BK12" s="5">
        <v>40</v>
      </c>
      <c r="BL12" s="127">
        <f t="shared" si="12"/>
        <v>33.199999999999996</v>
      </c>
      <c r="BM12" s="220" t="s">
        <v>469</v>
      </c>
      <c r="BO12" s="1" t="s">
        <v>455</v>
      </c>
      <c r="BP12" s="1" t="s">
        <v>468</v>
      </c>
      <c r="BQ12" s="233"/>
      <c r="BR12" s="234"/>
    </row>
    <row r="13" spans="1:70">
      <c r="A13" s="219" t="s">
        <v>470</v>
      </c>
      <c r="B13" s="106" t="s">
        <v>354</v>
      </c>
      <c r="C13" s="66" t="s">
        <v>175</v>
      </c>
      <c r="D13" s="284"/>
      <c r="E13" s="136" t="s">
        <v>176</v>
      </c>
      <c r="F13" s="295"/>
      <c r="G13" s="86" t="s">
        <v>187</v>
      </c>
      <c r="H13" s="85" t="s">
        <v>464</v>
      </c>
      <c r="I13" s="85" t="s">
        <v>184</v>
      </c>
      <c r="J13" s="86">
        <v>13</v>
      </c>
      <c r="K13" s="85" t="s">
        <v>181</v>
      </c>
      <c r="L13" s="84" t="s">
        <v>185</v>
      </c>
      <c r="M13" s="83" t="s">
        <v>465</v>
      </c>
      <c r="N13" s="83">
        <v>8.0499999999999989</v>
      </c>
      <c r="O13" s="83">
        <v>9.1199999999999992</v>
      </c>
      <c r="P13" s="10">
        <v>9.1199999999999992</v>
      </c>
      <c r="Q13" s="10">
        <v>9.1199999999999992</v>
      </c>
      <c r="R13" s="10">
        <v>9.1199999999999992</v>
      </c>
      <c r="S13" s="10">
        <v>9.1199999999999992</v>
      </c>
      <c r="T13" s="10">
        <v>9.1199999999999992</v>
      </c>
      <c r="U13" s="10">
        <v>9.1199999999999992</v>
      </c>
      <c r="V13" s="10">
        <v>9.1199999999999992</v>
      </c>
      <c r="W13" s="10">
        <v>9.1199999999999992</v>
      </c>
      <c r="X13" s="10">
        <v>9.1199999999999992</v>
      </c>
      <c r="Y13" s="10">
        <v>9.1199999999999992</v>
      </c>
      <c r="Z13" s="10">
        <v>9.1199999999999992</v>
      </c>
      <c r="AA13" s="81">
        <v>9.1199999999999992</v>
      </c>
      <c r="AB13" s="81">
        <v>1.07</v>
      </c>
      <c r="AC13" s="10">
        <v>1.07</v>
      </c>
      <c r="AD13" s="10">
        <v>1.07</v>
      </c>
      <c r="AE13" s="10">
        <v>1.07</v>
      </c>
      <c r="AF13" s="10">
        <v>1.07</v>
      </c>
      <c r="AG13" s="10">
        <v>1.07</v>
      </c>
      <c r="AH13" s="10">
        <v>1.07</v>
      </c>
      <c r="AI13" s="10">
        <v>1.07</v>
      </c>
      <c r="AJ13" s="10">
        <v>1.07</v>
      </c>
      <c r="AK13" s="10">
        <v>1.07</v>
      </c>
      <c r="AL13" s="10">
        <v>1.07</v>
      </c>
      <c r="AM13" s="10">
        <v>1.07</v>
      </c>
      <c r="AN13" s="149">
        <v>1.07</v>
      </c>
      <c r="AO13" s="5">
        <v>2920</v>
      </c>
      <c r="AP13" s="118">
        <f t="shared" si="1"/>
        <v>3124.4</v>
      </c>
      <c r="AQ13" s="5">
        <v>370</v>
      </c>
      <c r="AR13" s="118">
        <f t="shared" si="2"/>
        <v>395.90000000000003</v>
      </c>
      <c r="AS13" s="5">
        <v>5405</v>
      </c>
      <c r="AT13" s="127">
        <f t="shared" si="3"/>
        <v>5783.35</v>
      </c>
      <c r="AU13" s="5">
        <v>906</v>
      </c>
      <c r="AV13" s="118">
        <f t="shared" si="4"/>
        <v>969.42000000000007</v>
      </c>
      <c r="AW13" s="5">
        <v>474</v>
      </c>
      <c r="AX13" s="118">
        <f t="shared" si="5"/>
        <v>507.18</v>
      </c>
      <c r="AY13" s="5">
        <v>3676</v>
      </c>
      <c r="AZ13" s="127">
        <f t="shared" si="6"/>
        <v>3933.32</v>
      </c>
      <c r="BA13" s="105">
        <v>0</v>
      </c>
      <c r="BB13" s="118">
        <f t="shared" si="7"/>
        <v>0</v>
      </c>
      <c r="BC13" s="105">
        <v>0</v>
      </c>
      <c r="BD13" s="118">
        <f t="shared" si="8"/>
        <v>0</v>
      </c>
      <c r="BE13" s="5">
        <v>0</v>
      </c>
      <c r="BF13" s="127">
        <f t="shared" si="9"/>
        <v>0</v>
      </c>
      <c r="BG13" s="105">
        <v>0</v>
      </c>
      <c r="BH13" s="118">
        <f t="shared" si="10"/>
        <v>0</v>
      </c>
      <c r="BI13" s="5">
        <v>0</v>
      </c>
      <c r="BJ13" s="118">
        <f t="shared" si="11"/>
        <v>0</v>
      </c>
      <c r="BK13" s="5">
        <v>0</v>
      </c>
      <c r="BL13" s="127">
        <f t="shared" si="12"/>
        <v>0</v>
      </c>
      <c r="BM13" s="220" t="s">
        <v>471</v>
      </c>
      <c r="BO13" s="1" t="s">
        <v>455</v>
      </c>
      <c r="BP13" s="1" t="s">
        <v>472</v>
      </c>
      <c r="BQ13" s="233"/>
      <c r="BR13" s="234"/>
    </row>
    <row r="14" spans="1:70">
      <c r="A14" s="219" t="s">
        <v>451</v>
      </c>
      <c r="B14" s="106" t="s">
        <v>354</v>
      </c>
      <c r="C14" s="66" t="s">
        <v>175</v>
      </c>
      <c r="D14" s="284"/>
      <c r="E14" s="136" t="s">
        <v>176</v>
      </c>
      <c r="F14" s="295"/>
      <c r="G14" s="86" t="s">
        <v>187</v>
      </c>
      <c r="H14" s="85" t="s">
        <v>464</v>
      </c>
      <c r="I14" s="85" t="s">
        <v>184</v>
      </c>
      <c r="J14" s="86">
        <v>13</v>
      </c>
      <c r="K14" s="85" t="s">
        <v>181</v>
      </c>
      <c r="L14" s="84" t="s">
        <v>185</v>
      </c>
      <c r="M14" s="83" t="s">
        <v>465</v>
      </c>
      <c r="N14" s="83">
        <v>8.0499999999999989</v>
      </c>
      <c r="O14" s="83">
        <v>9.1199999999999992</v>
      </c>
      <c r="P14" s="10">
        <v>9.1199999999999992</v>
      </c>
      <c r="Q14" s="10">
        <v>9.1199999999999992</v>
      </c>
      <c r="R14" s="10">
        <v>9.1199999999999992</v>
      </c>
      <c r="S14" s="10">
        <v>9.1199999999999992</v>
      </c>
      <c r="T14" s="10">
        <v>9.1199999999999992</v>
      </c>
      <c r="U14" s="10">
        <v>9.1199999999999992</v>
      </c>
      <c r="V14" s="10">
        <v>9.1199999999999992</v>
      </c>
      <c r="W14" s="10">
        <v>9.1199999999999992</v>
      </c>
      <c r="X14" s="10">
        <v>9.1199999999999992</v>
      </c>
      <c r="Y14" s="10">
        <v>9.1199999999999992</v>
      </c>
      <c r="Z14" s="10">
        <v>9.1199999999999992</v>
      </c>
      <c r="AA14" s="81">
        <v>9.1199999999999992</v>
      </c>
      <c r="AB14" s="81">
        <v>1.07</v>
      </c>
      <c r="AC14" s="10">
        <v>1.07</v>
      </c>
      <c r="AD14" s="10">
        <v>1.07</v>
      </c>
      <c r="AE14" s="10">
        <v>1.07</v>
      </c>
      <c r="AF14" s="10">
        <v>1.07</v>
      </c>
      <c r="AG14" s="10">
        <v>1.07</v>
      </c>
      <c r="AH14" s="10">
        <v>1.07</v>
      </c>
      <c r="AI14" s="10">
        <v>1.07</v>
      </c>
      <c r="AJ14" s="10">
        <v>1.07</v>
      </c>
      <c r="AK14" s="10">
        <v>1.07</v>
      </c>
      <c r="AL14" s="10">
        <v>1.07</v>
      </c>
      <c r="AM14" s="10">
        <v>1.07</v>
      </c>
      <c r="AN14" s="149">
        <v>1.07</v>
      </c>
      <c r="AP14" s="118">
        <f t="shared" si="1"/>
        <v>0</v>
      </c>
      <c r="AR14" s="118">
        <f t="shared" si="2"/>
        <v>0</v>
      </c>
      <c r="AT14" s="127">
        <f t="shared" si="3"/>
        <v>0</v>
      </c>
      <c r="AU14" s="5"/>
      <c r="AV14" s="118">
        <f t="shared" si="4"/>
        <v>0</v>
      </c>
      <c r="AW14" s="5"/>
      <c r="AX14" s="118">
        <f t="shared" si="5"/>
        <v>0</v>
      </c>
      <c r="AY14" s="5"/>
      <c r="AZ14" s="127">
        <f t="shared" si="6"/>
        <v>0</v>
      </c>
      <c r="BA14" s="105">
        <v>679</v>
      </c>
      <c r="BB14" s="118">
        <f t="shared" si="7"/>
        <v>726.53000000000009</v>
      </c>
      <c r="BC14" s="105">
        <v>960</v>
      </c>
      <c r="BD14" s="118">
        <f t="shared" si="8"/>
        <v>1027.2</v>
      </c>
      <c r="BE14" s="5">
        <v>159</v>
      </c>
      <c r="BF14" s="127">
        <f t="shared" si="9"/>
        <v>170.13000000000002</v>
      </c>
      <c r="BG14" s="105">
        <v>120</v>
      </c>
      <c r="BH14" s="118">
        <f t="shared" si="10"/>
        <v>128.4</v>
      </c>
      <c r="BI14" s="5">
        <v>79</v>
      </c>
      <c r="BJ14" s="118">
        <f t="shared" si="11"/>
        <v>84.53</v>
      </c>
      <c r="BK14" s="5">
        <v>720</v>
      </c>
      <c r="BL14" s="127">
        <f t="shared" si="12"/>
        <v>770.40000000000009</v>
      </c>
      <c r="BM14" s="220" t="s">
        <v>471</v>
      </c>
      <c r="BO14" s="1" t="s">
        <v>455</v>
      </c>
      <c r="BP14" s="1" t="s">
        <v>473</v>
      </c>
      <c r="BQ14" s="233"/>
      <c r="BR14" s="234"/>
    </row>
    <row r="15" spans="1:70">
      <c r="A15" s="219" t="s">
        <v>451</v>
      </c>
      <c r="B15" s="106" t="s">
        <v>354</v>
      </c>
      <c r="C15" s="66" t="s">
        <v>175</v>
      </c>
      <c r="D15" s="284"/>
      <c r="E15" s="136" t="s">
        <v>176</v>
      </c>
      <c r="F15" s="295"/>
      <c r="G15" s="86" t="s">
        <v>187</v>
      </c>
      <c r="H15" s="85" t="s">
        <v>464</v>
      </c>
      <c r="I15" s="85" t="s">
        <v>184</v>
      </c>
      <c r="J15" s="86">
        <v>13</v>
      </c>
      <c r="K15" s="85" t="s">
        <v>181</v>
      </c>
      <c r="L15" s="84" t="s">
        <v>185</v>
      </c>
      <c r="M15" s="83" t="s">
        <v>465</v>
      </c>
      <c r="N15" s="83">
        <v>8.0499999999999989</v>
      </c>
      <c r="O15" s="83">
        <v>9.1199999999999992</v>
      </c>
      <c r="P15" s="10">
        <v>9.1199999999999992</v>
      </c>
      <c r="Q15" s="10">
        <v>9.1199999999999992</v>
      </c>
      <c r="R15" s="10">
        <v>9.1199999999999992</v>
      </c>
      <c r="S15" s="10">
        <v>9.1199999999999992</v>
      </c>
      <c r="T15" s="10">
        <v>9.1199999999999992</v>
      </c>
      <c r="U15" s="10">
        <v>9.1199999999999992</v>
      </c>
      <c r="V15" s="10">
        <v>9.1199999999999992</v>
      </c>
      <c r="W15" s="10">
        <v>9.1199999999999992</v>
      </c>
      <c r="X15" s="10">
        <v>9.1199999999999992</v>
      </c>
      <c r="Y15" s="10">
        <v>9.1199999999999992</v>
      </c>
      <c r="Z15" s="10">
        <v>9.1199999999999992</v>
      </c>
      <c r="AA15" s="81">
        <v>9.1199999999999992</v>
      </c>
      <c r="AB15" s="81">
        <v>1.07</v>
      </c>
      <c r="AC15" s="10">
        <v>1.07</v>
      </c>
      <c r="AD15" s="10">
        <v>1.07</v>
      </c>
      <c r="AE15" s="10">
        <v>1.07</v>
      </c>
      <c r="AF15" s="10">
        <v>1.07</v>
      </c>
      <c r="AG15" s="10">
        <v>1.07</v>
      </c>
      <c r="AH15" s="10">
        <v>1.07</v>
      </c>
      <c r="AI15" s="10">
        <v>1.07</v>
      </c>
      <c r="AJ15" s="10">
        <v>1.07</v>
      </c>
      <c r="AK15" s="10">
        <v>1.07</v>
      </c>
      <c r="AL15" s="10">
        <v>1.07</v>
      </c>
      <c r="AM15" s="10">
        <v>1.07</v>
      </c>
      <c r="AN15" s="149">
        <v>1.07</v>
      </c>
      <c r="AO15" s="5">
        <v>2080</v>
      </c>
      <c r="AP15" s="118">
        <f t="shared" si="1"/>
        <v>2225.6</v>
      </c>
      <c r="AQ15" s="5">
        <v>106</v>
      </c>
      <c r="AR15" s="118">
        <f t="shared" si="2"/>
        <v>113.42</v>
      </c>
      <c r="AS15" s="5">
        <v>316</v>
      </c>
      <c r="AT15" s="127">
        <f t="shared" si="3"/>
        <v>338.12</v>
      </c>
      <c r="AU15" s="5">
        <v>2200</v>
      </c>
      <c r="AV15" s="118">
        <f t="shared" si="4"/>
        <v>2354</v>
      </c>
      <c r="AW15" s="5">
        <v>160</v>
      </c>
      <c r="AX15" s="118">
        <f t="shared" si="5"/>
        <v>171.20000000000002</v>
      </c>
      <c r="AY15" s="5">
        <v>1638</v>
      </c>
      <c r="AZ15" s="127">
        <f t="shared" si="6"/>
        <v>1752.66</v>
      </c>
      <c r="BA15" s="105">
        <v>0</v>
      </c>
      <c r="BB15" s="118">
        <f t="shared" si="7"/>
        <v>0</v>
      </c>
      <c r="BC15" s="105">
        <v>0</v>
      </c>
      <c r="BD15" s="118">
        <f t="shared" si="8"/>
        <v>0</v>
      </c>
      <c r="BE15" s="5">
        <v>0</v>
      </c>
      <c r="BF15" s="127">
        <f t="shared" si="9"/>
        <v>0</v>
      </c>
      <c r="BG15" s="105">
        <v>0</v>
      </c>
      <c r="BH15" s="118">
        <f t="shared" si="10"/>
        <v>0</v>
      </c>
      <c r="BI15" s="5">
        <v>0</v>
      </c>
      <c r="BJ15" s="118">
        <f t="shared" si="11"/>
        <v>0</v>
      </c>
      <c r="BK15" s="5">
        <v>0</v>
      </c>
      <c r="BL15" s="127">
        <f t="shared" si="12"/>
        <v>0</v>
      </c>
      <c r="BM15" s="220" t="s">
        <v>474</v>
      </c>
      <c r="BO15" s="1" t="s">
        <v>455</v>
      </c>
      <c r="BP15" s="1" t="s">
        <v>472</v>
      </c>
      <c r="BQ15" s="233"/>
      <c r="BR15" s="234"/>
    </row>
    <row r="16" spans="1:70">
      <c r="A16" s="219" t="s">
        <v>451</v>
      </c>
      <c r="B16" s="106" t="s">
        <v>354</v>
      </c>
      <c r="C16" s="66" t="s">
        <v>175</v>
      </c>
      <c r="D16" s="284"/>
      <c r="E16" s="136" t="s">
        <v>176</v>
      </c>
      <c r="F16" s="295"/>
      <c r="G16" s="86" t="s">
        <v>187</v>
      </c>
      <c r="H16" s="85" t="s">
        <v>464</v>
      </c>
      <c r="I16" s="85" t="s">
        <v>184</v>
      </c>
      <c r="J16" s="86">
        <v>13</v>
      </c>
      <c r="K16" s="85" t="s">
        <v>181</v>
      </c>
      <c r="L16" s="84" t="s">
        <v>185</v>
      </c>
      <c r="M16" s="83" t="s">
        <v>465</v>
      </c>
      <c r="N16" s="83">
        <v>8.0499999999999989</v>
      </c>
      <c r="O16" s="83">
        <v>9.1199999999999992</v>
      </c>
      <c r="P16" s="10">
        <v>9.1199999999999992</v>
      </c>
      <c r="Q16" s="10">
        <v>9.1199999999999992</v>
      </c>
      <c r="R16" s="10">
        <v>9.1199999999999992</v>
      </c>
      <c r="S16" s="10">
        <v>9.1199999999999992</v>
      </c>
      <c r="T16" s="10">
        <v>9.1199999999999992</v>
      </c>
      <c r="U16" s="10">
        <v>9.1199999999999992</v>
      </c>
      <c r="V16" s="10">
        <v>9.1199999999999992</v>
      </c>
      <c r="W16" s="10">
        <v>9.1199999999999992</v>
      </c>
      <c r="X16" s="10">
        <v>9.1199999999999992</v>
      </c>
      <c r="Y16" s="10">
        <v>9.1199999999999992</v>
      </c>
      <c r="Z16" s="10">
        <v>9.1199999999999992</v>
      </c>
      <c r="AA16" s="81">
        <v>9.1199999999999992</v>
      </c>
      <c r="AB16" s="81">
        <v>1.07</v>
      </c>
      <c r="AC16" s="10">
        <v>1.07</v>
      </c>
      <c r="AD16" s="10">
        <v>1.07</v>
      </c>
      <c r="AE16" s="10">
        <v>1.07</v>
      </c>
      <c r="AF16" s="10">
        <v>1.07</v>
      </c>
      <c r="AG16" s="10">
        <v>1.07</v>
      </c>
      <c r="AH16" s="10">
        <v>1.07</v>
      </c>
      <c r="AI16" s="10">
        <v>1.07</v>
      </c>
      <c r="AJ16" s="10">
        <v>1.07</v>
      </c>
      <c r="AK16" s="10">
        <v>1.07</v>
      </c>
      <c r="AL16" s="10">
        <v>1.07</v>
      </c>
      <c r="AM16" s="10">
        <v>1.07</v>
      </c>
      <c r="AN16" s="149">
        <v>1.07</v>
      </c>
      <c r="AP16" s="118">
        <f t="shared" si="1"/>
        <v>0</v>
      </c>
      <c r="AR16" s="118">
        <f t="shared" si="2"/>
        <v>0</v>
      </c>
      <c r="AT16" s="127">
        <f t="shared" si="3"/>
        <v>0</v>
      </c>
      <c r="AU16" s="5"/>
      <c r="AV16" s="118">
        <f t="shared" si="4"/>
        <v>0</v>
      </c>
      <c r="AW16" s="5"/>
      <c r="AX16" s="118">
        <f t="shared" si="5"/>
        <v>0</v>
      </c>
      <c r="AY16" s="5"/>
      <c r="AZ16" s="127">
        <f t="shared" si="6"/>
        <v>0</v>
      </c>
      <c r="BA16" s="105">
        <v>1157</v>
      </c>
      <c r="BB16" s="118">
        <f t="shared" si="7"/>
        <v>1237.99</v>
      </c>
      <c r="BC16" s="105">
        <v>0</v>
      </c>
      <c r="BD16" s="118">
        <f t="shared" si="8"/>
        <v>0</v>
      </c>
      <c r="BE16" s="5">
        <v>1119</v>
      </c>
      <c r="BF16" s="127">
        <f t="shared" si="9"/>
        <v>1197.3300000000002</v>
      </c>
      <c r="BG16" s="105">
        <v>120</v>
      </c>
      <c r="BH16" s="118">
        <f t="shared" si="10"/>
        <v>128.4</v>
      </c>
      <c r="BI16" s="5">
        <v>319</v>
      </c>
      <c r="BJ16" s="118">
        <f t="shared" si="11"/>
        <v>341.33000000000004</v>
      </c>
      <c r="BK16" s="5">
        <v>0</v>
      </c>
      <c r="BL16" s="127">
        <f t="shared" si="12"/>
        <v>0</v>
      </c>
      <c r="BM16" s="220" t="s">
        <v>474</v>
      </c>
      <c r="BO16" s="1" t="s">
        <v>455</v>
      </c>
      <c r="BP16" s="1" t="s">
        <v>473</v>
      </c>
      <c r="BQ16" s="233"/>
      <c r="BR16" s="234"/>
    </row>
    <row r="17" spans="1:70">
      <c r="A17" s="219" t="s">
        <v>451</v>
      </c>
      <c r="B17" s="106" t="s">
        <v>354</v>
      </c>
      <c r="C17" s="66" t="s">
        <v>175</v>
      </c>
      <c r="D17" s="284"/>
      <c r="E17" s="136" t="s">
        <v>176</v>
      </c>
      <c r="F17" s="295"/>
      <c r="G17" s="86" t="s">
        <v>187</v>
      </c>
      <c r="H17" s="85" t="s">
        <v>464</v>
      </c>
      <c r="I17" s="85" t="s">
        <v>184</v>
      </c>
      <c r="J17" s="86">
        <v>13</v>
      </c>
      <c r="K17" s="85" t="s">
        <v>181</v>
      </c>
      <c r="L17" s="84" t="s">
        <v>185</v>
      </c>
      <c r="M17" s="83" t="s">
        <v>465</v>
      </c>
      <c r="N17" s="83">
        <v>8.0499999999999989</v>
      </c>
      <c r="O17" s="83">
        <v>9.1199999999999992</v>
      </c>
      <c r="P17" s="10">
        <v>9.1199999999999992</v>
      </c>
      <c r="Q17" s="10">
        <v>9.1199999999999992</v>
      </c>
      <c r="R17" s="10">
        <v>9.1199999999999992</v>
      </c>
      <c r="S17" s="10">
        <v>9.1199999999999992</v>
      </c>
      <c r="T17" s="10">
        <v>9.1199999999999992</v>
      </c>
      <c r="U17" s="10">
        <v>9.1199999999999992</v>
      </c>
      <c r="V17" s="10">
        <v>9.1199999999999992</v>
      </c>
      <c r="W17" s="10">
        <v>9.1199999999999992</v>
      </c>
      <c r="X17" s="10">
        <v>9.1199999999999992</v>
      </c>
      <c r="Y17" s="10">
        <v>9.1199999999999992</v>
      </c>
      <c r="Z17" s="10">
        <v>9.1199999999999992</v>
      </c>
      <c r="AA17" s="81">
        <v>9.1199999999999992</v>
      </c>
      <c r="AB17" s="81">
        <v>1.07</v>
      </c>
      <c r="AC17" s="10">
        <v>1.07</v>
      </c>
      <c r="AD17" s="10">
        <v>1.07</v>
      </c>
      <c r="AE17" s="10">
        <v>1.07</v>
      </c>
      <c r="AF17" s="10">
        <v>1.07</v>
      </c>
      <c r="AG17" s="10">
        <v>1.07</v>
      </c>
      <c r="AH17" s="10">
        <v>1.07</v>
      </c>
      <c r="AI17" s="10">
        <v>1.07</v>
      </c>
      <c r="AJ17" s="10">
        <v>1.07</v>
      </c>
      <c r="AK17" s="10">
        <v>1.07</v>
      </c>
      <c r="AL17" s="10">
        <v>1.07</v>
      </c>
      <c r="AM17" s="10">
        <v>1.07</v>
      </c>
      <c r="AN17" s="149">
        <v>1.07</v>
      </c>
      <c r="AO17" s="5">
        <v>80</v>
      </c>
      <c r="AP17" s="118">
        <f t="shared" si="1"/>
        <v>85.600000000000009</v>
      </c>
      <c r="AQ17" s="5">
        <v>120</v>
      </c>
      <c r="AR17" s="118">
        <f t="shared" si="2"/>
        <v>128.4</v>
      </c>
      <c r="AS17" s="5">
        <v>40</v>
      </c>
      <c r="AT17" s="127">
        <f t="shared" si="3"/>
        <v>42.800000000000004</v>
      </c>
      <c r="AU17" s="5">
        <v>0</v>
      </c>
      <c r="AV17" s="118">
        <f t="shared" si="4"/>
        <v>0</v>
      </c>
      <c r="AW17" s="5">
        <v>0</v>
      </c>
      <c r="AX17" s="118">
        <f t="shared" si="5"/>
        <v>0</v>
      </c>
      <c r="AY17" s="5">
        <v>0</v>
      </c>
      <c r="AZ17" s="127">
        <f t="shared" si="6"/>
        <v>0</v>
      </c>
      <c r="BA17" s="105">
        <v>0</v>
      </c>
      <c r="BB17" s="118">
        <f t="shared" si="7"/>
        <v>0</v>
      </c>
      <c r="BC17" s="105">
        <v>0</v>
      </c>
      <c r="BD17" s="118">
        <f t="shared" si="8"/>
        <v>0</v>
      </c>
      <c r="BE17" s="5">
        <v>0</v>
      </c>
      <c r="BF17" s="127">
        <f t="shared" si="9"/>
        <v>0</v>
      </c>
      <c r="BG17" s="105">
        <v>0</v>
      </c>
      <c r="BH17" s="118">
        <f t="shared" si="10"/>
        <v>0</v>
      </c>
      <c r="BI17" s="5">
        <v>0</v>
      </c>
      <c r="BJ17" s="118">
        <f t="shared" si="11"/>
        <v>0</v>
      </c>
      <c r="BK17" s="5">
        <v>0</v>
      </c>
      <c r="BL17" s="127">
        <f t="shared" si="12"/>
        <v>0</v>
      </c>
      <c r="BM17" s="220" t="s">
        <v>475</v>
      </c>
      <c r="BO17" s="1" t="s">
        <v>455</v>
      </c>
      <c r="BP17" s="1" t="s">
        <v>476</v>
      </c>
      <c r="BQ17" s="233"/>
      <c r="BR17" s="234"/>
    </row>
    <row r="18" spans="1:70">
      <c r="A18" s="219" t="s">
        <v>451</v>
      </c>
      <c r="B18" s="106" t="s">
        <v>354</v>
      </c>
      <c r="C18" s="66" t="s">
        <v>175</v>
      </c>
      <c r="D18" s="284"/>
      <c r="E18" s="136" t="s">
        <v>176</v>
      </c>
      <c r="F18" s="295"/>
      <c r="G18" s="86" t="s">
        <v>187</v>
      </c>
      <c r="H18" s="85" t="s">
        <v>464</v>
      </c>
      <c r="I18" s="85" t="s">
        <v>184</v>
      </c>
      <c r="J18" s="86">
        <v>13</v>
      </c>
      <c r="K18" s="85" t="s">
        <v>181</v>
      </c>
      <c r="L18" s="84" t="s">
        <v>185</v>
      </c>
      <c r="M18" s="83" t="s">
        <v>465</v>
      </c>
      <c r="N18" s="83">
        <v>8.0499999999999989</v>
      </c>
      <c r="O18" s="83">
        <v>9.1199999999999992</v>
      </c>
      <c r="P18" s="10">
        <v>9.1199999999999992</v>
      </c>
      <c r="Q18" s="10">
        <v>9.1199999999999992</v>
      </c>
      <c r="R18" s="10">
        <v>9.1199999999999992</v>
      </c>
      <c r="S18" s="10">
        <v>9.1199999999999992</v>
      </c>
      <c r="T18" s="10">
        <v>9.1199999999999992</v>
      </c>
      <c r="U18" s="10">
        <v>9.1199999999999992</v>
      </c>
      <c r="V18" s="10">
        <v>9.1199999999999992</v>
      </c>
      <c r="W18" s="10">
        <v>9.1199999999999992</v>
      </c>
      <c r="X18" s="10">
        <v>9.1199999999999992</v>
      </c>
      <c r="Y18" s="10">
        <v>9.1199999999999992</v>
      </c>
      <c r="Z18" s="10">
        <v>9.1199999999999992</v>
      </c>
      <c r="AA18" s="81">
        <v>9.1199999999999992</v>
      </c>
      <c r="AB18" s="81">
        <v>1.07</v>
      </c>
      <c r="AC18" s="10">
        <v>1.07</v>
      </c>
      <c r="AD18" s="10">
        <v>1.07</v>
      </c>
      <c r="AE18" s="10">
        <v>1.07</v>
      </c>
      <c r="AF18" s="10">
        <v>1.07</v>
      </c>
      <c r="AG18" s="10">
        <v>1.07</v>
      </c>
      <c r="AH18" s="10">
        <v>1.07</v>
      </c>
      <c r="AI18" s="10">
        <v>1.07</v>
      </c>
      <c r="AJ18" s="10">
        <v>1.07</v>
      </c>
      <c r="AK18" s="10">
        <v>1.07</v>
      </c>
      <c r="AL18" s="10">
        <v>1.07</v>
      </c>
      <c r="AM18" s="10">
        <v>1.07</v>
      </c>
      <c r="AN18" s="149">
        <v>1.07</v>
      </c>
      <c r="AP18" s="118">
        <f t="shared" si="1"/>
        <v>0</v>
      </c>
      <c r="AR18" s="118">
        <f t="shared" si="2"/>
        <v>0</v>
      </c>
      <c r="AT18" s="127">
        <f t="shared" si="3"/>
        <v>0</v>
      </c>
      <c r="AU18" s="5"/>
      <c r="AV18" s="118">
        <f t="shared" si="4"/>
        <v>0</v>
      </c>
      <c r="AW18" s="5"/>
      <c r="AX18" s="118">
        <f t="shared" si="5"/>
        <v>0</v>
      </c>
      <c r="AY18" s="5"/>
      <c r="AZ18" s="127">
        <f t="shared" si="6"/>
        <v>0</v>
      </c>
      <c r="BA18" s="105">
        <v>0</v>
      </c>
      <c r="BB18" s="118">
        <f t="shared" si="7"/>
        <v>0</v>
      </c>
      <c r="BC18" s="105">
        <v>0</v>
      </c>
      <c r="BD18" s="118">
        <f t="shared" si="8"/>
        <v>0</v>
      </c>
      <c r="BE18" s="5">
        <v>0</v>
      </c>
      <c r="BF18" s="127">
        <f t="shared" si="9"/>
        <v>0</v>
      </c>
      <c r="BG18" s="105">
        <v>0</v>
      </c>
      <c r="BH18" s="118">
        <f t="shared" si="10"/>
        <v>0</v>
      </c>
      <c r="BI18" s="5">
        <v>0</v>
      </c>
      <c r="BJ18" s="118">
        <f t="shared" si="11"/>
        <v>0</v>
      </c>
      <c r="BK18" s="5">
        <v>79</v>
      </c>
      <c r="BL18" s="127">
        <f t="shared" si="12"/>
        <v>84.53</v>
      </c>
      <c r="BM18" s="220" t="s">
        <v>475</v>
      </c>
      <c r="BO18" s="1" t="s">
        <v>455</v>
      </c>
      <c r="BP18" s="1" t="s">
        <v>477</v>
      </c>
      <c r="BQ18" s="233"/>
      <c r="BR18" s="234"/>
    </row>
    <row r="19" spans="1:70">
      <c r="A19" s="219" t="s">
        <v>451</v>
      </c>
      <c r="B19" s="106" t="s">
        <v>354</v>
      </c>
      <c r="C19" s="66" t="s">
        <v>175</v>
      </c>
      <c r="D19" s="284"/>
      <c r="E19" s="136" t="s">
        <v>176</v>
      </c>
      <c r="F19" s="295"/>
      <c r="G19" s="86" t="s">
        <v>187</v>
      </c>
      <c r="H19" s="85" t="s">
        <v>464</v>
      </c>
      <c r="I19" s="85" t="s">
        <v>184</v>
      </c>
      <c r="J19" s="86">
        <v>13</v>
      </c>
      <c r="K19" s="85" t="s">
        <v>181</v>
      </c>
      <c r="L19" s="84" t="s">
        <v>185</v>
      </c>
      <c r="M19" s="83" t="s">
        <v>465</v>
      </c>
      <c r="N19" s="83">
        <v>8.0499999999999989</v>
      </c>
      <c r="O19" s="83">
        <v>9.1199999999999992</v>
      </c>
      <c r="P19" s="10">
        <v>9.1199999999999992</v>
      </c>
      <c r="Q19" s="10">
        <v>9.1199999999999992</v>
      </c>
      <c r="R19" s="10">
        <v>9.1199999999999992</v>
      </c>
      <c r="S19" s="10">
        <v>9.1199999999999992</v>
      </c>
      <c r="T19" s="10">
        <v>9.1199999999999992</v>
      </c>
      <c r="U19" s="10">
        <v>9.1199999999999992</v>
      </c>
      <c r="V19" s="10">
        <v>9.1199999999999992</v>
      </c>
      <c r="W19" s="10">
        <v>9.1199999999999992</v>
      </c>
      <c r="X19" s="10">
        <v>9.1199999999999992</v>
      </c>
      <c r="Y19" s="10">
        <v>9.1199999999999992</v>
      </c>
      <c r="Z19" s="10">
        <v>9.1199999999999992</v>
      </c>
      <c r="AA19" s="81">
        <v>9.1199999999999992</v>
      </c>
      <c r="AB19" s="81">
        <v>1.07</v>
      </c>
      <c r="AC19" s="10">
        <v>1.07</v>
      </c>
      <c r="AD19" s="10">
        <v>1.07</v>
      </c>
      <c r="AE19" s="10">
        <v>1.07</v>
      </c>
      <c r="AF19" s="10">
        <v>1.07</v>
      </c>
      <c r="AG19" s="10">
        <v>1.07</v>
      </c>
      <c r="AH19" s="10">
        <v>1.07</v>
      </c>
      <c r="AI19" s="10">
        <v>1.07</v>
      </c>
      <c r="AJ19" s="10">
        <v>1.07</v>
      </c>
      <c r="AK19" s="10">
        <v>1.07</v>
      </c>
      <c r="AL19" s="10">
        <v>1.07</v>
      </c>
      <c r="AM19" s="10">
        <v>1.07</v>
      </c>
      <c r="AN19" s="149">
        <v>1.07</v>
      </c>
      <c r="AO19" s="5">
        <v>40</v>
      </c>
      <c r="AP19" s="118">
        <f t="shared" si="1"/>
        <v>42.800000000000004</v>
      </c>
      <c r="AQ19" s="5">
        <v>0</v>
      </c>
      <c r="AR19" s="118">
        <f t="shared" si="2"/>
        <v>0</v>
      </c>
      <c r="AS19" s="5">
        <v>39</v>
      </c>
      <c r="AT19" s="127">
        <f t="shared" si="3"/>
        <v>41.730000000000004</v>
      </c>
      <c r="AU19" s="5">
        <v>0</v>
      </c>
      <c r="AV19" s="118">
        <f t="shared" si="4"/>
        <v>0</v>
      </c>
      <c r="AW19" s="5">
        <v>0</v>
      </c>
      <c r="AX19" s="118">
        <f t="shared" si="5"/>
        <v>0</v>
      </c>
      <c r="AY19" s="5">
        <v>0</v>
      </c>
      <c r="AZ19" s="127">
        <f t="shared" si="6"/>
        <v>0</v>
      </c>
      <c r="BA19" s="105">
        <v>0</v>
      </c>
      <c r="BB19" s="118">
        <f t="shared" si="7"/>
        <v>0</v>
      </c>
      <c r="BC19" s="105">
        <v>0</v>
      </c>
      <c r="BD19" s="118">
        <f t="shared" si="8"/>
        <v>0</v>
      </c>
      <c r="BE19" s="5">
        <v>0</v>
      </c>
      <c r="BF19" s="127">
        <f t="shared" si="9"/>
        <v>0</v>
      </c>
      <c r="BG19" s="105">
        <v>0</v>
      </c>
      <c r="BH19" s="118">
        <f t="shared" si="10"/>
        <v>0</v>
      </c>
      <c r="BI19" s="5">
        <v>0</v>
      </c>
      <c r="BJ19" s="118">
        <f t="shared" si="11"/>
        <v>0</v>
      </c>
      <c r="BK19" s="5">
        <v>0</v>
      </c>
      <c r="BL19" s="127">
        <f t="shared" si="12"/>
        <v>0</v>
      </c>
      <c r="BM19" s="220" t="s">
        <v>478</v>
      </c>
      <c r="BO19" s="1" t="s">
        <v>455</v>
      </c>
      <c r="BP19" s="1" t="s">
        <v>476</v>
      </c>
      <c r="BQ19" s="233"/>
      <c r="BR19" s="234"/>
    </row>
    <row r="20" spans="1:70">
      <c r="A20" s="219" t="s">
        <v>451</v>
      </c>
      <c r="B20" s="106" t="s">
        <v>354</v>
      </c>
      <c r="C20" s="66" t="s">
        <v>175</v>
      </c>
      <c r="D20" s="284"/>
      <c r="E20" s="136" t="s">
        <v>176</v>
      </c>
      <c r="F20" s="295"/>
      <c r="G20" s="86" t="s">
        <v>187</v>
      </c>
      <c r="H20" s="85" t="s">
        <v>479</v>
      </c>
      <c r="I20" s="85" t="s">
        <v>180</v>
      </c>
      <c r="J20" s="86" t="s">
        <v>191</v>
      </c>
      <c r="K20" s="85" t="s">
        <v>181</v>
      </c>
      <c r="L20" s="84" t="s">
        <v>185</v>
      </c>
      <c r="M20" s="83" t="s">
        <v>465</v>
      </c>
      <c r="N20" s="83">
        <v>3.62</v>
      </c>
      <c r="O20" s="83">
        <v>4.07</v>
      </c>
      <c r="P20" s="10">
        <v>4.07</v>
      </c>
      <c r="Q20" s="10">
        <v>4.07</v>
      </c>
      <c r="R20" s="10">
        <v>4.07</v>
      </c>
      <c r="S20" s="10">
        <v>4.07</v>
      </c>
      <c r="T20" s="10">
        <v>4.07</v>
      </c>
      <c r="U20" s="10">
        <v>4.07</v>
      </c>
      <c r="V20" s="10">
        <v>4.07</v>
      </c>
      <c r="W20" s="10">
        <v>4.07</v>
      </c>
      <c r="X20" s="10">
        <v>4.07</v>
      </c>
      <c r="Y20" s="10">
        <v>4.07</v>
      </c>
      <c r="Z20" s="10">
        <v>4.07</v>
      </c>
      <c r="AA20" s="81">
        <v>4.07</v>
      </c>
      <c r="AB20" s="81">
        <v>0.45</v>
      </c>
      <c r="AC20" s="10">
        <v>0.45</v>
      </c>
      <c r="AD20" s="10">
        <v>0.45</v>
      </c>
      <c r="AE20" s="10">
        <v>0.45</v>
      </c>
      <c r="AF20" s="10">
        <v>0.45</v>
      </c>
      <c r="AG20" s="10">
        <v>0.45</v>
      </c>
      <c r="AH20" s="10">
        <v>0.45</v>
      </c>
      <c r="AI20" s="10">
        <v>0.45</v>
      </c>
      <c r="AJ20" s="10">
        <v>0.45</v>
      </c>
      <c r="AK20" s="10">
        <v>0.45</v>
      </c>
      <c r="AL20" s="10">
        <v>0.45</v>
      </c>
      <c r="AM20" s="10">
        <v>0.45</v>
      </c>
      <c r="AN20" s="149">
        <v>0.45</v>
      </c>
      <c r="AO20" s="5">
        <v>31402</v>
      </c>
      <c r="AP20" s="118">
        <f t="shared" si="1"/>
        <v>14130.9</v>
      </c>
      <c r="AQ20" s="5">
        <v>27144</v>
      </c>
      <c r="AR20" s="118">
        <f t="shared" si="2"/>
        <v>12214.800000000001</v>
      </c>
      <c r="AS20" s="5">
        <v>8950</v>
      </c>
      <c r="AT20" s="127">
        <f t="shared" si="3"/>
        <v>4027.5</v>
      </c>
      <c r="AU20" s="5">
        <v>14446</v>
      </c>
      <c r="AV20" s="118">
        <f t="shared" si="4"/>
        <v>6500.7</v>
      </c>
      <c r="AW20" s="5">
        <v>18963</v>
      </c>
      <c r="AX20" s="118">
        <f t="shared" si="5"/>
        <v>8533.35</v>
      </c>
      <c r="AY20" s="5">
        <v>33019</v>
      </c>
      <c r="AZ20" s="127">
        <f t="shared" si="6"/>
        <v>14858.550000000001</v>
      </c>
      <c r="BA20" s="105">
        <v>0</v>
      </c>
      <c r="BB20" s="118">
        <f t="shared" si="7"/>
        <v>0</v>
      </c>
      <c r="BC20" s="105">
        <v>0</v>
      </c>
      <c r="BD20" s="118">
        <f t="shared" si="8"/>
        <v>0</v>
      </c>
      <c r="BE20" s="5">
        <v>0</v>
      </c>
      <c r="BF20" s="127">
        <f t="shared" si="9"/>
        <v>0</v>
      </c>
      <c r="BG20" s="105">
        <v>0</v>
      </c>
      <c r="BH20" s="118">
        <f t="shared" si="10"/>
        <v>0</v>
      </c>
      <c r="BI20" s="5">
        <v>0</v>
      </c>
      <c r="BJ20" s="118">
        <f t="shared" si="11"/>
        <v>0</v>
      </c>
      <c r="BK20" s="5">
        <v>0</v>
      </c>
      <c r="BL20" s="127">
        <f t="shared" si="12"/>
        <v>0</v>
      </c>
      <c r="BM20" s="220" t="s">
        <v>480</v>
      </c>
      <c r="BO20" s="1" t="s">
        <v>455</v>
      </c>
      <c r="BP20" s="1" t="s">
        <v>481</v>
      </c>
      <c r="BQ20" s="233"/>
      <c r="BR20" s="234"/>
    </row>
    <row r="21" spans="1:70">
      <c r="A21" s="219" t="s">
        <v>451</v>
      </c>
      <c r="B21" s="106" t="s">
        <v>354</v>
      </c>
      <c r="C21" s="66" t="s">
        <v>175</v>
      </c>
      <c r="D21" s="284"/>
      <c r="E21" s="136" t="s">
        <v>176</v>
      </c>
      <c r="F21" s="295"/>
      <c r="G21" s="86" t="s">
        <v>187</v>
      </c>
      <c r="H21" s="85" t="s">
        <v>479</v>
      </c>
      <c r="I21" s="85" t="s">
        <v>180</v>
      </c>
      <c r="J21" s="86" t="s">
        <v>191</v>
      </c>
      <c r="K21" s="85" t="s">
        <v>181</v>
      </c>
      <c r="L21" s="84" t="s">
        <v>185</v>
      </c>
      <c r="M21" s="83" t="s">
        <v>465</v>
      </c>
      <c r="N21" s="83">
        <v>3.62</v>
      </c>
      <c r="O21" s="83">
        <v>4.07</v>
      </c>
      <c r="P21" s="10">
        <v>4.07</v>
      </c>
      <c r="Q21" s="10">
        <v>4.07</v>
      </c>
      <c r="R21" s="10">
        <v>4.07</v>
      </c>
      <c r="S21" s="10">
        <v>4.07</v>
      </c>
      <c r="T21" s="10">
        <v>4.07</v>
      </c>
      <c r="U21" s="10">
        <v>4.07</v>
      </c>
      <c r="V21" s="10">
        <v>4.07</v>
      </c>
      <c r="W21" s="10">
        <v>4.07</v>
      </c>
      <c r="X21" s="10">
        <v>4.07</v>
      </c>
      <c r="Y21" s="10">
        <v>4.07</v>
      </c>
      <c r="Z21" s="10">
        <v>4.07</v>
      </c>
      <c r="AA21" s="81">
        <v>4.07</v>
      </c>
      <c r="AB21" s="81">
        <v>0.45</v>
      </c>
      <c r="AC21" s="10">
        <v>0.45</v>
      </c>
      <c r="AD21" s="10">
        <v>0.45</v>
      </c>
      <c r="AE21" s="10">
        <v>0.45</v>
      </c>
      <c r="AF21" s="10">
        <v>0.45</v>
      </c>
      <c r="AG21" s="10">
        <v>0.45</v>
      </c>
      <c r="AH21" s="10">
        <v>0.45</v>
      </c>
      <c r="AI21" s="10">
        <v>0.45</v>
      </c>
      <c r="AJ21" s="10">
        <v>0.45</v>
      </c>
      <c r="AK21" s="10">
        <v>0.45</v>
      </c>
      <c r="AL21" s="10">
        <v>0.45</v>
      </c>
      <c r="AM21" s="10">
        <v>0.45</v>
      </c>
      <c r="AN21" s="149">
        <v>0.45</v>
      </c>
      <c r="AP21" s="118">
        <f t="shared" si="1"/>
        <v>0</v>
      </c>
      <c r="AR21" s="118">
        <f t="shared" si="2"/>
        <v>0</v>
      </c>
      <c r="AT21" s="127">
        <f t="shared" si="3"/>
        <v>0</v>
      </c>
      <c r="AU21" s="5"/>
      <c r="AV21" s="118">
        <f t="shared" si="4"/>
        <v>0</v>
      </c>
      <c r="AW21" s="5"/>
      <c r="AX21" s="118">
        <f t="shared" si="5"/>
        <v>0</v>
      </c>
      <c r="AY21" s="5"/>
      <c r="AZ21" s="127">
        <f t="shared" si="6"/>
        <v>0</v>
      </c>
      <c r="BA21" s="105">
        <v>0</v>
      </c>
      <c r="BB21" s="118">
        <f t="shared" si="7"/>
        <v>0</v>
      </c>
      <c r="BC21" s="105">
        <v>0</v>
      </c>
      <c r="BD21" s="118">
        <f t="shared" si="8"/>
        <v>0</v>
      </c>
      <c r="BE21" s="5">
        <v>0</v>
      </c>
      <c r="BF21" s="127">
        <f t="shared" si="9"/>
        <v>0</v>
      </c>
      <c r="BG21" s="105">
        <v>0</v>
      </c>
      <c r="BH21" s="118">
        <f t="shared" si="10"/>
        <v>0</v>
      </c>
      <c r="BI21" s="5">
        <v>0</v>
      </c>
      <c r="BJ21" s="118">
        <f t="shared" si="11"/>
        <v>0</v>
      </c>
      <c r="BK21" s="5">
        <v>0</v>
      </c>
      <c r="BL21" s="127">
        <f t="shared" si="12"/>
        <v>0</v>
      </c>
      <c r="BM21" s="220" t="s">
        <v>480</v>
      </c>
      <c r="BO21" s="1" t="s">
        <v>455</v>
      </c>
      <c r="BP21" s="1" t="s">
        <v>482</v>
      </c>
      <c r="BQ21" s="233"/>
      <c r="BR21" s="234"/>
    </row>
    <row r="22" spans="1:70">
      <c r="A22" s="219" t="s">
        <v>451</v>
      </c>
      <c r="B22" s="106" t="s">
        <v>354</v>
      </c>
      <c r="C22" s="66" t="s">
        <v>175</v>
      </c>
      <c r="D22" s="284"/>
      <c r="E22" s="136" t="s">
        <v>176</v>
      </c>
      <c r="F22" s="295"/>
      <c r="G22" s="86" t="s">
        <v>187</v>
      </c>
      <c r="H22" s="85" t="s">
        <v>479</v>
      </c>
      <c r="I22" s="85" t="s">
        <v>180</v>
      </c>
      <c r="J22" s="86" t="s">
        <v>191</v>
      </c>
      <c r="K22" s="85" t="s">
        <v>181</v>
      </c>
      <c r="L22" s="84" t="s">
        <v>185</v>
      </c>
      <c r="M22" s="83" t="s">
        <v>465</v>
      </c>
      <c r="N22" s="83">
        <v>3.62</v>
      </c>
      <c r="O22" s="83">
        <v>4.07</v>
      </c>
      <c r="P22" s="10">
        <v>4.07</v>
      </c>
      <c r="Q22" s="10">
        <v>4.07</v>
      </c>
      <c r="R22" s="10">
        <v>4.07</v>
      </c>
      <c r="S22" s="10">
        <v>4.07</v>
      </c>
      <c r="T22" s="10">
        <v>4.07</v>
      </c>
      <c r="U22" s="10">
        <v>4.07</v>
      </c>
      <c r="V22" s="10">
        <v>4.07</v>
      </c>
      <c r="W22" s="10">
        <v>4.07</v>
      </c>
      <c r="X22" s="10">
        <v>4.07</v>
      </c>
      <c r="Y22" s="10">
        <v>4.07</v>
      </c>
      <c r="Z22" s="10">
        <v>4.07</v>
      </c>
      <c r="AA22" s="81">
        <v>4.07</v>
      </c>
      <c r="AB22" s="81">
        <v>0.45</v>
      </c>
      <c r="AC22" s="10">
        <v>0.45</v>
      </c>
      <c r="AD22" s="10">
        <v>0.45</v>
      </c>
      <c r="AE22" s="10">
        <v>0.45</v>
      </c>
      <c r="AF22" s="10">
        <v>0.45</v>
      </c>
      <c r="AG22" s="10">
        <v>0.45</v>
      </c>
      <c r="AH22" s="10">
        <v>0.45</v>
      </c>
      <c r="AI22" s="10">
        <v>0.45</v>
      </c>
      <c r="AJ22" s="10">
        <v>0.45</v>
      </c>
      <c r="AK22" s="10">
        <v>0.45</v>
      </c>
      <c r="AL22" s="10">
        <v>0.45</v>
      </c>
      <c r="AM22" s="10">
        <v>0.45</v>
      </c>
      <c r="AN22" s="149">
        <v>0.45</v>
      </c>
      <c r="AP22" s="118">
        <f t="shared" si="1"/>
        <v>0</v>
      </c>
      <c r="AR22" s="118">
        <f t="shared" si="2"/>
        <v>0</v>
      </c>
      <c r="AT22" s="127">
        <f t="shared" si="3"/>
        <v>0</v>
      </c>
      <c r="AU22" s="5"/>
      <c r="AV22" s="118">
        <f t="shared" si="4"/>
        <v>0</v>
      </c>
      <c r="AW22" s="5"/>
      <c r="AX22" s="118">
        <f t="shared" si="5"/>
        <v>0</v>
      </c>
      <c r="AY22" s="5"/>
      <c r="AZ22" s="127">
        <f t="shared" si="6"/>
        <v>0</v>
      </c>
      <c r="BA22" s="105">
        <v>0</v>
      </c>
      <c r="BB22" s="118">
        <f t="shared" si="7"/>
        <v>0</v>
      </c>
      <c r="BC22" s="105">
        <v>0</v>
      </c>
      <c r="BD22" s="118">
        <f t="shared" si="8"/>
        <v>0</v>
      </c>
      <c r="BE22" s="5">
        <v>0</v>
      </c>
      <c r="BF22" s="127">
        <f t="shared" si="9"/>
        <v>0</v>
      </c>
      <c r="BG22" s="105">
        <v>0</v>
      </c>
      <c r="BH22" s="118">
        <f t="shared" si="10"/>
        <v>0</v>
      </c>
      <c r="BI22" s="5">
        <v>0</v>
      </c>
      <c r="BJ22" s="118">
        <f t="shared" si="11"/>
        <v>0</v>
      </c>
      <c r="BK22" s="5">
        <v>0</v>
      </c>
      <c r="BL22" s="127">
        <f t="shared" si="12"/>
        <v>0</v>
      </c>
      <c r="BM22" s="220" t="s">
        <v>480</v>
      </c>
      <c r="BO22" s="1" t="s">
        <v>455</v>
      </c>
      <c r="BP22" s="1" t="s">
        <v>483</v>
      </c>
      <c r="BQ22" s="233"/>
      <c r="BR22" s="234"/>
    </row>
    <row r="23" spans="1:70">
      <c r="A23" s="219" t="s">
        <v>451</v>
      </c>
      <c r="B23" s="106" t="s">
        <v>354</v>
      </c>
      <c r="C23" s="66" t="s">
        <v>175</v>
      </c>
      <c r="D23" s="284"/>
      <c r="E23" s="136" t="s">
        <v>176</v>
      </c>
      <c r="F23" s="295"/>
      <c r="G23" s="86" t="s">
        <v>187</v>
      </c>
      <c r="H23" s="85" t="s">
        <v>479</v>
      </c>
      <c r="I23" s="85" t="s">
        <v>180</v>
      </c>
      <c r="J23" s="86" t="s">
        <v>191</v>
      </c>
      <c r="K23" s="85" t="s">
        <v>181</v>
      </c>
      <c r="L23" s="84" t="s">
        <v>185</v>
      </c>
      <c r="M23" s="83" t="s">
        <v>465</v>
      </c>
      <c r="N23" s="83">
        <v>3.62</v>
      </c>
      <c r="O23" s="83">
        <v>4.07</v>
      </c>
      <c r="P23" s="10">
        <v>4.07</v>
      </c>
      <c r="Q23" s="10">
        <v>4.07</v>
      </c>
      <c r="R23" s="10">
        <v>4.07</v>
      </c>
      <c r="S23" s="10">
        <v>4.07</v>
      </c>
      <c r="T23" s="10">
        <v>4.07</v>
      </c>
      <c r="U23" s="10">
        <v>4.07</v>
      </c>
      <c r="V23" s="10">
        <v>4.07</v>
      </c>
      <c r="W23" s="10">
        <v>4.07</v>
      </c>
      <c r="X23" s="10">
        <v>4.07</v>
      </c>
      <c r="Y23" s="10">
        <v>4.07</v>
      </c>
      <c r="Z23" s="10">
        <v>4.07</v>
      </c>
      <c r="AA23" s="81">
        <v>4.07</v>
      </c>
      <c r="AB23" s="81">
        <v>0.45</v>
      </c>
      <c r="AC23" s="10">
        <v>0.45</v>
      </c>
      <c r="AD23" s="10">
        <v>0.45</v>
      </c>
      <c r="AE23" s="10">
        <v>0.45</v>
      </c>
      <c r="AF23" s="10">
        <v>0.45</v>
      </c>
      <c r="AG23" s="10">
        <v>0.45</v>
      </c>
      <c r="AH23" s="10">
        <v>0.45</v>
      </c>
      <c r="AI23" s="10">
        <v>0.45</v>
      </c>
      <c r="AJ23" s="10">
        <v>0.45</v>
      </c>
      <c r="AK23" s="10">
        <v>0.45</v>
      </c>
      <c r="AL23" s="10">
        <v>0.45</v>
      </c>
      <c r="AM23" s="10">
        <v>0.45</v>
      </c>
      <c r="AN23" s="149">
        <v>0.45</v>
      </c>
      <c r="AP23" s="118">
        <f t="shared" si="1"/>
        <v>0</v>
      </c>
      <c r="AR23" s="118">
        <f t="shared" si="2"/>
        <v>0</v>
      </c>
      <c r="AT23" s="127">
        <f t="shared" si="3"/>
        <v>0</v>
      </c>
      <c r="AU23" s="5"/>
      <c r="AV23" s="118">
        <f t="shared" si="4"/>
        <v>0</v>
      </c>
      <c r="AW23" s="5"/>
      <c r="AX23" s="118">
        <f t="shared" si="5"/>
        <v>0</v>
      </c>
      <c r="AY23" s="5"/>
      <c r="AZ23" s="127">
        <f t="shared" si="6"/>
        <v>0</v>
      </c>
      <c r="BA23" s="105">
        <v>9382</v>
      </c>
      <c r="BB23" s="118">
        <f t="shared" si="7"/>
        <v>4221.9000000000005</v>
      </c>
      <c r="BC23" s="105">
        <v>360</v>
      </c>
      <c r="BD23" s="118">
        <f t="shared" si="8"/>
        <v>162</v>
      </c>
      <c r="BE23" s="5">
        <v>2589</v>
      </c>
      <c r="BF23" s="127">
        <f t="shared" si="9"/>
        <v>1165.05</v>
      </c>
      <c r="BG23" s="105">
        <v>1287</v>
      </c>
      <c r="BH23" s="118">
        <f t="shared" si="10"/>
        <v>579.15</v>
      </c>
      <c r="BI23" s="5">
        <v>763</v>
      </c>
      <c r="BJ23" s="118">
        <f t="shared" si="11"/>
        <v>343.35</v>
      </c>
      <c r="BK23" s="5">
        <v>720</v>
      </c>
      <c r="BL23" s="127">
        <f t="shared" si="12"/>
        <v>324</v>
      </c>
      <c r="BM23" s="220" t="s">
        <v>480</v>
      </c>
      <c r="BO23" s="1" t="s">
        <v>455</v>
      </c>
      <c r="BP23" s="1" t="s">
        <v>484</v>
      </c>
      <c r="BQ23" s="233"/>
      <c r="BR23" s="234"/>
    </row>
    <row r="24" spans="1:70">
      <c r="A24" s="219" t="s">
        <v>451</v>
      </c>
      <c r="B24" s="106" t="s">
        <v>354</v>
      </c>
      <c r="C24" s="66" t="s">
        <v>175</v>
      </c>
      <c r="D24" s="284"/>
      <c r="E24" s="136" t="s">
        <v>176</v>
      </c>
      <c r="F24" s="295"/>
      <c r="G24" s="86" t="s">
        <v>187</v>
      </c>
      <c r="H24" s="85" t="s">
        <v>479</v>
      </c>
      <c r="I24" s="85" t="s">
        <v>180</v>
      </c>
      <c r="J24" s="86" t="s">
        <v>191</v>
      </c>
      <c r="K24" s="85" t="s">
        <v>181</v>
      </c>
      <c r="L24" s="84" t="s">
        <v>185</v>
      </c>
      <c r="M24" s="83" t="s">
        <v>465</v>
      </c>
      <c r="N24" s="83">
        <v>3.62</v>
      </c>
      <c r="O24" s="83">
        <v>4.07</v>
      </c>
      <c r="P24" s="10">
        <v>4.07</v>
      </c>
      <c r="Q24" s="10">
        <v>4.07</v>
      </c>
      <c r="R24" s="10">
        <v>4.07</v>
      </c>
      <c r="S24" s="10">
        <v>4.07</v>
      </c>
      <c r="T24" s="10">
        <v>4.07</v>
      </c>
      <c r="U24" s="10">
        <v>4.07</v>
      </c>
      <c r="V24" s="10">
        <v>4.07</v>
      </c>
      <c r="W24" s="10">
        <v>4.07</v>
      </c>
      <c r="X24" s="10">
        <v>4.07</v>
      </c>
      <c r="Y24" s="10">
        <v>4.07</v>
      </c>
      <c r="Z24" s="10">
        <v>4.07</v>
      </c>
      <c r="AA24" s="81">
        <v>4.07</v>
      </c>
      <c r="AB24" s="81">
        <v>0.45</v>
      </c>
      <c r="AC24" s="10">
        <v>0.45</v>
      </c>
      <c r="AD24" s="10">
        <v>0.45</v>
      </c>
      <c r="AE24" s="10">
        <v>0.45</v>
      </c>
      <c r="AF24" s="10">
        <v>0.45</v>
      </c>
      <c r="AG24" s="10">
        <v>0.45</v>
      </c>
      <c r="AH24" s="10">
        <v>0.45</v>
      </c>
      <c r="AI24" s="10">
        <v>0.45</v>
      </c>
      <c r="AJ24" s="10">
        <v>0.45</v>
      </c>
      <c r="AK24" s="10">
        <v>0.45</v>
      </c>
      <c r="AL24" s="10">
        <v>0.45</v>
      </c>
      <c r="AM24" s="10">
        <v>0.45</v>
      </c>
      <c r="AN24" s="149">
        <v>0.45</v>
      </c>
      <c r="AP24" s="118">
        <f t="shared" si="1"/>
        <v>0</v>
      </c>
      <c r="AR24" s="118">
        <f t="shared" si="2"/>
        <v>0</v>
      </c>
      <c r="AT24" s="127">
        <f t="shared" si="3"/>
        <v>0</v>
      </c>
      <c r="AU24" s="5"/>
      <c r="AV24" s="118">
        <f t="shared" si="4"/>
        <v>0</v>
      </c>
      <c r="AW24" s="5"/>
      <c r="AX24" s="118">
        <f t="shared" si="5"/>
        <v>0</v>
      </c>
      <c r="AY24" s="5"/>
      <c r="AZ24" s="127">
        <f t="shared" si="6"/>
        <v>0</v>
      </c>
      <c r="BA24" s="105">
        <v>40</v>
      </c>
      <c r="BB24" s="118">
        <f t="shared" si="7"/>
        <v>18</v>
      </c>
      <c r="BC24" s="105">
        <v>0</v>
      </c>
      <c r="BD24" s="118">
        <f t="shared" si="8"/>
        <v>0</v>
      </c>
      <c r="BE24" s="5">
        <v>60</v>
      </c>
      <c r="BF24" s="127">
        <f t="shared" si="9"/>
        <v>27</v>
      </c>
      <c r="BG24" s="105">
        <v>0</v>
      </c>
      <c r="BH24" s="118">
        <f t="shared" si="10"/>
        <v>0</v>
      </c>
      <c r="BI24" s="5">
        <v>0</v>
      </c>
      <c r="BJ24" s="118">
        <f t="shared" si="11"/>
        <v>0</v>
      </c>
      <c r="BK24" s="5">
        <v>0</v>
      </c>
      <c r="BL24" s="127">
        <f t="shared" si="12"/>
        <v>0</v>
      </c>
      <c r="BM24" s="220" t="s">
        <v>480</v>
      </c>
      <c r="BO24" s="1" t="s">
        <v>455</v>
      </c>
      <c r="BP24" s="220" t="s">
        <v>485</v>
      </c>
      <c r="BQ24" s="233"/>
      <c r="BR24" s="234"/>
    </row>
    <row r="25" spans="1:70">
      <c r="A25" s="219" t="s">
        <v>451</v>
      </c>
      <c r="B25" s="106" t="s">
        <v>354</v>
      </c>
      <c r="C25" s="66" t="s">
        <v>175</v>
      </c>
      <c r="D25" s="284"/>
      <c r="E25" s="136" t="s">
        <v>176</v>
      </c>
      <c r="F25" s="295"/>
      <c r="G25" s="86" t="s">
        <v>187</v>
      </c>
      <c r="H25" s="85" t="s">
        <v>479</v>
      </c>
      <c r="I25" s="85" t="s">
        <v>180</v>
      </c>
      <c r="J25" s="86" t="s">
        <v>191</v>
      </c>
      <c r="K25" s="85" t="s">
        <v>181</v>
      </c>
      <c r="L25" s="84" t="s">
        <v>185</v>
      </c>
      <c r="M25" s="83" t="s">
        <v>465</v>
      </c>
      <c r="N25" s="83">
        <v>3.62</v>
      </c>
      <c r="O25" s="83">
        <v>4.07</v>
      </c>
      <c r="P25" s="10">
        <v>4.07</v>
      </c>
      <c r="Q25" s="10">
        <v>4.07</v>
      </c>
      <c r="R25" s="10">
        <v>4.07</v>
      </c>
      <c r="S25" s="10">
        <v>4.07</v>
      </c>
      <c r="T25" s="10">
        <v>4.07</v>
      </c>
      <c r="U25" s="10">
        <v>4.07</v>
      </c>
      <c r="V25" s="10">
        <v>4.07</v>
      </c>
      <c r="W25" s="10">
        <v>4.07</v>
      </c>
      <c r="X25" s="10">
        <v>4.07</v>
      </c>
      <c r="Y25" s="10">
        <v>4.07</v>
      </c>
      <c r="Z25" s="10">
        <v>4.07</v>
      </c>
      <c r="AA25" s="81">
        <v>4.07</v>
      </c>
      <c r="AB25" s="81">
        <v>0.45</v>
      </c>
      <c r="AC25" s="10">
        <v>0.45</v>
      </c>
      <c r="AD25" s="10">
        <v>0.45</v>
      </c>
      <c r="AE25" s="10">
        <v>0.45</v>
      </c>
      <c r="AF25" s="10">
        <v>0.45</v>
      </c>
      <c r="AG25" s="10">
        <v>0.45</v>
      </c>
      <c r="AH25" s="10">
        <v>0.45</v>
      </c>
      <c r="AI25" s="10">
        <v>0.45</v>
      </c>
      <c r="AJ25" s="10">
        <v>0.45</v>
      </c>
      <c r="AK25" s="10">
        <v>0.45</v>
      </c>
      <c r="AL25" s="10">
        <v>0.45</v>
      </c>
      <c r="AM25" s="10">
        <v>0.45</v>
      </c>
      <c r="AN25" s="149">
        <v>0.45</v>
      </c>
      <c r="AP25" s="118">
        <f t="shared" si="1"/>
        <v>0</v>
      </c>
      <c r="AR25" s="118">
        <f t="shared" si="2"/>
        <v>0</v>
      </c>
      <c r="AT25" s="127">
        <f t="shared" si="3"/>
        <v>0</v>
      </c>
      <c r="AU25" s="5"/>
      <c r="AV25" s="118">
        <f t="shared" si="4"/>
        <v>0</v>
      </c>
      <c r="AW25" s="5"/>
      <c r="AX25" s="118">
        <f t="shared" si="5"/>
        <v>0</v>
      </c>
      <c r="AY25" s="5"/>
      <c r="AZ25" s="127">
        <f t="shared" si="6"/>
        <v>0</v>
      </c>
      <c r="BA25" s="105">
        <v>1200</v>
      </c>
      <c r="BB25" s="118">
        <f t="shared" si="7"/>
        <v>540</v>
      </c>
      <c r="BC25" s="105">
        <v>0</v>
      </c>
      <c r="BD25" s="118">
        <f t="shared" si="8"/>
        <v>0</v>
      </c>
      <c r="BE25" s="5">
        <v>0</v>
      </c>
      <c r="BF25" s="127">
        <f t="shared" si="9"/>
        <v>0</v>
      </c>
      <c r="BG25" s="105">
        <v>255</v>
      </c>
      <c r="BH25" s="118">
        <f t="shared" si="10"/>
        <v>114.75</v>
      </c>
      <c r="BI25" s="5">
        <v>0</v>
      </c>
      <c r="BJ25" s="118">
        <f t="shared" si="11"/>
        <v>0</v>
      </c>
      <c r="BK25" s="5">
        <v>0</v>
      </c>
      <c r="BL25" s="127">
        <f t="shared" si="12"/>
        <v>0</v>
      </c>
      <c r="BM25" s="220" t="s">
        <v>480</v>
      </c>
      <c r="BO25" s="1" t="s">
        <v>455</v>
      </c>
      <c r="BP25" s="220" t="s">
        <v>486</v>
      </c>
      <c r="BQ25" s="233"/>
      <c r="BR25" s="234"/>
    </row>
    <row r="26" spans="1:70">
      <c r="A26" s="219" t="s">
        <v>451</v>
      </c>
      <c r="B26" s="106" t="s">
        <v>354</v>
      </c>
      <c r="C26" s="66" t="s">
        <v>175</v>
      </c>
      <c r="D26" s="284"/>
      <c r="E26" s="136" t="s">
        <v>176</v>
      </c>
      <c r="F26" s="295"/>
      <c r="G26" s="86" t="s">
        <v>187</v>
      </c>
      <c r="H26" s="85" t="s">
        <v>479</v>
      </c>
      <c r="I26" s="85" t="s">
        <v>180</v>
      </c>
      <c r="J26" s="86" t="s">
        <v>191</v>
      </c>
      <c r="K26" s="85" t="s">
        <v>181</v>
      </c>
      <c r="L26" s="84" t="s">
        <v>185</v>
      </c>
      <c r="M26" s="83" t="s">
        <v>465</v>
      </c>
      <c r="N26" s="83">
        <v>3.62</v>
      </c>
      <c r="O26" s="83">
        <v>4.07</v>
      </c>
      <c r="P26" s="10">
        <v>4.07</v>
      </c>
      <c r="Q26" s="10">
        <v>4.07</v>
      </c>
      <c r="R26" s="10">
        <v>4.07</v>
      </c>
      <c r="S26" s="10">
        <v>4.07</v>
      </c>
      <c r="T26" s="10">
        <v>4.07</v>
      </c>
      <c r="U26" s="10">
        <v>4.07</v>
      </c>
      <c r="V26" s="10">
        <v>4.07</v>
      </c>
      <c r="W26" s="10">
        <v>4.07</v>
      </c>
      <c r="X26" s="10">
        <v>4.07</v>
      </c>
      <c r="Y26" s="10">
        <v>4.07</v>
      </c>
      <c r="Z26" s="10">
        <v>4.07</v>
      </c>
      <c r="AA26" s="81">
        <v>4.07</v>
      </c>
      <c r="AB26" s="81">
        <v>0.45</v>
      </c>
      <c r="AC26" s="10">
        <v>0.45</v>
      </c>
      <c r="AD26" s="10">
        <v>0.45</v>
      </c>
      <c r="AE26" s="10">
        <v>0.45</v>
      </c>
      <c r="AF26" s="10">
        <v>0.45</v>
      </c>
      <c r="AG26" s="10">
        <v>0.45</v>
      </c>
      <c r="AH26" s="10">
        <v>0.45</v>
      </c>
      <c r="AI26" s="10">
        <v>0.45</v>
      </c>
      <c r="AJ26" s="10">
        <v>0.45</v>
      </c>
      <c r="AK26" s="10">
        <v>0.45</v>
      </c>
      <c r="AL26" s="10">
        <v>0.45</v>
      </c>
      <c r="AM26" s="10">
        <v>0.45</v>
      </c>
      <c r="AN26" s="149">
        <v>0.45</v>
      </c>
      <c r="AP26" s="118">
        <f t="shared" si="1"/>
        <v>0</v>
      </c>
      <c r="AR26" s="118">
        <f t="shared" si="2"/>
        <v>0</v>
      </c>
      <c r="AT26" s="127">
        <f t="shared" si="3"/>
        <v>0</v>
      </c>
      <c r="AU26" s="5"/>
      <c r="AV26" s="118">
        <f t="shared" si="4"/>
        <v>0</v>
      </c>
      <c r="AW26" s="5"/>
      <c r="AX26" s="118">
        <f t="shared" si="5"/>
        <v>0</v>
      </c>
      <c r="AY26" s="5"/>
      <c r="AZ26" s="127">
        <f t="shared" si="6"/>
        <v>0</v>
      </c>
      <c r="BA26" s="105">
        <v>40</v>
      </c>
      <c r="BB26" s="118">
        <f t="shared" si="7"/>
        <v>18</v>
      </c>
      <c r="BC26" s="105">
        <v>0</v>
      </c>
      <c r="BD26" s="118">
        <f t="shared" si="8"/>
        <v>0</v>
      </c>
      <c r="BE26" s="5">
        <v>0</v>
      </c>
      <c r="BF26" s="127">
        <f t="shared" si="9"/>
        <v>0</v>
      </c>
      <c r="BG26" s="105">
        <v>0</v>
      </c>
      <c r="BH26" s="118">
        <f t="shared" si="10"/>
        <v>0</v>
      </c>
      <c r="BI26" s="5">
        <v>0</v>
      </c>
      <c r="BJ26" s="118">
        <f t="shared" si="11"/>
        <v>0</v>
      </c>
      <c r="BK26" s="5">
        <v>0</v>
      </c>
      <c r="BL26" s="127">
        <f t="shared" si="12"/>
        <v>0</v>
      </c>
      <c r="BM26" s="220" t="s">
        <v>480</v>
      </c>
      <c r="BO26" s="1" t="s">
        <v>455</v>
      </c>
      <c r="BP26" s="220" t="s">
        <v>487</v>
      </c>
      <c r="BQ26" s="233"/>
      <c r="BR26" s="234"/>
    </row>
    <row r="27" spans="1:70">
      <c r="A27" s="219" t="s">
        <v>451</v>
      </c>
      <c r="B27" s="106" t="s">
        <v>354</v>
      </c>
      <c r="C27" s="66" t="s">
        <v>175</v>
      </c>
      <c r="D27" s="284"/>
      <c r="E27" s="136" t="s">
        <v>176</v>
      </c>
      <c r="F27" s="295"/>
      <c r="G27" s="86" t="s">
        <v>187</v>
      </c>
      <c r="H27" s="85" t="s">
        <v>479</v>
      </c>
      <c r="I27" s="85" t="s">
        <v>180</v>
      </c>
      <c r="J27" s="86" t="s">
        <v>191</v>
      </c>
      <c r="K27" s="85" t="s">
        <v>181</v>
      </c>
      <c r="L27" s="84" t="s">
        <v>185</v>
      </c>
      <c r="M27" s="83" t="s">
        <v>465</v>
      </c>
      <c r="N27" s="83">
        <v>3.62</v>
      </c>
      <c r="O27" s="83">
        <v>4.07</v>
      </c>
      <c r="P27" s="10">
        <v>4.07</v>
      </c>
      <c r="Q27" s="10">
        <v>4.07</v>
      </c>
      <c r="R27" s="10">
        <v>4.07</v>
      </c>
      <c r="S27" s="10">
        <v>4.07</v>
      </c>
      <c r="T27" s="10">
        <v>4.07</v>
      </c>
      <c r="U27" s="10">
        <v>4.07</v>
      </c>
      <c r="V27" s="10">
        <v>4.07</v>
      </c>
      <c r="W27" s="10">
        <v>4.07</v>
      </c>
      <c r="X27" s="10">
        <v>4.07</v>
      </c>
      <c r="Y27" s="10">
        <v>4.07</v>
      </c>
      <c r="Z27" s="10">
        <v>4.07</v>
      </c>
      <c r="AA27" s="81">
        <v>4.07</v>
      </c>
      <c r="AB27" s="81">
        <v>0.45</v>
      </c>
      <c r="AC27" s="10">
        <v>0.45</v>
      </c>
      <c r="AD27" s="10">
        <v>0.45</v>
      </c>
      <c r="AE27" s="10">
        <v>0.45</v>
      </c>
      <c r="AF27" s="10">
        <v>0.45</v>
      </c>
      <c r="AG27" s="10">
        <v>0.45</v>
      </c>
      <c r="AH27" s="10">
        <v>0.45</v>
      </c>
      <c r="AI27" s="10">
        <v>0.45</v>
      </c>
      <c r="AJ27" s="10">
        <v>0.45</v>
      </c>
      <c r="AK27" s="10">
        <v>0.45</v>
      </c>
      <c r="AL27" s="10">
        <v>0.45</v>
      </c>
      <c r="AM27" s="10">
        <v>0.45</v>
      </c>
      <c r="AN27" s="149">
        <v>0.45</v>
      </c>
      <c r="AO27" s="5">
        <v>20934</v>
      </c>
      <c r="AP27" s="118">
        <f t="shared" si="1"/>
        <v>9420.3000000000011</v>
      </c>
      <c r="AQ27" s="5">
        <v>18096</v>
      </c>
      <c r="AR27" s="118">
        <f t="shared" si="2"/>
        <v>8143.2</v>
      </c>
      <c r="AS27" s="5">
        <v>5235</v>
      </c>
      <c r="AT27" s="127">
        <f t="shared" si="3"/>
        <v>2355.75</v>
      </c>
      <c r="AU27" s="5">
        <v>11153</v>
      </c>
      <c r="AV27" s="118">
        <f t="shared" si="4"/>
        <v>5018.8500000000004</v>
      </c>
      <c r="AW27" s="5">
        <v>13517</v>
      </c>
      <c r="AX27" s="118">
        <f t="shared" si="5"/>
        <v>6082.6500000000005</v>
      </c>
      <c r="AY27" s="5">
        <v>6437</v>
      </c>
      <c r="AZ27" s="127">
        <f t="shared" si="6"/>
        <v>2896.65</v>
      </c>
      <c r="BA27" s="105"/>
      <c r="BB27" s="118">
        <f t="shared" si="7"/>
        <v>0</v>
      </c>
      <c r="BC27" s="105">
        <v>0</v>
      </c>
      <c r="BD27" s="118">
        <f t="shared" si="8"/>
        <v>0</v>
      </c>
      <c r="BE27" s="5">
        <v>0</v>
      </c>
      <c r="BF27" s="127">
        <f t="shared" si="9"/>
        <v>0</v>
      </c>
      <c r="BG27" s="105">
        <v>0</v>
      </c>
      <c r="BH27" s="118">
        <f t="shared" si="10"/>
        <v>0</v>
      </c>
      <c r="BI27" s="5">
        <v>0</v>
      </c>
      <c r="BJ27" s="118">
        <f t="shared" si="11"/>
        <v>0</v>
      </c>
      <c r="BK27" s="5">
        <v>0</v>
      </c>
      <c r="BL27" s="127">
        <f t="shared" si="12"/>
        <v>0</v>
      </c>
      <c r="BM27" s="220" t="s">
        <v>488</v>
      </c>
      <c r="BO27" s="1" t="s">
        <v>455</v>
      </c>
      <c r="BP27" s="1" t="s">
        <v>481</v>
      </c>
      <c r="BQ27" s="233"/>
      <c r="BR27" s="234"/>
    </row>
    <row r="28" spans="1:70">
      <c r="A28" s="219" t="s">
        <v>451</v>
      </c>
      <c r="B28" s="106" t="s">
        <v>354</v>
      </c>
      <c r="C28" s="66" t="s">
        <v>175</v>
      </c>
      <c r="D28" s="284"/>
      <c r="E28" s="136" t="s">
        <v>176</v>
      </c>
      <c r="F28" s="295"/>
      <c r="G28" s="86" t="s">
        <v>187</v>
      </c>
      <c r="H28" s="85" t="s">
        <v>479</v>
      </c>
      <c r="I28" s="85" t="s">
        <v>180</v>
      </c>
      <c r="J28" s="86" t="s">
        <v>191</v>
      </c>
      <c r="K28" s="85" t="s">
        <v>181</v>
      </c>
      <c r="L28" s="84" t="s">
        <v>185</v>
      </c>
      <c r="M28" s="83" t="s">
        <v>465</v>
      </c>
      <c r="N28" s="83">
        <v>3.62</v>
      </c>
      <c r="O28" s="83">
        <v>4.07</v>
      </c>
      <c r="P28" s="10">
        <v>4.07</v>
      </c>
      <c r="Q28" s="10">
        <v>4.07</v>
      </c>
      <c r="R28" s="10">
        <v>4.07</v>
      </c>
      <c r="S28" s="10">
        <v>4.07</v>
      </c>
      <c r="T28" s="10">
        <v>4.07</v>
      </c>
      <c r="U28" s="10">
        <v>4.07</v>
      </c>
      <c r="V28" s="10">
        <v>4.07</v>
      </c>
      <c r="W28" s="10">
        <v>4.07</v>
      </c>
      <c r="X28" s="10">
        <v>4.07</v>
      </c>
      <c r="Y28" s="10">
        <v>4.07</v>
      </c>
      <c r="Z28" s="10">
        <v>4.07</v>
      </c>
      <c r="AA28" s="81">
        <v>4.07</v>
      </c>
      <c r="AB28" s="81">
        <v>0.45</v>
      </c>
      <c r="AC28" s="10">
        <v>0.45</v>
      </c>
      <c r="AD28" s="10">
        <v>0.45</v>
      </c>
      <c r="AE28" s="10">
        <v>0.45</v>
      </c>
      <c r="AF28" s="10">
        <v>0.45</v>
      </c>
      <c r="AG28" s="10">
        <v>0.45</v>
      </c>
      <c r="AH28" s="10">
        <v>0.45</v>
      </c>
      <c r="AI28" s="10">
        <v>0.45</v>
      </c>
      <c r="AJ28" s="10">
        <v>0.45</v>
      </c>
      <c r="AK28" s="10">
        <v>0.45</v>
      </c>
      <c r="AL28" s="10">
        <v>0.45</v>
      </c>
      <c r="AM28" s="10">
        <v>0.45</v>
      </c>
      <c r="AN28" s="149">
        <v>0.45</v>
      </c>
      <c r="AP28" s="118">
        <f t="shared" si="1"/>
        <v>0</v>
      </c>
      <c r="AR28" s="118">
        <f t="shared" si="2"/>
        <v>0</v>
      </c>
      <c r="AT28" s="127">
        <f t="shared" si="3"/>
        <v>0</v>
      </c>
      <c r="AU28" s="5"/>
      <c r="AV28" s="118">
        <f t="shared" si="4"/>
        <v>0</v>
      </c>
      <c r="AW28" s="5"/>
      <c r="AX28" s="118">
        <f t="shared" si="5"/>
        <v>0</v>
      </c>
      <c r="AY28" s="5"/>
      <c r="AZ28" s="127">
        <f t="shared" si="6"/>
        <v>0</v>
      </c>
      <c r="BA28" s="105"/>
      <c r="BB28" s="118">
        <f t="shared" si="7"/>
        <v>0</v>
      </c>
      <c r="BC28" s="105">
        <v>0</v>
      </c>
      <c r="BD28" s="118">
        <f t="shared" si="8"/>
        <v>0</v>
      </c>
      <c r="BE28" s="5">
        <v>0</v>
      </c>
      <c r="BF28" s="127">
        <f t="shared" si="9"/>
        <v>0</v>
      </c>
      <c r="BG28" s="105">
        <v>0</v>
      </c>
      <c r="BH28" s="118">
        <f t="shared" si="10"/>
        <v>0</v>
      </c>
      <c r="BI28" s="5">
        <v>0</v>
      </c>
      <c r="BJ28" s="118">
        <f t="shared" si="11"/>
        <v>0</v>
      </c>
      <c r="BK28" s="5">
        <v>0</v>
      </c>
      <c r="BL28" s="127">
        <f t="shared" si="12"/>
        <v>0</v>
      </c>
      <c r="BM28" s="220" t="s">
        <v>488</v>
      </c>
      <c r="BO28" s="1" t="s">
        <v>455</v>
      </c>
      <c r="BP28" s="1" t="s">
        <v>483</v>
      </c>
      <c r="BQ28" s="233"/>
      <c r="BR28" s="234"/>
    </row>
    <row r="29" spans="1:70">
      <c r="A29" s="219" t="s">
        <v>451</v>
      </c>
      <c r="B29" s="106" t="s">
        <v>354</v>
      </c>
      <c r="C29" s="66" t="s">
        <v>175</v>
      </c>
      <c r="D29" s="284"/>
      <c r="E29" s="136" t="s">
        <v>176</v>
      </c>
      <c r="F29" s="295"/>
      <c r="G29" s="86" t="s">
        <v>187</v>
      </c>
      <c r="H29" s="85" t="s">
        <v>479</v>
      </c>
      <c r="I29" s="85" t="s">
        <v>180</v>
      </c>
      <c r="J29" s="86" t="s">
        <v>191</v>
      </c>
      <c r="K29" s="85" t="s">
        <v>181</v>
      </c>
      <c r="L29" s="84" t="s">
        <v>185</v>
      </c>
      <c r="M29" s="83" t="s">
        <v>465</v>
      </c>
      <c r="N29" s="83">
        <v>3.62</v>
      </c>
      <c r="O29" s="83">
        <v>4.07</v>
      </c>
      <c r="P29" s="10">
        <v>4.07</v>
      </c>
      <c r="Q29" s="10">
        <v>4.07</v>
      </c>
      <c r="R29" s="10">
        <v>4.07</v>
      </c>
      <c r="S29" s="10">
        <v>4.07</v>
      </c>
      <c r="T29" s="10">
        <v>4.07</v>
      </c>
      <c r="U29" s="10">
        <v>4.07</v>
      </c>
      <c r="V29" s="10">
        <v>4.07</v>
      </c>
      <c r="W29" s="10">
        <v>4.07</v>
      </c>
      <c r="X29" s="10">
        <v>4.07</v>
      </c>
      <c r="Y29" s="10">
        <v>4.07</v>
      </c>
      <c r="Z29" s="10">
        <v>4.07</v>
      </c>
      <c r="AA29" s="81">
        <v>4.07</v>
      </c>
      <c r="AB29" s="81">
        <v>0.45</v>
      </c>
      <c r="AC29" s="10">
        <v>0.45</v>
      </c>
      <c r="AD29" s="10">
        <v>0.45</v>
      </c>
      <c r="AE29" s="10">
        <v>0.45</v>
      </c>
      <c r="AF29" s="10">
        <v>0.45</v>
      </c>
      <c r="AG29" s="10">
        <v>0.45</v>
      </c>
      <c r="AH29" s="10">
        <v>0.45</v>
      </c>
      <c r="AI29" s="10">
        <v>0.45</v>
      </c>
      <c r="AJ29" s="10">
        <v>0.45</v>
      </c>
      <c r="AK29" s="10">
        <v>0.45</v>
      </c>
      <c r="AL29" s="10">
        <v>0.45</v>
      </c>
      <c r="AM29" s="10">
        <v>0.45</v>
      </c>
      <c r="AN29" s="149">
        <v>0.45</v>
      </c>
      <c r="AP29" s="118">
        <f t="shared" si="1"/>
        <v>0</v>
      </c>
      <c r="AR29" s="118">
        <f t="shared" si="2"/>
        <v>0</v>
      </c>
      <c r="AT29" s="127">
        <f t="shared" si="3"/>
        <v>0</v>
      </c>
      <c r="AU29" s="5"/>
      <c r="AV29" s="118">
        <f t="shared" si="4"/>
        <v>0</v>
      </c>
      <c r="AW29" s="5"/>
      <c r="AX29" s="118">
        <f t="shared" si="5"/>
        <v>0</v>
      </c>
      <c r="AY29" s="5"/>
      <c r="AZ29" s="127">
        <f t="shared" si="6"/>
        <v>0</v>
      </c>
      <c r="BA29" s="105">
        <v>8877</v>
      </c>
      <c r="BB29" s="118">
        <f t="shared" si="7"/>
        <v>3994.65</v>
      </c>
      <c r="BC29" s="105">
        <v>0</v>
      </c>
      <c r="BD29" s="118">
        <f t="shared" si="8"/>
        <v>0</v>
      </c>
      <c r="BE29" s="5">
        <v>2064</v>
      </c>
      <c r="BF29" s="127">
        <f t="shared" si="9"/>
        <v>928.80000000000007</v>
      </c>
      <c r="BG29" s="105">
        <v>2940</v>
      </c>
      <c r="BH29" s="118">
        <f t="shared" si="10"/>
        <v>1323</v>
      </c>
      <c r="BI29" s="5">
        <v>555</v>
      </c>
      <c r="BJ29" s="118">
        <f t="shared" si="11"/>
        <v>249.75</v>
      </c>
      <c r="BK29" s="5">
        <v>640</v>
      </c>
      <c r="BL29" s="127">
        <f t="shared" si="12"/>
        <v>288</v>
      </c>
      <c r="BM29" s="220" t="s">
        <v>488</v>
      </c>
      <c r="BO29" s="1" t="s">
        <v>455</v>
      </c>
      <c r="BP29" s="1" t="s">
        <v>484</v>
      </c>
      <c r="BQ29" s="233"/>
      <c r="BR29" s="234"/>
    </row>
    <row r="30" spans="1:70">
      <c r="A30" s="219" t="s">
        <v>451</v>
      </c>
      <c r="B30" s="106" t="s">
        <v>354</v>
      </c>
      <c r="C30" s="66" t="s">
        <v>175</v>
      </c>
      <c r="D30" s="284"/>
      <c r="E30" s="136" t="s">
        <v>176</v>
      </c>
      <c r="F30" s="295"/>
      <c r="G30" s="86" t="s">
        <v>187</v>
      </c>
      <c r="H30" s="85" t="s">
        <v>479</v>
      </c>
      <c r="I30" s="85" t="s">
        <v>184</v>
      </c>
      <c r="J30" s="86" t="s">
        <v>191</v>
      </c>
      <c r="K30" s="85" t="s">
        <v>181</v>
      </c>
      <c r="L30" s="84" t="s">
        <v>185</v>
      </c>
      <c r="M30" s="83" t="s">
        <v>465</v>
      </c>
      <c r="N30" s="83">
        <v>7.9799999999999995</v>
      </c>
      <c r="O30" s="83">
        <v>9.1199999999999992</v>
      </c>
      <c r="P30" s="10">
        <v>9.1199999999999992</v>
      </c>
      <c r="Q30" s="10">
        <v>9.1199999999999992</v>
      </c>
      <c r="R30" s="10">
        <v>9.1199999999999992</v>
      </c>
      <c r="S30" s="10">
        <v>9.1199999999999992</v>
      </c>
      <c r="T30" s="10">
        <v>9.1199999999999992</v>
      </c>
      <c r="U30" s="10">
        <v>9.1199999999999992</v>
      </c>
      <c r="V30" s="10">
        <v>9.1199999999999992</v>
      </c>
      <c r="W30" s="10">
        <v>9.1199999999999992</v>
      </c>
      <c r="X30" s="10">
        <v>9.1199999999999992</v>
      </c>
      <c r="Y30" s="10">
        <v>9.1199999999999992</v>
      </c>
      <c r="Z30" s="10">
        <v>9.1199999999999992</v>
      </c>
      <c r="AA30" s="81">
        <v>9.1199999999999992</v>
      </c>
      <c r="AB30" s="81">
        <v>1.1399999999999999</v>
      </c>
      <c r="AC30" s="10">
        <v>1.1399999999999999</v>
      </c>
      <c r="AD30" s="10">
        <v>1.1399999999999999</v>
      </c>
      <c r="AE30" s="10">
        <v>1.1399999999999999</v>
      </c>
      <c r="AF30" s="10">
        <v>1.1399999999999999</v>
      </c>
      <c r="AG30" s="10">
        <v>1.1399999999999999</v>
      </c>
      <c r="AH30" s="10">
        <v>1.1399999999999999</v>
      </c>
      <c r="AI30" s="10">
        <v>1.1399999999999999</v>
      </c>
      <c r="AJ30" s="10">
        <v>1.1399999999999999</v>
      </c>
      <c r="AK30" s="10">
        <v>1.1399999999999999</v>
      </c>
      <c r="AL30" s="10">
        <v>1.1399999999999999</v>
      </c>
      <c r="AM30" s="10">
        <v>1.1399999999999999</v>
      </c>
      <c r="AN30" s="149">
        <v>1.1399999999999999</v>
      </c>
      <c r="AO30" s="5">
        <v>12670</v>
      </c>
      <c r="AP30" s="118">
        <f t="shared" si="1"/>
        <v>14443.8</v>
      </c>
      <c r="AQ30" s="5">
        <v>32808</v>
      </c>
      <c r="AR30" s="118">
        <f t="shared" si="2"/>
        <v>37401.119999999995</v>
      </c>
      <c r="AS30" s="5">
        <v>8504</v>
      </c>
      <c r="AT30" s="127">
        <f t="shared" si="3"/>
        <v>9694.56</v>
      </c>
      <c r="AU30" s="5">
        <v>15780</v>
      </c>
      <c r="AV30" s="118">
        <f t="shared" si="4"/>
        <v>17989.199999999997</v>
      </c>
      <c r="AW30" s="5">
        <v>9184</v>
      </c>
      <c r="AX30" s="118">
        <f t="shared" si="5"/>
        <v>10469.759999999998</v>
      </c>
      <c r="AY30" s="5">
        <v>20823</v>
      </c>
      <c r="AZ30" s="127">
        <f t="shared" si="6"/>
        <v>23738.219999999998</v>
      </c>
      <c r="BA30" s="105">
        <v>0</v>
      </c>
      <c r="BB30" s="118">
        <f t="shared" si="7"/>
        <v>0</v>
      </c>
      <c r="BC30" s="105">
        <v>0</v>
      </c>
      <c r="BD30" s="118">
        <f t="shared" si="8"/>
        <v>0</v>
      </c>
      <c r="BE30" s="5">
        <v>0</v>
      </c>
      <c r="BF30" s="127">
        <f t="shared" si="9"/>
        <v>0</v>
      </c>
      <c r="BG30" s="105">
        <v>0</v>
      </c>
      <c r="BH30" s="118">
        <f t="shared" si="10"/>
        <v>0</v>
      </c>
      <c r="BI30" s="5">
        <v>0</v>
      </c>
      <c r="BJ30" s="118">
        <f t="shared" si="11"/>
        <v>0</v>
      </c>
      <c r="BK30" s="5">
        <v>0</v>
      </c>
      <c r="BL30" s="127">
        <f t="shared" si="12"/>
        <v>0</v>
      </c>
      <c r="BM30" s="220" t="s">
        <v>489</v>
      </c>
      <c r="BO30" s="1" t="s">
        <v>455</v>
      </c>
      <c r="BP30" s="1" t="s">
        <v>490</v>
      </c>
      <c r="BQ30" s="233"/>
      <c r="BR30" s="234"/>
    </row>
    <row r="31" spans="1:70">
      <c r="A31" s="219" t="s">
        <v>451</v>
      </c>
      <c r="B31" s="106" t="s">
        <v>354</v>
      </c>
      <c r="C31" s="66" t="s">
        <v>175</v>
      </c>
      <c r="D31" s="284"/>
      <c r="E31" s="136" t="s">
        <v>176</v>
      </c>
      <c r="F31" s="295"/>
      <c r="G31" s="86" t="s">
        <v>187</v>
      </c>
      <c r="H31" s="85" t="s">
        <v>479</v>
      </c>
      <c r="I31" s="85" t="s">
        <v>184</v>
      </c>
      <c r="J31" s="86" t="s">
        <v>191</v>
      </c>
      <c r="K31" s="85" t="s">
        <v>181</v>
      </c>
      <c r="L31" s="84" t="s">
        <v>185</v>
      </c>
      <c r="M31" s="83" t="s">
        <v>465</v>
      </c>
      <c r="N31" s="83">
        <v>7.9799999999999995</v>
      </c>
      <c r="O31" s="83">
        <v>9.1199999999999992</v>
      </c>
      <c r="P31" s="10">
        <v>9.1199999999999992</v>
      </c>
      <c r="Q31" s="10">
        <v>9.1199999999999992</v>
      </c>
      <c r="R31" s="10">
        <v>9.1199999999999992</v>
      </c>
      <c r="S31" s="10">
        <v>9.1199999999999992</v>
      </c>
      <c r="T31" s="10">
        <v>9.1199999999999992</v>
      </c>
      <c r="U31" s="10">
        <v>9.1199999999999992</v>
      </c>
      <c r="V31" s="10">
        <v>9.1199999999999992</v>
      </c>
      <c r="W31" s="10">
        <v>9.1199999999999992</v>
      </c>
      <c r="X31" s="10">
        <v>9.1199999999999992</v>
      </c>
      <c r="Y31" s="10">
        <v>9.1199999999999992</v>
      </c>
      <c r="Z31" s="10">
        <v>9.1199999999999992</v>
      </c>
      <c r="AA31" s="81">
        <v>9.1199999999999992</v>
      </c>
      <c r="AB31" s="81">
        <v>1.1399999999999999</v>
      </c>
      <c r="AC31" s="10">
        <v>1.1399999999999999</v>
      </c>
      <c r="AD31" s="10">
        <v>1.1399999999999999</v>
      </c>
      <c r="AE31" s="10">
        <v>1.1399999999999999</v>
      </c>
      <c r="AF31" s="10">
        <v>1.1399999999999999</v>
      </c>
      <c r="AG31" s="10">
        <v>1.1399999999999999</v>
      </c>
      <c r="AH31" s="10">
        <v>1.1399999999999999</v>
      </c>
      <c r="AI31" s="10">
        <v>1.1399999999999999</v>
      </c>
      <c r="AJ31" s="10">
        <v>1.1399999999999999</v>
      </c>
      <c r="AK31" s="10">
        <v>1.1399999999999999</v>
      </c>
      <c r="AL31" s="10">
        <v>1.1399999999999999</v>
      </c>
      <c r="AM31" s="10">
        <v>1.1399999999999999</v>
      </c>
      <c r="AN31" s="149">
        <v>1.1399999999999999</v>
      </c>
      <c r="AP31" s="118">
        <f t="shared" si="1"/>
        <v>0</v>
      </c>
      <c r="AR31" s="118">
        <f t="shared" si="2"/>
        <v>0</v>
      </c>
      <c r="AT31" s="127">
        <f t="shared" si="3"/>
        <v>0</v>
      </c>
      <c r="AU31" s="5"/>
      <c r="AV31" s="118">
        <f t="shared" si="4"/>
        <v>0</v>
      </c>
      <c r="AW31" s="5"/>
      <c r="AX31" s="118">
        <f t="shared" si="5"/>
        <v>0</v>
      </c>
      <c r="AY31" s="5"/>
      <c r="AZ31" s="127">
        <f t="shared" si="6"/>
        <v>0</v>
      </c>
      <c r="BA31" s="105">
        <v>0</v>
      </c>
      <c r="BB31" s="118">
        <f t="shared" si="7"/>
        <v>0</v>
      </c>
      <c r="BC31" s="105">
        <v>0</v>
      </c>
      <c r="BD31" s="118">
        <f t="shared" si="8"/>
        <v>0</v>
      </c>
      <c r="BE31" s="5">
        <v>0</v>
      </c>
      <c r="BF31" s="127">
        <f t="shared" si="9"/>
        <v>0</v>
      </c>
      <c r="BG31" s="105">
        <v>0</v>
      </c>
      <c r="BH31" s="118">
        <f t="shared" si="10"/>
        <v>0</v>
      </c>
      <c r="BI31" s="5">
        <v>0</v>
      </c>
      <c r="BJ31" s="118">
        <f t="shared" si="11"/>
        <v>0</v>
      </c>
      <c r="BK31" s="5">
        <v>0</v>
      </c>
      <c r="BL31" s="127">
        <f t="shared" si="12"/>
        <v>0</v>
      </c>
      <c r="BM31" s="220" t="s">
        <v>489</v>
      </c>
      <c r="BO31" s="1" t="s">
        <v>455</v>
      </c>
      <c r="BP31" s="1" t="s">
        <v>481</v>
      </c>
      <c r="BQ31" s="233"/>
      <c r="BR31" s="234"/>
    </row>
    <row r="32" spans="1:70">
      <c r="A32" s="219" t="s">
        <v>451</v>
      </c>
      <c r="B32" s="106" t="s">
        <v>354</v>
      </c>
      <c r="C32" s="66" t="s">
        <v>175</v>
      </c>
      <c r="D32" s="284"/>
      <c r="E32" s="136" t="s">
        <v>176</v>
      </c>
      <c r="F32" s="295"/>
      <c r="G32" s="86" t="s">
        <v>187</v>
      </c>
      <c r="H32" s="85" t="s">
        <v>479</v>
      </c>
      <c r="I32" s="85" t="s">
        <v>184</v>
      </c>
      <c r="J32" s="86" t="s">
        <v>191</v>
      </c>
      <c r="K32" s="85" t="s">
        <v>181</v>
      </c>
      <c r="L32" s="84" t="s">
        <v>185</v>
      </c>
      <c r="M32" s="83" t="s">
        <v>465</v>
      </c>
      <c r="N32" s="83">
        <v>7.9799999999999995</v>
      </c>
      <c r="O32" s="83">
        <v>9.1199999999999992</v>
      </c>
      <c r="P32" s="10">
        <v>9.1199999999999992</v>
      </c>
      <c r="Q32" s="10">
        <v>9.1199999999999992</v>
      </c>
      <c r="R32" s="10">
        <v>9.1199999999999992</v>
      </c>
      <c r="S32" s="10">
        <v>9.1199999999999992</v>
      </c>
      <c r="T32" s="10">
        <v>9.1199999999999992</v>
      </c>
      <c r="U32" s="10">
        <v>9.1199999999999992</v>
      </c>
      <c r="V32" s="10">
        <v>9.1199999999999992</v>
      </c>
      <c r="W32" s="10">
        <v>9.1199999999999992</v>
      </c>
      <c r="X32" s="10">
        <v>9.1199999999999992</v>
      </c>
      <c r="Y32" s="10">
        <v>9.1199999999999992</v>
      </c>
      <c r="Z32" s="10">
        <v>9.1199999999999992</v>
      </c>
      <c r="AA32" s="81">
        <v>9.1199999999999992</v>
      </c>
      <c r="AB32" s="81">
        <v>1.1399999999999999</v>
      </c>
      <c r="AC32" s="10">
        <v>1.1399999999999999</v>
      </c>
      <c r="AD32" s="10">
        <v>1.1399999999999999</v>
      </c>
      <c r="AE32" s="10">
        <v>1.1399999999999999</v>
      </c>
      <c r="AF32" s="10">
        <v>1.1399999999999999</v>
      </c>
      <c r="AG32" s="10">
        <v>1.1399999999999999</v>
      </c>
      <c r="AH32" s="10">
        <v>1.1399999999999999</v>
      </c>
      <c r="AI32" s="10">
        <v>1.1399999999999999</v>
      </c>
      <c r="AJ32" s="10">
        <v>1.1399999999999999</v>
      </c>
      <c r="AK32" s="10">
        <v>1.1399999999999999</v>
      </c>
      <c r="AL32" s="10">
        <v>1.1399999999999999</v>
      </c>
      <c r="AM32" s="10">
        <v>1.1399999999999999</v>
      </c>
      <c r="AN32" s="149">
        <v>1.1399999999999999</v>
      </c>
      <c r="AP32" s="118">
        <f t="shared" si="1"/>
        <v>0</v>
      </c>
      <c r="AR32" s="118">
        <f t="shared" si="2"/>
        <v>0</v>
      </c>
      <c r="AT32" s="127">
        <f t="shared" si="3"/>
        <v>0</v>
      </c>
      <c r="AU32" s="5"/>
      <c r="AV32" s="118">
        <f t="shared" si="4"/>
        <v>0</v>
      </c>
      <c r="AW32" s="5"/>
      <c r="AX32" s="118">
        <f t="shared" si="5"/>
        <v>0</v>
      </c>
      <c r="AY32" s="5"/>
      <c r="AZ32" s="127">
        <f t="shared" si="6"/>
        <v>0</v>
      </c>
      <c r="BA32" s="105">
        <f>3595+200</f>
        <v>3795</v>
      </c>
      <c r="BB32" s="118">
        <f t="shared" si="7"/>
        <v>4326.2999999999993</v>
      </c>
      <c r="BC32" s="105">
        <v>1190</v>
      </c>
      <c r="BD32" s="118">
        <f t="shared" si="8"/>
        <v>1356.6</v>
      </c>
      <c r="BE32" s="5">
        <v>10966</v>
      </c>
      <c r="BF32" s="127">
        <f t="shared" si="9"/>
        <v>12501.24</v>
      </c>
      <c r="BG32" s="105">
        <v>11151</v>
      </c>
      <c r="BH32" s="118">
        <f t="shared" si="10"/>
        <v>12712.14</v>
      </c>
      <c r="BI32" s="5">
        <v>7800</v>
      </c>
      <c r="BJ32" s="118">
        <f t="shared" si="11"/>
        <v>8892</v>
      </c>
      <c r="BK32" s="5">
        <v>4940</v>
      </c>
      <c r="BL32" s="127">
        <f t="shared" si="12"/>
        <v>5631.5999999999995</v>
      </c>
      <c r="BM32" s="220" t="s">
        <v>489</v>
      </c>
      <c r="BO32" s="1" t="s">
        <v>455</v>
      </c>
      <c r="BP32" s="1" t="s">
        <v>491</v>
      </c>
      <c r="BQ32" s="233"/>
      <c r="BR32" s="234"/>
    </row>
    <row r="33" spans="1:70">
      <c r="A33" s="219" t="s">
        <v>451</v>
      </c>
      <c r="B33" s="106" t="s">
        <v>354</v>
      </c>
      <c r="C33" s="66" t="s">
        <v>175</v>
      </c>
      <c r="D33" s="284"/>
      <c r="E33" s="136" t="s">
        <v>176</v>
      </c>
      <c r="F33" s="295"/>
      <c r="G33" s="86" t="s">
        <v>187</v>
      </c>
      <c r="H33" s="85" t="s">
        <v>479</v>
      </c>
      <c r="I33" s="85" t="s">
        <v>184</v>
      </c>
      <c r="J33" s="86" t="s">
        <v>191</v>
      </c>
      <c r="K33" s="85" t="s">
        <v>181</v>
      </c>
      <c r="L33" s="84" t="s">
        <v>185</v>
      </c>
      <c r="M33" s="83" t="s">
        <v>465</v>
      </c>
      <c r="N33" s="83">
        <v>7.9799999999999995</v>
      </c>
      <c r="O33" s="83">
        <v>9.1199999999999992</v>
      </c>
      <c r="P33" s="10">
        <v>9.1199999999999992</v>
      </c>
      <c r="Q33" s="10">
        <v>9.1199999999999992</v>
      </c>
      <c r="R33" s="10">
        <v>9.1199999999999992</v>
      </c>
      <c r="S33" s="10">
        <v>9.1199999999999992</v>
      </c>
      <c r="T33" s="10">
        <v>9.1199999999999992</v>
      </c>
      <c r="U33" s="10">
        <v>9.1199999999999992</v>
      </c>
      <c r="V33" s="10">
        <v>9.1199999999999992</v>
      </c>
      <c r="W33" s="10">
        <v>9.1199999999999992</v>
      </c>
      <c r="X33" s="10">
        <v>9.1199999999999992</v>
      </c>
      <c r="Y33" s="10">
        <v>9.1199999999999992</v>
      </c>
      <c r="Z33" s="10">
        <v>9.1199999999999992</v>
      </c>
      <c r="AA33" s="81">
        <v>9.1199999999999992</v>
      </c>
      <c r="AB33" s="81">
        <v>1.1399999999999999</v>
      </c>
      <c r="AC33" s="10">
        <v>1.1399999999999999</v>
      </c>
      <c r="AD33" s="10">
        <v>1.1399999999999999</v>
      </c>
      <c r="AE33" s="10">
        <v>1.1399999999999999</v>
      </c>
      <c r="AF33" s="10">
        <v>1.1399999999999999</v>
      </c>
      <c r="AG33" s="10">
        <v>1.1399999999999999</v>
      </c>
      <c r="AH33" s="10">
        <v>1.1399999999999999</v>
      </c>
      <c r="AI33" s="10">
        <v>1.1399999999999999</v>
      </c>
      <c r="AJ33" s="10">
        <v>1.1399999999999999</v>
      </c>
      <c r="AK33" s="10">
        <v>1.1399999999999999</v>
      </c>
      <c r="AL33" s="10">
        <v>1.1399999999999999</v>
      </c>
      <c r="AM33" s="10">
        <v>1.1399999999999999</v>
      </c>
      <c r="AN33" s="149">
        <v>1.1399999999999999</v>
      </c>
      <c r="AP33" s="118">
        <f t="shared" si="1"/>
        <v>0</v>
      </c>
      <c r="AR33" s="118">
        <f t="shared" si="2"/>
        <v>0</v>
      </c>
      <c r="AT33" s="127">
        <f t="shared" si="3"/>
        <v>0</v>
      </c>
      <c r="AU33" s="5"/>
      <c r="AV33" s="118">
        <f t="shared" si="4"/>
        <v>0</v>
      </c>
      <c r="AW33" s="5"/>
      <c r="AX33" s="118">
        <f t="shared" si="5"/>
        <v>0</v>
      </c>
      <c r="AY33" s="5"/>
      <c r="AZ33" s="127">
        <f t="shared" si="6"/>
        <v>0</v>
      </c>
      <c r="BA33" s="105">
        <v>78</v>
      </c>
      <c r="BB33" s="118">
        <f t="shared" si="7"/>
        <v>88.919999999999987</v>
      </c>
      <c r="BC33" s="105">
        <v>0</v>
      </c>
      <c r="BD33" s="118">
        <f t="shared" si="8"/>
        <v>0</v>
      </c>
      <c r="BE33" s="5">
        <v>0</v>
      </c>
      <c r="BF33" s="127">
        <f t="shared" si="9"/>
        <v>0</v>
      </c>
      <c r="BG33" s="105">
        <v>0</v>
      </c>
      <c r="BH33" s="118">
        <f t="shared" si="10"/>
        <v>0</v>
      </c>
      <c r="BI33" s="5">
        <v>0</v>
      </c>
      <c r="BJ33" s="118">
        <f t="shared" si="11"/>
        <v>0</v>
      </c>
      <c r="BK33" s="5">
        <v>0</v>
      </c>
      <c r="BL33" s="127">
        <f t="shared" si="12"/>
        <v>0</v>
      </c>
      <c r="BM33" s="220" t="s">
        <v>489</v>
      </c>
      <c r="BO33" s="1" t="s">
        <v>455</v>
      </c>
      <c r="BP33" s="1" t="s">
        <v>492</v>
      </c>
      <c r="BQ33" s="233"/>
      <c r="BR33" s="234"/>
    </row>
    <row r="34" spans="1:70">
      <c r="A34" s="219" t="s">
        <v>451</v>
      </c>
      <c r="B34" s="106" t="s">
        <v>354</v>
      </c>
      <c r="C34" s="66" t="s">
        <v>175</v>
      </c>
      <c r="D34" s="284"/>
      <c r="E34" s="136" t="s">
        <v>176</v>
      </c>
      <c r="F34" s="295"/>
      <c r="G34" s="86" t="s">
        <v>187</v>
      </c>
      <c r="H34" s="85" t="s">
        <v>479</v>
      </c>
      <c r="I34" s="85" t="s">
        <v>184</v>
      </c>
      <c r="J34" s="86" t="s">
        <v>191</v>
      </c>
      <c r="K34" s="85" t="s">
        <v>181</v>
      </c>
      <c r="L34" s="84" t="s">
        <v>185</v>
      </c>
      <c r="M34" s="83" t="s">
        <v>465</v>
      </c>
      <c r="N34" s="83">
        <v>7.9799999999999995</v>
      </c>
      <c r="O34" s="83">
        <v>9.1199999999999992</v>
      </c>
      <c r="P34" s="10">
        <v>9.1199999999999992</v>
      </c>
      <c r="Q34" s="10">
        <v>9.1199999999999992</v>
      </c>
      <c r="R34" s="10">
        <v>9.1199999999999992</v>
      </c>
      <c r="S34" s="10">
        <v>9.1199999999999992</v>
      </c>
      <c r="T34" s="10">
        <v>9.1199999999999992</v>
      </c>
      <c r="U34" s="10">
        <v>9.1199999999999992</v>
      </c>
      <c r="V34" s="10">
        <v>9.1199999999999992</v>
      </c>
      <c r="W34" s="10">
        <v>9.1199999999999992</v>
      </c>
      <c r="X34" s="10">
        <v>9.1199999999999992</v>
      </c>
      <c r="Y34" s="10">
        <v>9.1199999999999992</v>
      </c>
      <c r="Z34" s="10">
        <v>9.1199999999999992</v>
      </c>
      <c r="AA34" s="81">
        <v>9.1199999999999992</v>
      </c>
      <c r="AB34" s="81">
        <v>1.1399999999999999</v>
      </c>
      <c r="AC34" s="10">
        <v>1.1399999999999999</v>
      </c>
      <c r="AD34" s="10">
        <v>1.1399999999999999</v>
      </c>
      <c r="AE34" s="10">
        <v>1.1399999999999999</v>
      </c>
      <c r="AF34" s="10">
        <v>1.1399999999999999</v>
      </c>
      <c r="AG34" s="10">
        <v>1.1399999999999999</v>
      </c>
      <c r="AH34" s="10">
        <v>1.1399999999999999</v>
      </c>
      <c r="AI34" s="10">
        <v>1.1399999999999999</v>
      </c>
      <c r="AJ34" s="10">
        <v>1.1399999999999999</v>
      </c>
      <c r="AK34" s="10">
        <v>1.1399999999999999</v>
      </c>
      <c r="AL34" s="10">
        <v>1.1399999999999999</v>
      </c>
      <c r="AM34" s="10">
        <v>1.1399999999999999</v>
      </c>
      <c r="AN34" s="149">
        <v>1.1399999999999999</v>
      </c>
      <c r="AP34" s="118">
        <f t="shared" si="1"/>
        <v>0</v>
      </c>
      <c r="AR34" s="118">
        <f t="shared" si="2"/>
        <v>0</v>
      </c>
      <c r="AT34" s="127">
        <f t="shared" si="3"/>
        <v>0</v>
      </c>
      <c r="AU34" s="5"/>
      <c r="AV34" s="118">
        <f t="shared" si="4"/>
        <v>0</v>
      </c>
      <c r="AW34" s="5"/>
      <c r="AX34" s="118">
        <f t="shared" si="5"/>
        <v>0</v>
      </c>
      <c r="AY34" s="5"/>
      <c r="AZ34" s="127">
        <f t="shared" si="6"/>
        <v>0</v>
      </c>
      <c r="BA34" s="105">
        <v>199</v>
      </c>
      <c r="BB34" s="118">
        <f t="shared" si="7"/>
        <v>226.85999999999999</v>
      </c>
      <c r="BC34" s="105">
        <v>0</v>
      </c>
      <c r="BD34" s="118">
        <f t="shared" si="8"/>
        <v>0</v>
      </c>
      <c r="BE34" s="5">
        <v>0</v>
      </c>
      <c r="BF34" s="127">
        <f t="shared" si="9"/>
        <v>0</v>
      </c>
      <c r="BG34" s="105">
        <v>359</v>
      </c>
      <c r="BH34" s="118">
        <f t="shared" si="10"/>
        <v>409.26</v>
      </c>
      <c r="BI34" s="5">
        <v>40</v>
      </c>
      <c r="BJ34" s="118">
        <f t="shared" si="11"/>
        <v>45.599999999999994</v>
      </c>
      <c r="BK34" s="5">
        <v>202</v>
      </c>
      <c r="BL34" s="127">
        <f t="shared" si="12"/>
        <v>230.27999999999997</v>
      </c>
      <c r="BM34" s="220" t="s">
        <v>489</v>
      </c>
      <c r="BO34" s="1" t="s">
        <v>455</v>
      </c>
      <c r="BP34" s="1" t="s">
        <v>493</v>
      </c>
      <c r="BQ34" s="233"/>
      <c r="BR34" s="234"/>
    </row>
    <row r="35" spans="1:70">
      <c r="A35" s="219" t="s">
        <v>451</v>
      </c>
      <c r="B35" s="106" t="s">
        <v>354</v>
      </c>
      <c r="C35" s="66" t="s">
        <v>175</v>
      </c>
      <c r="D35" s="284"/>
      <c r="E35" s="136" t="s">
        <v>176</v>
      </c>
      <c r="F35" s="295"/>
      <c r="G35" s="86" t="s">
        <v>187</v>
      </c>
      <c r="H35" s="85" t="s">
        <v>479</v>
      </c>
      <c r="I35" s="85" t="s">
        <v>184</v>
      </c>
      <c r="J35" s="86" t="s">
        <v>191</v>
      </c>
      <c r="K35" s="85" t="s">
        <v>181</v>
      </c>
      <c r="L35" s="84" t="s">
        <v>185</v>
      </c>
      <c r="M35" s="83" t="s">
        <v>465</v>
      </c>
      <c r="N35" s="83">
        <v>7.9799999999999995</v>
      </c>
      <c r="O35" s="83">
        <v>9.1199999999999992</v>
      </c>
      <c r="P35" s="10">
        <v>9.1199999999999992</v>
      </c>
      <c r="Q35" s="10">
        <v>9.1199999999999992</v>
      </c>
      <c r="R35" s="10">
        <v>9.1199999999999992</v>
      </c>
      <c r="S35" s="10">
        <v>9.1199999999999992</v>
      </c>
      <c r="T35" s="10">
        <v>9.1199999999999992</v>
      </c>
      <c r="U35" s="10">
        <v>9.1199999999999992</v>
      </c>
      <c r="V35" s="10">
        <v>9.1199999999999992</v>
      </c>
      <c r="W35" s="10">
        <v>9.1199999999999992</v>
      </c>
      <c r="X35" s="10">
        <v>9.1199999999999992</v>
      </c>
      <c r="Y35" s="10">
        <v>9.1199999999999992</v>
      </c>
      <c r="Z35" s="10">
        <v>9.1199999999999992</v>
      </c>
      <c r="AA35" s="81">
        <v>9.1199999999999992</v>
      </c>
      <c r="AB35" s="81">
        <v>1.1399999999999999</v>
      </c>
      <c r="AC35" s="10">
        <v>1.1399999999999999</v>
      </c>
      <c r="AD35" s="10">
        <v>1.1399999999999999</v>
      </c>
      <c r="AE35" s="10">
        <v>1.1399999999999999</v>
      </c>
      <c r="AF35" s="10">
        <v>1.1399999999999999</v>
      </c>
      <c r="AG35" s="10">
        <v>1.1399999999999999</v>
      </c>
      <c r="AH35" s="10">
        <v>1.1399999999999999</v>
      </c>
      <c r="AI35" s="10">
        <v>1.1399999999999999</v>
      </c>
      <c r="AJ35" s="10">
        <v>1.1399999999999999</v>
      </c>
      <c r="AK35" s="10">
        <v>1.1399999999999999</v>
      </c>
      <c r="AL35" s="10">
        <v>1.1399999999999999</v>
      </c>
      <c r="AM35" s="10">
        <v>1.1399999999999999</v>
      </c>
      <c r="AN35" s="149">
        <v>1.1399999999999999</v>
      </c>
      <c r="AP35" s="118">
        <f t="shared" si="1"/>
        <v>0</v>
      </c>
      <c r="AR35" s="118">
        <f t="shared" si="2"/>
        <v>0</v>
      </c>
      <c r="AT35" s="127">
        <f t="shared" si="3"/>
        <v>0</v>
      </c>
      <c r="AU35" s="5"/>
      <c r="AV35" s="118">
        <f t="shared" si="4"/>
        <v>0</v>
      </c>
      <c r="AW35" s="5"/>
      <c r="AX35" s="118">
        <f t="shared" si="5"/>
        <v>0</v>
      </c>
      <c r="AY35" s="5"/>
      <c r="AZ35" s="127">
        <f t="shared" si="6"/>
        <v>0</v>
      </c>
      <c r="BA35" s="105">
        <v>840</v>
      </c>
      <c r="BB35" s="118">
        <f t="shared" si="7"/>
        <v>957.59999999999991</v>
      </c>
      <c r="BC35" s="105">
        <v>0</v>
      </c>
      <c r="BD35" s="118">
        <f t="shared" si="8"/>
        <v>0</v>
      </c>
      <c r="BE35" s="5">
        <v>0</v>
      </c>
      <c r="BF35" s="127">
        <f t="shared" si="9"/>
        <v>0</v>
      </c>
      <c r="BG35" s="105">
        <v>40</v>
      </c>
      <c r="BH35" s="118">
        <f t="shared" si="10"/>
        <v>45.599999999999994</v>
      </c>
      <c r="BI35" s="5">
        <v>199</v>
      </c>
      <c r="BJ35" s="118">
        <f t="shared" si="11"/>
        <v>226.85999999999999</v>
      </c>
      <c r="BK35" s="5">
        <v>0</v>
      </c>
      <c r="BL35" s="127">
        <f t="shared" si="12"/>
        <v>0</v>
      </c>
      <c r="BM35" s="220" t="s">
        <v>489</v>
      </c>
      <c r="BO35" s="1" t="s">
        <v>455</v>
      </c>
      <c r="BP35" s="1" t="s">
        <v>486</v>
      </c>
      <c r="BQ35" s="233"/>
      <c r="BR35" s="234"/>
    </row>
    <row r="36" spans="1:70">
      <c r="A36" s="219" t="s">
        <v>451</v>
      </c>
      <c r="B36" s="106" t="s">
        <v>354</v>
      </c>
      <c r="C36" s="66" t="s">
        <v>175</v>
      </c>
      <c r="D36" s="284"/>
      <c r="E36" s="136" t="s">
        <v>176</v>
      </c>
      <c r="F36" s="295"/>
      <c r="G36" s="86" t="s">
        <v>187</v>
      </c>
      <c r="H36" s="85" t="s">
        <v>479</v>
      </c>
      <c r="I36" s="85" t="s">
        <v>184</v>
      </c>
      <c r="J36" s="86" t="s">
        <v>191</v>
      </c>
      <c r="K36" s="85" t="s">
        <v>181</v>
      </c>
      <c r="L36" s="84" t="s">
        <v>185</v>
      </c>
      <c r="M36" s="83" t="s">
        <v>465</v>
      </c>
      <c r="N36" s="83">
        <v>7.9799999999999995</v>
      </c>
      <c r="O36" s="83">
        <v>9.1199999999999992</v>
      </c>
      <c r="P36" s="10">
        <v>9.1199999999999992</v>
      </c>
      <c r="Q36" s="10">
        <v>9.1199999999999992</v>
      </c>
      <c r="R36" s="10">
        <v>9.1199999999999992</v>
      </c>
      <c r="S36" s="10">
        <v>9.1199999999999992</v>
      </c>
      <c r="T36" s="10">
        <v>9.1199999999999992</v>
      </c>
      <c r="U36" s="10">
        <v>9.1199999999999992</v>
      </c>
      <c r="V36" s="10">
        <v>9.1199999999999992</v>
      </c>
      <c r="W36" s="10">
        <v>9.1199999999999992</v>
      </c>
      <c r="X36" s="10">
        <v>9.1199999999999992</v>
      </c>
      <c r="Y36" s="10">
        <v>9.1199999999999992</v>
      </c>
      <c r="Z36" s="10">
        <v>9.1199999999999992</v>
      </c>
      <c r="AA36" s="81">
        <v>9.1199999999999992</v>
      </c>
      <c r="AB36" s="81">
        <v>1.1399999999999999</v>
      </c>
      <c r="AC36" s="10">
        <v>1.1399999999999999</v>
      </c>
      <c r="AD36" s="10">
        <v>1.1399999999999999</v>
      </c>
      <c r="AE36" s="10">
        <v>1.1399999999999999</v>
      </c>
      <c r="AF36" s="10">
        <v>1.1399999999999999</v>
      </c>
      <c r="AG36" s="10">
        <v>1.1399999999999999</v>
      </c>
      <c r="AH36" s="10">
        <v>1.1399999999999999</v>
      </c>
      <c r="AI36" s="10">
        <v>1.1399999999999999</v>
      </c>
      <c r="AJ36" s="10">
        <v>1.1399999999999999</v>
      </c>
      <c r="AK36" s="10">
        <v>1.1399999999999999</v>
      </c>
      <c r="AL36" s="10">
        <v>1.1399999999999999</v>
      </c>
      <c r="AM36" s="10">
        <v>1.1399999999999999</v>
      </c>
      <c r="AN36" s="149">
        <v>1.1399999999999999</v>
      </c>
      <c r="AO36" s="5">
        <v>13805</v>
      </c>
      <c r="AP36" s="118">
        <f t="shared" si="1"/>
        <v>15737.699999999999</v>
      </c>
      <c r="AQ36" s="5">
        <v>12432</v>
      </c>
      <c r="AR36" s="118">
        <f t="shared" si="2"/>
        <v>14172.48</v>
      </c>
      <c r="AS36" s="5">
        <v>40011</v>
      </c>
      <c r="AT36" s="127">
        <f t="shared" si="3"/>
        <v>45612.539999999994</v>
      </c>
      <c r="AU36" s="5">
        <v>10220</v>
      </c>
      <c r="AV36" s="118">
        <f t="shared" si="4"/>
        <v>11650.8</v>
      </c>
      <c r="AW36" s="5">
        <v>6653</v>
      </c>
      <c r="AX36" s="118">
        <f t="shared" si="5"/>
        <v>7584.4199999999992</v>
      </c>
      <c r="AY36" s="5">
        <v>24888</v>
      </c>
      <c r="AZ36" s="127">
        <f t="shared" si="6"/>
        <v>28372.319999999996</v>
      </c>
      <c r="BA36" s="105">
        <v>0</v>
      </c>
      <c r="BB36" s="118">
        <f t="shared" si="7"/>
        <v>0</v>
      </c>
      <c r="BC36" s="105">
        <v>0</v>
      </c>
      <c r="BD36" s="118">
        <f t="shared" si="8"/>
        <v>0</v>
      </c>
      <c r="BE36" s="5">
        <v>0</v>
      </c>
      <c r="BF36" s="127">
        <f t="shared" si="9"/>
        <v>0</v>
      </c>
      <c r="BG36" s="105">
        <v>0</v>
      </c>
      <c r="BH36" s="118">
        <f t="shared" ref="BH36:BH99" si="13">AL36*BG36</f>
        <v>0</v>
      </c>
      <c r="BI36" s="5">
        <v>0</v>
      </c>
      <c r="BJ36" s="118">
        <f t="shared" si="11"/>
        <v>0</v>
      </c>
      <c r="BK36" s="5">
        <v>0</v>
      </c>
      <c r="BL36" s="127">
        <f t="shared" si="12"/>
        <v>0</v>
      </c>
      <c r="BM36" s="220" t="s">
        <v>494</v>
      </c>
      <c r="BO36" s="1" t="s">
        <v>455</v>
      </c>
      <c r="BP36" s="1" t="s">
        <v>490</v>
      </c>
      <c r="BQ36" s="233"/>
      <c r="BR36" s="234"/>
    </row>
    <row r="37" spans="1:70">
      <c r="A37" s="219" t="s">
        <v>451</v>
      </c>
      <c r="B37" s="106" t="s">
        <v>354</v>
      </c>
      <c r="C37" s="66" t="s">
        <v>175</v>
      </c>
      <c r="D37" s="284"/>
      <c r="E37" s="136" t="s">
        <v>176</v>
      </c>
      <c r="F37" s="295"/>
      <c r="G37" s="86" t="s">
        <v>187</v>
      </c>
      <c r="H37" s="85" t="s">
        <v>479</v>
      </c>
      <c r="I37" s="85" t="s">
        <v>184</v>
      </c>
      <c r="J37" s="86" t="s">
        <v>191</v>
      </c>
      <c r="K37" s="85" t="s">
        <v>181</v>
      </c>
      <c r="L37" s="84" t="s">
        <v>185</v>
      </c>
      <c r="M37" s="83" t="s">
        <v>465</v>
      </c>
      <c r="N37" s="83">
        <v>7.9799999999999995</v>
      </c>
      <c r="O37" s="83">
        <v>9.1199999999999992</v>
      </c>
      <c r="P37" s="10">
        <v>9.1199999999999992</v>
      </c>
      <c r="Q37" s="10">
        <v>9.1199999999999992</v>
      </c>
      <c r="R37" s="10">
        <v>9.1199999999999992</v>
      </c>
      <c r="S37" s="10">
        <v>9.1199999999999992</v>
      </c>
      <c r="T37" s="10">
        <v>9.1199999999999992</v>
      </c>
      <c r="U37" s="10">
        <v>9.1199999999999992</v>
      </c>
      <c r="V37" s="10">
        <v>9.1199999999999992</v>
      </c>
      <c r="W37" s="10">
        <v>9.1199999999999992</v>
      </c>
      <c r="X37" s="10">
        <v>9.1199999999999992</v>
      </c>
      <c r="Y37" s="10">
        <v>9.1199999999999992</v>
      </c>
      <c r="Z37" s="10">
        <v>9.1199999999999992</v>
      </c>
      <c r="AA37" s="81">
        <v>9.1199999999999992</v>
      </c>
      <c r="AB37" s="81">
        <v>1.1399999999999999</v>
      </c>
      <c r="AC37" s="10">
        <v>1.1399999999999999</v>
      </c>
      <c r="AD37" s="10">
        <v>1.1399999999999999</v>
      </c>
      <c r="AE37" s="10">
        <v>1.1399999999999999</v>
      </c>
      <c r="AF37" s="10">
        <v>1.1399999999999999</v>
      </c>
      <c r="AG37" s="10">
        <v>1.1399999999999999</v>
      </c>
      <c r="AH37" s="10">
        <v>1.1399999999999999</v>
      </c>
      <c r="AI37" s="10">
        <v>1.1399999999999999</v>
      </c>
      <c r="AJ37" s="10">
        <v>1.1399999999999999</v>
      </c>
      <c r="AK37" s="10">
        <v>1.1399999999999999</v>
      </c>
      <c r="AL37" s="10">
        <v>1.1399999999999999</v>
      </c>
      <c r="AM37" s="10">
        <v>1.1399999999999999</v>
      </c>
      <c r="AN37" s="149">
        <v>1.1399999999999999</v>
      </c>
      <c r="AP37" s="118">
        <f t="shared" si="1"/>
        <v>0</v>
      </c>
      <c r="AR37" s="118">
        <f t="shared" si="2"/>
        <v>0</v>
      </c>
      <c r="AT37" s="127">
        <f t="shared" si="3"/>
        <v>0</v>
      </c>
      <c r="AU37" s="5"/>
      <c r="AV37" s="118">
        <f t="shared" si="4"/>
        <v>0</v>
      </c>
      <c r="AW37" s="5"/>
      <c r="AX37" s="118">
        <f t="shared" si="5"/>
        <v>0</v>
      </c>
      <c r="AY37" s="5"/>
      <c r="AZ37" s="127">
        <f t="shared" si="6"/>
        <v>0</v>
      </c>
      <c r="BA37" s="105">
        <v>16770</v>
      </c>
      <c r="BB37" s="118">
        <f t="shared" si="7"/>
        <v>19117.8</v>
      </c>
      <c r="BC37" s="105">
        <v>0</v>
      </c>
      <c r="BD37" s="118">
        <f t="shared" si="8"/>
        <v>0</v>
      </c>
      <c r="BE37" s="5">
        <v>0</v>
      </c>
      <c r="BF37" s="127">
        <f t="shared" si="9"/>
        <v>0</v>
      </c>
      <c r="BG37" s="105">
        <v>0</v>
      </c>
      <c r="BH37" s="118">
        <f t="shared" si="13"/>
        <v>0</v>
      </c>
      <c r="BI37" s="5">
        <v>0</v>
      </c>
      <c r="BJ37" s="118">
        <f t="shared" si="11"/>
        <v>0</v>
      </c>
      <c r="BK37" s="5">
        <v>0</v>
      </c>
      <c r="BL37" s="127">
        <f t="shared" si="12"/>
        <v>0</v>
      </c>
      <c r="BM37" s="220" t="s">
        <v>494</v>
      </c>
      <c r="BO37" s="1" t="s">
        <v>455</v>
      </c>
      <c r="BP37" s="1" t="s">
        <v>481</v>
      </c>
      <c r="BQ37" s="233"/>
      <c r="BR37" s="234"/>
    </row>
    <row r="38" spans="1:70">
      <c r="A38" s="219" t="s">
        <v>451</v>
      </c>
      <c r="B38" s="106" t="s">
        <v>354</v>
      </c>
      <c r="C38" s="66" t="s">
        <v>175</v>
      </c>
      <c r="D38" s="284"/>
      <c r="E38" s="136" t="s">
        <v>176</v>
      </c>
      <c r="F38" s="295"/>
      <c r="G38" s="86" t="s">
        <v>187</v>
      </c>
      <c r="H38" s="85" t="s">
        <v>479</v>
      </c>
      <c r="I38" s="85" t="s">
        <v>184</v>
      </c>
      <c r="J38" s="86" t="s">
        <v>191</v>
      </c>
      <c r="K38" s="85" t="s">
        <v>181</v>
      </c>
      <c r="L38" s="84" t="s">
        <v>185</v>
      </c>
      <c r="M38" s="83" t="s">
        <v>465</v>
      </c>
      <c r="N38" s="83">
        <v>7.9799999999999995</v>
      </c>
      <c r="O38" s="83">
        <v>9.1199999999999992</v>
      </c>
      <c r="P38" s="10">
        <v>9.1199999999999992</v>
      </c>
      <c r="Q38" s="10">
        <v>9.1199999999999992</v>
      </c>
      <c r="R38" s="10">
        <v>9.1199999999999992</v>
      </c>
      <c r="S38" s="10">
        <v>9.1199999999999992</v>
      </c>
      <c r="T38" s="10">
        <v>9.1199999999999992</v>
      </c>
      <c r="U38" s="10">
        <v>9.1199999999999992</v>
      </c>
      <c r="V38" s="10">
        <v>9.1199999999999992</v>
      </c>
      <c r="W38" s="10">
        <v>9.1199999999999992</v>
      </c>
      <c r="X38" s="10">
        <v>9.1199999999999992</v>
      </c>
      <c r="Y38" s="10">
        <v>9.1199999999999992</v>
      </c>
      <c r="Z38" s="10">
        <v>9.1199999999999992</v>
      </c>
      <c r="AA38" s="81">
        <v>9.1199999999999992</v>
      </c>
      <c r="AB38" s="81">
        <v>1.1399999999999999</v>
      </c>
      <c r="AC38" s="10">
        <v>1.1399999999999999</v>
      </c>
      <c r="AD38" s="10">
        <v>1.1399999999999999</v>
      </c>
      <c r="AE38" s="10">
        <v>1.1399999999999999</v>
      </c>
      <c r="AF38" s="10">
        <v>1.1399999999999999</v>
      </c>
      <c r="AG38" s="10">
        <v>1.1399999999999999</v>
      </c>
      <c r="AH38" s="10">
        <v>1.1399999999999999</v>
      </c>
      <c r="AI38" s="10">
        <v>1.1399999999999999</v>
      </c>
      <c r="AJ38" s="10">
        <v>1.1399999999999999</v>
      </c>
      <c r="AK38" s="10">
        <v>1.1399999999999999</v>
      </c>
      <c r="AL38" s="10">
        <v>1.1399999999999999</v>
      </c>
      <c r="AM38" s="10">
        <v>1.1399999999999999</v>
      </c>
      <c r="AN38" s="149">
        <v>1.1399999999999999</v>
      </c>
      <c r="AO38" s="5">
        <v>0</v>
      </c>
      <c r="AP38" s="118">
        <f t="shared" si="1"/>
        <v>0</v>
      </c>
      <c r="AQ38" s="5">
        <v>0</v>
      </c>
      <c r="AR38" s="118">
        <f t="shared" si="2"/>
        <v>0</v>
      </c>
      <c r="AS38" s="5">
        <v>200</v>
      </c>
      <c r="AT38" s="127">
        <f t="shared" si="3"/>
        <v>227.99999999999997</v>
      </c>
      <c r="AU38" s="5">
        <v>0</v>
      </c>
      <c r="AV38" s="118">
        <f t="shared" si="4"/>
        <v>0</v>
      </c>
      <c r="AW38" s="5">
        <v>0</v>
      </c>
      <c r="AX38" s="118">
        <f t="shared" si="5"/>
        <v>0</v>
      </c>
      <c r="AY38" s="5">
        <v>200</v>
      </c>
      <c r="AZ38" s="127">
        <f t="shared" si="6"/>
        <v>227.99999999999997</v>
      </c>
      <c r="BA38" s="105">
        <v>0</v>
      </c>
      <c r="BB38" s="118">
        <f t="shared" si="7"/>
        <v>0</v>
      </c>
      <c r="BC38" s="105">
        <v>0</v>
      </c>
      <c r="BD38" s="118">
        <f t="shared" si="8"/>
        <v>0</v>
      </c>
      <c r="BE38" s="5">
        <v>0</v>
      </c>
      <c r="BF38" s="127">
        <f t="shared" si="9"/>
        <v>0</v>
      </c>
      <c r="BG38" s="105">
        <v>0</v>
      </c>
      <c r="BH38" s="118">
        <f t="shared" si="13"/>
        <v>0</v>
      </c>
      <c r="BI38" s="5">
        <v>0</v>
      </c>
      <c r="BJ38" s="118">
        <f t="shared" si="11"/>
        <v>0</v>
      </c>
      <c r="BK38" s="5">
        <v>0</v>
      </c>
      <c r="BL38" s="127">
        <f t="shared" si="12"/>
        <v>0</v>
      </c>
      <c r="BM38" s="220" t="s">
        <v>495</v>
      </c>
      <c r="BO38" s="1" t="s">
        <v>455</v>
      </c>
      <c r="BP38" s="1" t="s">
        <v>482</v>
      </c>
      <c r="BQ38" s="233"/>
      <c r="BR38" s="234"/>
    </row>
    <row r="39" spans="1:70">
      <c r="A39" s="219" t="s">
        <v>451</v>
      </c>
      <c r="B39" s="106" t="s">
        <v>354</v>
      </c>
      <c r="C39" s="66" t="s">
        <v>175</v>
      </c>
      <c r="D39" s="284"/>
      <c r="E39" s="136" t="s">
        <v>176</v>
      </c>
      <c r="F39" s="295"/>
      <c r="G39" s="86" t="s">
        <v>187</v>
      </c>
      <c r="H39" s="85" t="s">
        <v>479</v>
      </c>
      <c r="I39" s="85" t="s">
        <v>184</v>
      </c>
      <c r="J39" s="86" t="s">
        <v>191</v>
      </c>
      <c r="K39" s="85" t="s">
        <v>181</v>
      </c>
      <c r="L39" s="84" t="s">
        <v>185</v>
      </c>
      <c r="M39" s="83" t="s">
        <v>465</v>
      </c>
      <c r="N39" s="83">
        <v>7.9799999999999995</v>
      </c>
      <c r="O39" s="83">
        <v>9.1199999999999992</v>
      </c>
      <c r="P39" s="10">
        <v>9.1199999999999992</v>
      </c>
      <c r="Q39" s="10">
        <v>9.1199999999999992</v>
      </c>
      <c r="R39" s="10">
        <v>9.1199999999999992</v>
      </c>
      <c r="S39" s="10">
        <v>9.1199999999999992</v>
      </c>
      <c r="T39" s="10">
        <v>9.1199999999999992</v>
      </c>
      <c r="U39" s="10">
        <v>9.1199999999999992</v>
      </c>
      <c r="V39" s="10">
        <v>9.1199999999999992</v>
      </c>
      <c r="W39" s="10">
        <v>9.1199999999999992</v>
      </c>
      <c r="X39" s="10">
        <v>9.1199999999999992</v>
      </c>
      <c r="Y39" s="10">
        <v>9.1199999999999992</v>
      </c>
      <c r="Z39" s="10">
        <v>9.1199999999999992</v>
      </c>
      <c r="AA39" s="81">
        <v>9.1199999999999992</v>
      </c>
      <c r="AB39" s="81">
        <v>1.1399999999999999</v>
      </c>
      <c r="AC39" s="10">
        <v>1.1399999999999999</v>
      </c>
      <c r="AD39" s="10">
        <v>1.1399999999999999</v>
      </c>
      <c r="AE39" s="10">
        <v>1.1399999999999999</v>
      </c>
      <c r="AF39" s="10">
        <v>1.1399999999999999</v>
      </c>
      <c r="AG39" s="10">
        <v>1.1399999999999999</v>
      </c>
      <c r="AH39" s="10">
        <v>1.1399999999999999</v>
      </c>
      <c r="AI39" s="10">
        <v>1.1399999999999999</v>
      </c>
      <c r="AJ39" s="10">
        <v>1.1399999999999999</v>
      </c>
      <c r="AK39" s="10">
        <v>1.1399999999999999</v>
      </c>
      <c r="AL39" s="10">
        <v>1.1399999999999999</v>
      </c>
      <c r="AM39" s="10">
        <v>1.1399999999999999</v>
      </c>
      <c r="AN39" s="149">
        <v>1.1399999999999999</v>
      </c>
      <c r="AP39" s="118">
        <f t="shared" si="1"/>
        <v>0</v>
      </c>
      <c r="AR39" s="118">
        <f t="shared" si="2"/>
        <v>0</v>
      </c>
      <c r="AT39" s="127">
        <f t="shared" si="3"/>
        <v>0</v>
      </c>
      <c r="AU39" s="5"/>
      <c r="AV39" s="118">
        <f t="shared" si="4"/>
        <v>0</v>
      </c>
      <c r="AW39" s="5"/>
      <c r="AX39" s="118">
        <f t="shared" si="5"/>
        <v>0</v>
      </c>
      <c r="AY39" s="5"/>
      <c r="AZ39" s="127">
        <f t="shared" si="6"/>
        <v>0</v>
      </c>
      <c r="BA39" s="105">
        <v>0</v>
      </c>
      <c r="BB39" s="118">
        <f t="shared" si="7"/>
        <v>0</v>
      </c>
      <c r="BC39" s="105">
        <v>0</v>
      </c>
      <c r="BD39" s="118">
        <f t="shared" si="8"/>
        <v>0</v>
      </c>
      <c r="BE39" s="5">
        <v>0</v>
      </c>
      <c r="BF39" s="127">
        <f t="shared" si="9"/>
        <v>0</v>
      </c>
      <c r="BG39" s="105">
        <v>0</v>
      </c>
      <c r="BH39" s="118">
        <f t="shared" si="13"/>
        <v>0</v>
      </c>
      <c r="BI39" s="5">
        <v>0</v>
      </c>
      <c r="BJ39" s="118">
        <f t="shared" si="11"/>
        <v>0</v>
      </c>
      <c r="BK39" s="5">
        <v>0</v>
      </c>
      <c r="BL39" s="127">
        <f t="shared" si="12"/>
        <v>0</v>
      </c>
      <c r="BM39" s="220" t="s">
        <v>495</v>
      </c>
      <c r="BO39" s="1" t="s">
        <v>455</v>
      </c>
      <c r="BP39" s="1" t="s">
        <v>496</v>
      </c>
      <c r="BQ39" s="233"/>
      <c r="BR39" s="234"/>
    </row>
    <row r="40" spans="1:70">
      <c r="A40" s="219" t="s">
        <v>451</v>
      </c>
      <c r="B40" s="106" t="s">
        <v>354</v>
      </c>
      <c r="C40" s="66" t="s">
        <v>175</v>
      </c>
      <c r="D40" s="284"/>
      <c r="E40" s="136" t="s">
        <v>176</v>
      </c>
      <c r="F40" s="295"/>
      <c r="G40" s="86" t="s">
        <v>187</v>
      </c>
      <c r="H40" s="85" t="s">
        <v>479</v>
      </c>
      <c r="I40" s="85" t="s">
        <v>184</v>
      </c>
      <c r="J40" s="86" t="s">
        <v>191</v>
      </c>
      <c r="K40" s="85" t="s">
        <v>181</v>
      </c>
      <c r="L40" s="84" t="s">
        <v>185</v>
      </c>
      <c r="M40" s="83" t="s">
        <v>465</v>
      </c>
      <c r="N40" s="83">
        <v>7.9799999999999995</v>
      </c>
      <c r="O40" s="83">
        <v>9.1199999999999992</v>
      </c>
      <c r="P40" s="10">
        <v>9.1199999999999992</v>
      </c>
      <c r="Q40" s="10">
        <v>9.1199999999999992</v>
      </c>
      <c r="R40" s="10">
        <v>9.1199999999999992</v>
      </c>
      <c r="S40" s="10">
        <v>9.1199999999999992</v>
      </c>
      <c r="T40" s="10">
        <v>9.1199999999999992</v>
      </c>
      <c r="U40" s="10">
        <v>9.1199999999999992</v>
      </c>
      <c r="V40" s="10">
        <v>9.1199999999999992</v>
      </c>
      <c r="W40" s="10">
        <v>9.1199999999999992</v>
      </c>
      <c r="X40" s="10">
        <v>9.1199999999999992</v>
      </c>
      <c r="Y40" s="10">
        <v>9.1199999999999992</v>
      </c>
      <c r="Z40" s="10">
        <v>9.1199999999999992</v>
      </c>
      <c r="AA40" s="81">
        <v>9.1199999999999992</v>
      </c>
      <c r="AB40" s="81">
        <v>1.1399999999999999</v>
      </c>
      <c r="AC40" s="10">
        <v>1.1399999999999999</v>
      </c>
      <c r="AD40" s="10">
        <v>1.1399999999999999</v>
      </c>
      <c r="AE40" s="10">
        <v>1.1399999999999999</v>
      </c>
      <c r="AF40" s="10">
        <v>1.1399999999999999</v>
      </c>
      <c r="AG40" s="10">
        <v>1.1399999999999999</v>
      </c>
      <c r="AH40" s="10">
        <v>1.1399999999999999</v>
      </c>
      <c r="AI40" s="10">
        <v>1.1399999999999999</v>
      </c>
      <c r="AJ40" s="10">
        <v>1.1399999999999999</v>
      </c>
      <c r="AK40" s="10">
        <v>1.1399999999999999</v>
      </c>
      <c r="AL40" s="10">
        <v>1.1399999999999999</v>
      </c>
      <c r="AM40" s="10">
        <v>1.1399999999999999</v>
      </c>
      <c r="AN40" s="149">
        <v>1.1399999999999999</v>
      </c>
      <c r="AP40" s="118">
        <f t="shared" si="1"/>
        <v>0</v>
      </c>
      <c r="AR40" s="118">
        <f t="shared" si="2"/>
        <v>0</v>
      </c>
      <c r="AT40" s="127">
        <f t="shared" si="3"/>
        <v>0</v>
      </c>
      <c r="AU40" s="5"/>
      <c r="AV40" s="118">
        <f t="shared" si="4"/>
        <v>0</v>
      </c>
      <c r="AW40" s="5"/>
      <c r="AX40" s="118">
        <f t="shared" si="5"/>
        <v>0</v>
      </c>
      <c r="AY40" s="5"/>
      <c r="AZ40" s="127">
        <f t="shared" si="6"/>
        <v>0</v>
      </c>
      <c r="BA40" s="105">
        <v>0</v>
      </c>
      <c r="BB40" s="118">
        <f t="shared" si="7"/>
        <v>0</v>
      </c>
      <c r="BC40" s="105">
        <v>0</v>
      </c>
      <c r="BD40" s="118">
        <f t="shared" si="8"/>
        <v>0</v>
      </c>
      <c r="BE40" s="5">
        <v>0</v>
      </c>
      <c r="BF40" s="127">
        <f t="shared" si="9"/>
        <v>0</v>
      </c>
      <c r="BG40" s="105">
        <v>0</v>
      </c>
      <c r="BH40" s="118">
        <f t="shared" si="13"/>
        <v>0</v>
      </c>
      <c r="BI40" s="5">
        <v>0</v>
      </c>
      <c r="BJ40" s="118">
        <f t="shared" si="11"/>
        <v>0</v>
      </c>
      <c r="BK40" s="5">
        <v>0</v>
      </c>
      <c r="BL40" s="127">
        <f t="shared" si="12"/>
        <v>0</v>
      </c>
      <c r="BM40" s="243" t="s">
        <v>497</v>
      </c>
      <c r="BO40" s="1" t="s">
        <v>455</v>
      </c>
      <c r="BP40" s="243" t="s">
        <v>498</v>
      </c>
      <c r="BQ40" s="233"/>
      <c r="BR40" s="234"/>
    </row>
    <row r="41" spans="1:70">
      <c r="A41" s="219" t="s">
        <v>451</v>
      </c>
      <c r="B41" s="106" t="s">
        <v>354</v>
      </c>
      <c r="C41" s="66" t="s">
        <v>175</v>
      </c>
      <c r="D41" s="284"/>
      <c r="E41" s="136" t="s">
        <v>176</v>
      </c>
      <c r="F41" s="295"/>
      <c r="G41" s="86" t="s">
        <v>187</v>
      </c>
      <c r="H41" s="85" t="s">
        <v>479</v>
      </c>
      <c r="I41" s="85" t="s">
        <v>184</v>
      </c>
      <c r="J41" s="86" t="s">
        <v>191</v>
      </c>
      <c r="K41" s="85" t="s">
        <v>181</v>
      </c>
      <c r="L41" s="84" t="s">
        <v>185</v>
      </c>
      <c r="M41" s="83" t="s">
        <v>465</v>
      </c>
      <c r="N41" s="83">
        <v>7.9799999999999995</v>
      </c>
      <c r="O41" s="83">
        <v>9.1199999999999992</v>
      </c>
      <c r="P41" s="10">
        <v>9.1199999999999992</v>
      </c>
      <c r="Q41" s="10">
        <v>9.1199999999999992</v>
      </c>
      <c r="R41" s="10">
        <v>9.1199999999999992</v>
      </c>
      <c r="S41" s="10">
        <v>9.1199999999999992</v>
      </c>
      <c r="T41" s="10">
        <v>9.1199999999999992</v>
      </c>
      <c r="U41" s="10">
        <v>9.1199999999999992</v>
      </c>
      <c r="V41" s="10">
        <v>9.1199999999999992</v>
      </c>
      <c r="W41" s="10">
        <v>9.1199999999999992</v>
      </c>
      <c r="X41" s="10">
        <v>9.1199999999999992</v>
      </c>
      <c r="Y41" s="10">
        <v>9.1199999999999992</v>
      </c>
      <c r="Z41" s="10">
        <v>9.1199999999999992</v>
      </c>
      <c r="AA41" s="81">
        <v>9.1199999999999992</v>
      </c>
      <c r="AB41" s="81">
        <v>1.1399999999999999</v>
      </c>
      <c r="AC41" s="10">
        <v>1.1399999999999999</v>
      </c>
      <c r="AD41" s="10">
        <v>1.1399999999999999</v>
      </c>
      <c r="AE41" s="10">
        <v>1.1399999999999999</v>
      </c>
      <c r="AF41" s="10">
        <v>1.1399999999999999</v>
      </c>
      <c r="AG41" s="10">
        <v>1.1399999999999999</v>
      </c>
      <c r="AH41" s="10">
        <v>1.1399999999999999</v>
      </c>
      <c r="AI41" s="10">
        <v>1.1399999999999999</v>
      </c>
      <c r="AJ41" s="10">
        <v>1.1399999999999999</v>
      </c>
      <c r="AK41" s="10">
        <v>1.1399999999999999</v>
      </c>
      <c r="AL41" s="10">
        <v>1.1399999999999999</v>
      </c>
      <c r="AM41" s="10">
        <v>1.1399999999999999</v>
      </c>
      <c r="AN41" s="149">
        <v>1.1399999999999999</v>
      </c>
      <c r="AP41" s="118">
        <f t="shared" ref="AP41:AP42" si="14">AC41*AO41</f>
        <v>0</v>
      </c>
      <c r="AR41" s="118">
        <f t="shared" ref="AR41:AR42" si="15">AD41*AQ41</f>
        <v>0</v>
      </c>
      <c r="AT41" s="127">
        <f t="shared" ref="AT41:AT42" si="16">AE41*AS41</f>
        <v>0</v>
      </c>
      <c r="AU41" s="5"/>
      <c r="AV41" s="118">
        <f t="shared" ref="AV41:AV42" si="17">AF41*AU41</f>
        <v>0</v>
      </c>
      <c r="AW41" s="5"/>
      <c r="AX41" s="118">
        <f t="shared" ref="AX41:AX42" si="18">AG41*AW41</f>
        <v>0</v>
      </c>
      <c r="AY41" s="5"/>
      <c r="AZ41" s="127">
        <f t="shared" ref="AZ41:AZ42" si="19">AH41*AY41</f>
        <v>0</v>
      </c>
      <c r="BA41" s="105"/>
      <c r="BB41" s="118">
        <f t="shared" ref="BB41:BB42" si="20">AI41*BA41</f>
        <v>0</v>
      </c>
      <c r="BC41" s="105">
        <v>0</v>
      </c>
      <c r="BD41" s="118">
        <f t="shared" ref="BD41:BD42" si="21">AJ41*BC41</f>
        <v>0</v>
      </c>
      <c r="BE41" s="5">
        <v>0</v>
      </c>
      <c r="BF41" s="127">
        <f t="shared" ref="BF41:BF42" si="22">AK41*BE41</f>
        <v>0</v>
      </c>
      <c r="BG41" s="105">
        <v>0</v>
      </c>
      <c r="BH41" s="118">
        <f t="shared" si="13"/>
        <v>0</v>
      </c>
      <c r="BI41" s="5">
        <v>0</v>
      </c>
      <c r="BJ41" s="118">
        <f t="shared" ref="BJ41:BJ42" si="23">AM41*BI41</f>
        <v>0</v>
      </c>
      <c r="BK41" s="5">
        <v>0</v>
      </c>
      <c r="BL41" s="127">
        <f t="shared" ref="BL41:BL42" si="24">AN41*BK41</f>
        <v>0</v>
      </c>
      <c r="BM41" s="243" t="s">
        <v>499</v>
      </c>
      <c r="BO41" s="1" t="s">
        <v>455</v>
      </c>
      <c r="BP41" s="243" t="s">
        <v>500</v>
      </c>
      <c r="BQ41" s="233"/>
      <c r="BR41" s="234"/>
    </row>
    <row r="42" spans="1:70">
      <c r="A42" s="219" t="s">
        <v>451</v>
      </c>
      <c r="B42" s="106" t="s">
        <v>354</v>
      </c>
      <c r="C42" s="66" t="s">
        <v>175</v>
      </c>
      <c r="D42" s="284"/>
      <c r="E42" s="136" t="s">
        <v>176</v>
      </c>
      <c r="F42" s="295"/>
      <c r="G42" s="86" t="s">
        <v>187</v>
      </c>
      <c r="H42" s="85" t="s">
        <v>479</v>
      </c>
      <c r="I42" s="85" t="s">
        <v>184</v>
      </c>
      <c r="J42" s="86" t="s">
        <v>191</v>
      </c>
      <c r="K42" s="85" t="s">
        <v>181</v>
      </c>
      <c r="L42" s="84" t="s">
        <v>185</v>
      </c>
      <c r="M42" s="83" t="s">
        <v>465</v>
      </c>
      <c r="N42" s="83">
        <v>7.9799999999999995</v>
      </c>
      <c r="O42" s="83">
        <v>9.1199999999999992</v>
      </c>
      <c r="P42" s="10">
        <v>9.1199999999999992</v>
      </c>
      <c r="Q42" s="10">
        <v>9.1199999999999992</v>
      </c>
      <c r="R42" s="10">
        <v>9.1199999999999992</v>
      </c>
      <c r="S42" s="10">
        <v>9.1199999999999992</v>
      </c>
      <c r="T42" s="10">
        <v>9.1199999999999992</v>
      </c>
      <c r="U42" s="10">
        <v>9.1199999999999992</v>
      </c>
      <c r="V42" s="10">
        <v>9.1199999999999992</v>
      </c>
      <c r="W42" s="10">
        <v>9.1199999999999992</v>
      </c>
      <c r="X42" s="10">
        <v>9.1199999999999992</v>
      </c>
      <c r="Y42" s="10">
        <v>9.1199999999999992</v>
      </c>
      <c r="Z42" s="10">
        <v>9.1199999999999992</v>
      </c>
      <c r="AA42" s="81">
        <v>9.1199999999999992</v>
      </c>
      <c r="AB42" s="81">
        <v>1.1399999999999999</v>
      </c>
      <c r="AC42" s="10">
        <v>1.1399999999999999</v>
      </c>
      <c r="AD42" s="10">
        <v>1.1399999999999999</v>
      </c>
      <c r="AE42" s="10">
        <v>1.1399999999999999</v>
      </c>
      <c r="AF42" s="10">
        <v>1.1399999999999999</v>
      </c>
      <c r="AG42" s="10">
        <v>1.1399999999999999</v>
      </c>
      <c r="AH42" s="10">
        <v>1.1399999999999999</v>
      </c>
      <c r="AI42" s="10">
        <v>1.1399999999999999</v>
      </c>
      <c r="AJ42" s="10">
        <v>1.1399999999999999</v>
      </c>
      <c r="AK42" s="10">
        <v>1.1399999999999999</v>
      </c>
      <c r="AL42" s="10">
        <v>1.1399999999999999</v>
      </c>
      <c r="AM42" s="10">
        <v>1.1399999999999999</v>
      </c>
      <c r="AN42" s="149">
        <v>1.1399999999999999</v>
      </c>
      <c r="AP42" s="118">
        <f t="shared" si="14"/>
        <v>0</v>
      </c>
      <c r="AR42" s="118">
        <f t="shared" si="15"/>
        <v>0</v>
      </c>
      <c r="AT42" s="127">
        <f t="shared" si="16"/>
        <v>0</v>
      </c>
      <c r="AU42" s="5"/>
      <c r="AV42" s="118">
        <f t="shared" si="17"/>
        <v>0</v>
      </c>
      <c r="AW42" s="5"/>
      <c r="AX42" s="118">
        <f t="shared" si="18"/>
        <v>0</v>
      </c>
      <c r="AY42" s="5"/>
      <c r="AZ42" s="127">
        <f t="shared" si="19"/>
        <v>0</v>
      </c>
      <c r="BA42" s="105"/>
      <c r="BB42" s="118">
        <f t="shared" si="20"/>
        <v>0</v>
      </c>
      <c r="BC42" s="105">
        <v>0</v>
      </c>
      <c r="BD42" s="118">
        <f t="shared" si="21"/>
        <v>0</v>
      </c>
      <c r="BE42" s="5">
        <v>0</v>
      </c>
      <c r="BF42" s="127">
        <f t="shared" si="22"/>
        <v>0</v>
      </c>
      <c r="BG42" s="105">
        <v>0</v>
      </c>
      <c r="BH42" s="118">
        <f t="shared" si="13"/>
        <v>0</v>
      </c>
      <c r="BI42" s="5">
        <v>0</v>
      </c>
      <c r="BJ42" s="118">
        <f t="shared" si="23"/>
        <v>0</v>
      </c>
      <c r="BK42" s="5">
        <v>0</v>
      </c>
      <c r="BL42" s="127">
        <f t="shared" si="24"/>
        <v>0</v>
      </c>
      <c r="BM42" s="243" t="s">
        <v>501</v>
      </c>
      <c r="BO42" s="1" t="s">
        <v>455</v>
      </c>
      <c r="BP42" s="243" t="s">
        <v>502</v>
      </c>
      <c r="BQ42" s="233"/>
      <c r="BR42" s="234"/>
    </row>
    <row r="43" spans="1:70">
      <c r="A43" s="219" t="s">
        <v>451</v>
      </c>
      <c r="B43" s="106" t="s">
        <v>354</v>
      </c>
      <c r="C43" s="66" t="s">
        <v>175</v>
      </c>
      <c r="D43" s="284"/>
      <c r="E43" s="136" t="s">
        <v>176</v>
      </c>
      <c r="F43" s="295"/>
      <c r="G43" s="86" t="s">
        <v>187</v>
      </c>
      <c r="H43" s="85" t="s">
        <v>479</v>
      </c>
      <c r="I43" s="85" t="s">
        <v>184</v>
      </c>
      <c r="J43" s="86" t="s">
        <v>191</v>
      </c>
      <c r="K43" s="85" t="s">
        <v>181</v>
      </c>
      <c r="L43" s="84" t="s">
        <v>185</v>
      </c>
      <c r="M43" s="83" t="s">
        <v>465</v>
      </c>
      <c r="N43" s="83">
        <v>7.9799999999999995</v>
      </c>
      <c r="O43" s="83">
        <v>9.1199999999999992</v>
      </c>
      <c r="P43" s="10">
        <v>9.1199999999999992</v>
      </c>
      <c r="Q43" s="10">
        <v>9.1199999999999992</v>
      </c>
      <c r="R43" s="10">
        <v>9.1199999999999992</v>
      </c>
      <c r="S43" s="10">
        <v>9.1199999999999992</v>
      </c>
      <c r="T43" s="10">
        <v>9.1199999999999992</v>
      </c>
      <c r="U43" s="10">
        <v>9.1199999999999992</v>
      </c>
      <c r="V43" s="10">
        <v>9.1199999999999992</v>
      </c>
      <c r="W43" s="10">
        <v>9.1199999999999992</v>
      </c>
      <c r="X43" s="10">
        <v>9.1199999999999992</v>
      </c>
      <c r="Y43" s="10">
        <v>9.1199999999999992</v>
      </c>
      <c r="Z43" s="10">
        <v>9.1199999999999992</v>
      </c>
      <c r="AA43" s="81">
        <v>9.1199999999999992</v>
      </c>
      <c r="AB43" s="81">
        <v>1.1399999999999999</v>
      </c>
      <c r="AC43" s="10">
        <v>1.1399999999999999</v>
      </c>
      <c r="AD43" s="10">
        <v>1.1399999999999999</v>
      </c>
      <c r="AE43" s="10">
        <v>1.1399999999999999</v>
      </c>
      <c r="AF43" s="10">
        <v>1.1399999999999999</v>
      </c>
      <c r="AG43" s="10">
        <v>1.1399999999999999</v>
      </c>
      <c r="AH43" s="10">
        <v>1.1399999999999999</v>
      </c>
      <c r="AI43" s="10">
        <v>1.1399999999999999</v>
      </c>
      <c r="AJ43" s="10">
        <v>1.1399999999999999</v>
      </c>
      <c r="AK43" s="10">
        <v>1.1399999999999999</v>
      </c>
      <c r="AL43" s="10">
        <v>1.1399999999999999</v>
      </c>
      <c r="AM43" s="10">
        <v>1.1399999999999999</v>
      </c>
      <c r="AN43" s="149">
        <v>1.1399999999999999</v>
      </c>
      <c r="AP43" s="118">
        <f t="shared" si="1"/>
        <v>0</v>
      </c>
      <c r="AR43" s="118">
        <f t="shared" si="2"/>
        <v>0</v>
      </c>
      <c r="AT43" s="127">
        <f t="shared" si="3"/>
        <v>0</v>
      </c>
      <c r="AU43" s="5"/>
      <c r="AV43" s="118">
        <f t="shared" si="4"/>
        <v>0</v>
      </c>
      <c r="AW43" s="5"/>
      <c r="AX43" s="118">
        <f t="shared" si="5"/>
        <v>0</v>
      </c>
      <c r="AY43" s="5"/>
      <c r="AZ43" s="127">
        <f t="shared" si="6"/>
        <v>0</v>
      </c>
      <c r="BA43" s="105">
        <v>0</v>
      </c>
      <c r="BB43" s="118">
        <f t="shared" si="7"/>
        <v>0</v>
      </c>
      <c r="BC43" s="105">
        <v>0</v>
      </c>
      <c r="BD43" s="118">
        <f t="shared" si="8"/>
        <v>0</v>
      </c>
      <c r="BE43" s="5">
        <v>0</v>
      </c>
      <c r="BF43" s="127">
        <f t="shared" si="9"/>
        <v>0</v>
      </c>
      <c r="BG43" s="105">
        <v>132</v>
      </c>
      <c r="BH43" s="118">
        <f t="shared" si="13"/>
        <v>150.47999999999999</v>
      </c>
      <c r="BI43" s="5">
        <v>160</v>
      </c>
      <c r="BJ43" s="118">
        <f t="shared" si="11"/>
        <v>182.39999999999998</v>
      </c>
      <c r="BK43" s="5">
        <v>60</v>
      </c>
      <c r="BL43" s="127">
        <f t="shared" si="12"/>
        <v>68.399999999999991</v>
      </c>
      <c r="BM43" s="220" t="s">
        <v>495</v>
      </c>
      <c r="BO43" s="1" t="s">
        <v>455</v>
      </c>
      <c r="BP43" s="1" t="s">
        <v>503</v>
      </c>
      <c r="BQ43" s="233"/>
      <c r="BR43" s="234"/>
    </row>
    <row r="44" spans="1:70">
      <c r="A44" s="219" t="s">
        <v>451</v>
      </c>
      <c r="B44" s="106" t="s">
        <v>354</v>
      </c>
      <c r="C44" s="66" t="s">
        <v>175</v>
      </c>
      <c r="D44" s="284"/>
      <c r="E44" s="136" t="s">
        <v>176</v>
      </c>
      <c r="F44" s="295"/>
      <c r="G44" s="86" t="s">
        <v>187</v>
      </c>
      <c r="H44" s="85" t="s">
        <v>479</v>
      </c>
      <c r="I44" s="85" t="s">
        <v>184</v>
      </c>
      <c r="J44" s="86" t="s">
        <v>191</v>
      </c>
      <c r="K44" s="85" t="s">
        <v>181</v>
      </c>
      <c r="L44" s="84" t="s">
        <v>185</v>
      </c>
      <c r="M44" s="83" t="s">
        <v>465</v>
      </c>
      <c r="N44" s="83">
        <v>7.9799999999999995</v>
      </c>
      <c r="O44" s="83">
        <v>9.1199999999999992</v>
      </c>
      <c r="P44" s="10">
        <v>9.1199999999999992</v>
      </c>
      <c r="Q44" s="10">
        <v>9.1199999999999992</v>
      </c>
      <c r="R44" s="10">
        <v>9.1199999999999992</v>
      </c>
      <c r="S44" s="10">
        <v>9.1199999999999992</v>
      </c>
      <c r="T44" s="10">
        <v>9.1199999999999992</v>
      </c>
      <c r="U44" s="10">
        <v>9.1199999999999992</v>
      </c>
      <c r="V44" s="10">
        <v>9.1199999999999992</v>
      </c>
      <c r="W44" s="10">
        <v>9.1199999999999992</v>
      </c>
      <c r="X44" s="10">
        <v>9.1199999999999992</v>
      </c>
      <c r="Y44" s="10">
        <v>9.1199999999999992</v>
      </c>
      <c r="Z44" s="10">
        <v>9.1199999999999992</v>
      </c>
      <c r="AA44" s="81">
        <v>9.1199999999999992</v>
      </c>
      <c r="AB44" s="81">
        <v>1.1399999999999999</v>
      </c>
      <c r="AC44" s="10">
        <v>1.1399999999999999</v>
      </c>
      <c r="AD44" s="10">
        <v>1.1399999999999999</v>
      </c>
      <c r="AE44" s="10">
        <v>1.1399999999999999</v>
      </c>
      <c r="AF44" s="10">
        <v>1.1399999999999999</v>
      </c>
      <c r="AG44" s="10">
        <v>1.1399999999999999</v>
      </c>
      <c r="AH44" s="10">
        <v>1.1399999999999999</v>
      </c>
      <c r="AI44" s="10">
        <v>1.1399999999999999</v>
      </c>
      <c r="AJ44" s="10">
        <v>1.1399999999999999</v>
      </c>
      <c r="AK44" s="10">
        <v>1.1399999999999999</v>
      </c>
      <c r="AL44" s="10">
        <v>1.1399999999999999</v>
      </c>
      <c r="AM44" s="10">
        <v>1.1399999999999999</v>
      </c>
      <c r="AN44" s="149">
        <v>1.1399999999999999</v>
      </c>
      <c r="AO44" s="5">
        <v>120</v>
      </c>
      <c r="AP44" s="118">
        <f t="shared" si="1"/>
        <v>136.79999999999998</v>
      </c>
      <c r="AQ44" s="5">
        <v>0</v>
      </c>
      <c r="AR44" s="118">
        <f t="shared" si="2"/>
        <v>0</v>
      </c>
      <c r="AS44" s="5">
        <v>40</v>
      </c>
      <c r="AT44" s="127">
        <f t="shared" si="3"/>
        <v>45.599999999999994</v>
      </c>
      <c r="AU44" s="5">
        <v>40</v>
      </c>
      <c r="AV44" s="118">
        <f t="shared" si="4"/>
        <v>45.599999999999994</v>
      </c>
      <c r="AW44" s="5">
        <v>0</v>
      </c>
      <c r="AX44" s="118">
        <f t="shared" si="5"/>
        <v>0</v>
      </c>
      <c r="AY44" s="5">
        <v>0</v>
      </c>
      <c r="AZ44" s="127">
        <f t="shared" si="6"/>
        <v>0</v>
      </c>
      <c r="BA44" s="105">
        <v>0</v>
      </c>
      <c r="BB44" s="118">
        <f t="shared" si="7"/>
        <v>0</v>
      </c>
      <c r="BC44" s="105">
        <v>0</v>
      </c>
      <c r="BD44" s="118">
        <f t="shared" si="8"/>
        <v>0</v>
      </c>
      <c r="BE44" s="5">
        <v>0</v>
      </c>
      <c r="BF44" s="127">
        <f t="shared" si="9"/>
        <v>0</v>
      </c>
      <c r="BG44" s="105">
        <v>0</v>
      </c>
      <c r="BH44" s="118">
        <f t="shared" si="13"/>
        <v>0</v>
      </c>
      <c r="BI44" s="5">
        <v>0</v>
      </c>
      <c r="BJ44" s="118">
        <f t="shared" si="11"/>
        <v>0</v>
      </c>
      <c r="BK44" s="5">
        <v>0</v>
      </c>
      <c r="BL44" s="127">
        <f t="shared" si="12"/>
        <v>0</v>
      </c>
      <c r="BM44" s="220" t="s">
        <v>504</v>
      </c>
      <c r="BO44" s="1" t="s">
        <v>455</v>
      </c>
      <c r="BP44" s="1" t="s">
        <v>482</v>
      </c>
      <c r="BQ44" s="233"/>
      <c r="BR44" s="234"/>
    </row>
    <row r="45" spans="1:70">
      <c r="A45" s="219" t="s">
        <v>451</v>
      </c>
      <c r="B45" s="106" t="s">
        <v>354</v>
      </c>
      <c r="C45" s="66" t="s">
        <v>175</v>
      </c>
      <c r="D45" s="284"/>
      <c r="E45" s="136" t="s">
        <v>176</v>
      </c>
      <c r="F45" s="295"/>
      <c r="G45" s="86" t="s">
        <v>187</v>
      </c>
      <c r="H45" s="85" t="s">
        <v>479</v>
      </c>
      <c r="I45" s="85" t="s">
        <v>184</v>
      </c>
      <c r="J45" s="86" t="s">
        <v>191</v>
      </c>
      <c r="K45" s="85" t="s">
        <v>181</v>
      </c>
      <c r="L45" s="84" t="s">
        <v>185</v>
      </c>
      <c r="M45" s="83" t="s">
        <v>465</v>
      </c>
      <c r="N45" s="83">
        <v>7.9799999999999995</v>
      </c>
      <c r="O45" s="83">
        <v>9.1199999999999992</v>
      </c>
      <c r="P45" s="10">
        <v>9.1199999999999992</v>
      </c>
      <c r="Q45" s="10">
        <v>9.1199999999999992</v>
      </c>
      <c r="R45" s="10">
        <v>9.1199999999999992</v>
      </c>
      <c r="S45" s="10">
        <v>9.1199999999999992</v>
      </c>
      <c r="T45" s="10">
        <v>9.1199999999999992</v>
      </c>
      <c r="U45" s="10">
        <v>9.1199999999999992</v>
      </c>
      <c r="V45" s="10">
        <v>9.1199999999999992</v>
      </c>
      <c r="W45" s="10">
        <v>9.1199999999999992</v>
      </c>
      <c r="X45" s="10">
        <v>9.1199999999999992</v>
      </c>
      <c r="Y45" s="10">
        <v>9.1199999999999992</v>
      </c>
      <c r="Z45" s="10">
        <v>9.1199999999999992</v>
      </c>
      <c r="AA45" s="81">
        <v>9.1199999999999992</v>
      </c>
      <c r="AB45" s="81">
        <v>1.1399999999999999</v>
      </c>
      <c r="AC45" s="10">
        <v>1.1399999999999999</v>
      </c>
      <c r="AD45" s="10">
        <v>1.1399999999999999</v>
      </c>
      <c r="AE45" s="10">
        <v>1.1399999999999999</v>
      </c>
      <c r="AF45" s="10">
        <v>1.1399999999999999</v>
      </c>
      <c r="AG45" s="10">
        <v>1.1399999999999999</v>
      </c>
      <c r="AH45" s="10">
        <v>1.1399999999999999</v>
      </c>
      <c r="AI45" s="10">
        <v>1.1399999999999999</v>
      </c>
      <c r="AJ45" s="10">
        <v>1.1399999999999999</v>
      </c>
      <c r="AK45" s="10">
        <v>1.1399999999999999</v>
      </c>
      <c r="AL45" s="10">
        <v>1.1399999999999999</v>
      </c>
      <c r="AM45" s="10">
        <v>1.1399999999999999</v>
      </c>
      <c r="AN45" s="149">
        <v>1.1399999999999999</v>
      </c>
      <c r="AP45" s="118">
        <f t="shared" si="1"/>
        <v>0</v>
      </c>
      <c r="AR45" s="118">
        <f t="shared" si="2"/>
        <v>0</v>
      </c>
      <c r="AT45" s="127">
        <f t="shared" si="3"/>
        <v>0</v>
      </c>
      <c r="AU45" s="5"/>
      <c r="AV45" s="118">
        <f t="shared" si="4"/>
        <v>0</v>
      </c>
      <c r="AW45" s="5"/>
      <c r="AX45" s="118">
        <f t="shared" si="5"/>
        <v>0</v>
      </c>
      <c r="AY45" s="5"/>
      <c r="AZ45" s="127">
        <f t="shared" si="6"/>
        <v>0</v>
      </c>
      <c r="BA45" s="105">
        <v>0</v>
      </c>
      <c r="BB45" s="118">
        <f t="shared" si="7"/>
        <v>0</v>
      </c>
      <c r="BC45" s="105">
        <v>0</v>
      </c>
      <c r="BD45" s="118">
        <f t="shared" si="8"/>
        <v>0</v>
      </c>
      <c r="BE45" s="5">
        <v>0</v>
      </c>
      <c r="BF45" s="127">
        <f t="shared" si="9"/>
        <v>0</v>
      </c>
      <c r="BG45" s="105">
        <v>0</v>
      </c>
      <c r="BH45" s="118">
        <f t="shared" si="13"/>
        <v>0</v>
      </c>
      <c r="BI45" s="5">
        <v>0</v>
      </c>
      <c r="BJ45" s="118">
        <f t="shared" si="11"/>
        <v>0</v>
      </c>
      <c r="BK45" s="5">
        <v>0</v>
      </c>
      <c r="BL45" s="127">
        <f t="shared" si="12"/>
        <v>0</v>
      </c>
      <c r="BM45" s="243" t="s">
        <v>505</v>
      </c>
      <c r="BO45" s="1" t="s">
        <v>455</v>
      </c>
      <c r="BP45" s="243" t="s">
        <v>506</v>
      </c>
      <c r="BQ45" s="233"/>
      <c r="BR45" s="234"/>
    </row>
    <row r="46" spans="1:70">
      <c r="A46" s="219" t="s">
        <v>451</v>
      </c>
      <c r="B46" s="106" t="s">
        <v>354</v>
      </c>
      <c r="C46" s="66" t="s">
        <v>175</v>
      </c>
      <c r="D46" s="284"/>
      <c r="E46" s="136" t="s">
        <v>176</v>
      </c>
      <c r="F46" s="295"/>
      <c r="G46" s="86" t="s">
        <v>187</v>
      </c>
      <c r="H46" s="85" t="s">
        <v>479</v>
      </c>
      <c r="I46" s="85" t="s">
        <v>184</v>
      </c>
      <c r="J46" s="86" t="s">
        <v>191</v>
      </c>
      <c r="K46" s="85" t="s">
        <v>181</v>
      </c>
      <c r="L46" s="84" t="s">
        <v>185</v>
      </c>
      <c r="M46" s="83" t="s">
        <v>465</v>
      </c>
      <c r="N46" s="83">
        <v>7.9799999999999995</v>
      </c>
      <c r="O46" s="83">
        <v>9.1199999999999992</v>
      </c>
      <c r="P46" s="10">
        <v>9.1199999999999992</v>
      </c>
      <c r="Q46" s="10">
        <v>9.1199999999999992</v>
      </c>
      <c r="R46" s="10">
        <v>9.1199999999999992</v>
      </c>
      <c r="S46" s="10">
        <v>9.1199999999999992</v>
      </c>
      <c r="T46" s="10">
        <v>9.1199999999999992</v>
      </c>
      <c r="U46" s="10">
        <v>9.1199999999999992</v>
      </c>
      <c r="V46" s="10">
        <v>9.1199999999999992</v>
      </c>
      <c r="W46" s="10">
        <v>9.1199999999999992</v>
      </c>
      <c r="X46" s="10">
        <v>9.1199999999999992</v>
      </c>
      <c r="Y46" s="10">
        <v>9.1199999999999992</v>
      </c>
      <c r="Z46" s="10">
        <v>9.1199999999999992</v>
      </c>
      <c r="AA46" s="81">
        <v>9.1199999999999992</v>
      </c>
      <c r="AB46" s="81">
        <v>1.1399999999999999</v>
      </c>
      <c r="AC46" s="10">
        <v>1.1399999999999999</v>
      </c>
      <c r="AD46" s="10">
        <v>1.1399999999999999</v>
      </c>
      <c r="AE46" s="10">
        <v>1.1399999999999999</v>
      </c>
      <c r="AF46" s="10">
        <v>1.1399999999999999</v>
      </c>
      <c r="AG46" s="10">
        <v>1.1399999999999999</v>
      </c>
      <c r="AH46" s="10">
        <v>1.1399999999999999</v>
      </c>
      <c r="AI46" s="10">
        <v>1.1399999999999999</v>
      </c>
      <c r="AJ46" s="10">
        <v>1.1399999999999999</v>
      </c>
      <c r="AK46" s="10">
        <v>1.1399999999999999</v>
      </c>
      <c r="AL46" s="10">
        <v>1.1399999999999999</v>
      </c>
      <c r="AM46" s="10">
        <v>1.1399999999999999</v>
      </c>
      <c r="AN46" s="149">
        <v>1.1399999999999999</v>
      </c>
      <c r="AP46" s="118">
        <f t="shared" si="1"/>
        <v>0</v>
      </c>
      <c r="AR46" s="118">
        <f t="shared" si="2"/>
        <v>0</v>
      </c>
      <c r="AT46" s="127">
        <f t="shared" si="3"/>
        <v>0</v>
      </c>
      <c r="AU46" s="5"/>
      <c r="AV46" s="118">
        <f t="shared" si="4"/>
        <v>0</v>
      </c>
      <c r="AW46" s="5"/>
      <c r="AX46" s="118">
        <f t="shared" si="5"/>
        <v>0</v>
      </c>
      <c r="AY46" s="5"/>
      <c r="AZ46" s="127">
        <f t="shared" si="6"/>
        <v>0</v>
      </c>
      <c r="BA46" s="105">
        <v>80</v>
      </c>
      <c r="BB46" s="118">
        <f t="shared" si="7"/>
        <v>91.199999999999989</v>
      </c>
      <c r="BC46" s="105">
        <v>0</v>
      </c>
      <c r="BD46" s="118">
        <f t="shared" si="8"/>
        <v>0</v>
      </c>
      <c r="BE46" s="5">
        <v>0</v>
      </c>
      <c r="BF46" s="127">
        <f t="shared" si="9"/>
        <v>0</v>
      </c>
      <c r="BG46" s="105">
        <v>120</v>
      </c>
      <c r="BH46" s="118">
        <f t="shared" si="13"/>
        <v>136.79999999999998</v>
      </c>
      <c r="BI46" s="5">
        <v>0</v>
      </c>
      <c r="BJ46" s="118">
        <f t="shared" si="11"/>
        <v>0</v>
      </c>
      <c r="BK46" s="5">
        <v>120</v>
      </c>
      <c r="BL46" s="127">
        <f t="shared" si="12"/>
        <v>136.79999999999998</v>
      </c>
      <c r="BM46" s="220" t="s">
        <v>504</v>
      </c>
      <c r="BO46" s="1" t="s">
        <v>455</v>
      </c>
      <c r="BP46" s="1" t="s">
        <v>503</v>
      </c>
      <c r="BQ46" s="233"/>
      <c r="BR46" s="234"/>
    </row>
    <row r="47" spans="1:70">
      <c r="A47" s="219" t="s">
        <v>451</v>
      </c>
      <c r="B47" s="106" t="s">
        <v>354</v>
      </c>
      <c r="C47" s="66" t="s">
        <v>175</v>
      </c>
      <c r="D47" s="284"/>
      <c r="E47" s="136" t="s">
        <v>176</v>
      </c>
      <c r="F47" s="295"/>
      <c r="G47" s="86" t="s">
        <v>187</v>
      </c>
      <c r="H47" s="85" t="s">
        <v>507</v>
      </c>
      <c r="I47" s="85" t="s">
        <v>180</v>
      </c>
      <c r="J47" s="86" t="s">
        <v>193</v>
      </c>
      <c r="K47" s="85" t="s">
        <v>181</v>
      </c>
      <c r="L47" s="84" t="s">
        <v>185</v>
      </c>
      <c r="M47" s="83" t="s">
        <v>465</v>
      </c>
      <c r="N47" s="83">
        <v>3.67</v>
      </c>
      <c r="O47" s="83">
        <v>4.21</v>
      </c>
      <c r="P47" s="10">
        <v>4.21</v>
      </c>
      <c r="Q47" s="10">
        <v>4.21</v>
      </c>
      <c r="R47" s="10">
        <v>4.21</v>
      </c>
      <c r="S47" s="10">
        <v>4.21</v>
      </c>
      <c r="T47" s="10">
        <v>4.21</v>
      </c>
      <c r="U47" s="10">
        <v>4.21</v>
      </c>
      <c r="V47" s="10">
        <v>4.21</v>
      </c>
      <c r="W47" s="10">
        <v>4.21</v>
      </c>
      <c r="X47" s="10">
        <v>4.21</v>
      </c>
      <c r="Y47" s="10">
        <v>4.21</v>
      </c>
      <c r="Z47" s="10">
        <v>4.21</v>
      </c>
      <c r="AA47" s="81">
        <v>4.21</v>
      </c>
      <c r="AB47" s="81">
        <v>0.54</v>
      </c>
      <c r="AC47" s="10">
        <v>0.54</v>
      </c>
      <c r="AD47" s="10">
        <v>0.54</v>
      </c>
      <c r="AE47" s="10">
        <v>0.54</v>
      </c>
      <c r="AF47" s="10">
        <v>0.54</v>
      </c>
      <c r="AG47" s="10">
        <v>0.54</v>
      </c>
      <c r="AH47" s="10">
        <v>0.54</v>
      </c>
      <c r="AI47" s="10">
        <v>0.54</v>
      </c>
      <c r="AJ47" s="10">
        <v>0.54</v>
      </c>
      <c r="AK47" s="10">
        <v>0.54</v>
      </c>
      <c r="AL47" s="10">
        <v>0.54</v>
      </c>
      <c r="AM47" s="10">
        <v>0.54</v>
      </c>
      <c r="AN47" s="149">
        <v>0.54</v>
      </c>
      <c r="AO47" s="5">
        <v>10180</v>
      </c>
      <c r="AP47" s="118">
        <f t="shared" si="1"/>
        <v>5497.2000000000007</v>
      </c>
      <c r="AQ47" s="5">
        <v>12608</v>
      </c>
      <c r="AR47" s="118">
        <f t="shared" si="2"/>
        <v>6808.3200000000006</v>
      </c>
      <c r="AS47" s="5">
        <v>4110</v>
      </c>
      <c r="AT47" s="127">
        <f t="shared" si="3"/>
        <v>2219.4</v>
      </c>
      <c r="AU47" s="5">
        <v>3990</v>
      </c>
      <c r="AV47" s="118">
        <f t="shared" si="4"/>
        <v>2154.6000000000004</v>
      </c>
      <c r="AW47" s="5">
        <v>12708</v>
      </c>
      <c r="AX47" s="118">
        <f t="shared" si="5"/>
        <v>6862.3200000000006</v>
      </c>
      <c r="AY47" s="5">
        <v>6751</v>
      </c>
      <c r="AZ47" s="127">
        <f t="shared" si="6"/>
        <v>3645.5400000000004</v>
      </c>
      <c r="BA47" s="105">
        <v>120</v>
      </c>
      <c r="BB47" s="118">
        <f t="shared" si="7"/>
        <v>64.800000000000011</v>
      </c>
      <c r="BC47" s="105">
        <v>0</v>
      </c>
      <c r="BD47" s="118">
        <f t="shared" si="8"/>
        <v>0</v>
      </c>
      <c r="BE47" s="5">
        <v>0</v>
      </c>
      <c r="BF47" s="127">
        <f t="shared" si="9"/>
        <v>0</v>
      </c>
      <c r="BG47" s="105">
        <v>0</v>
      </c>
      <c r="BH47" s="118">
        <f t="shared" si="13"/>
        <v>0</v>
      </c>
      <c r="BI47" s="5">
        <v>0</v>
      </c>
      <c r="BJ47" s="118">
        <f t="shared" si="11"/>
        <v>0</v>
      </c>
      <c r="BK47" s="5">
        <v>0</v>
      </c>
      <c r="BL47" s="127">
        <f t="shared" si="12"/>
        <v>0</v>
      </c>
      <c r="BM47" s="220" t="s">
        <v>508</v>
      </c>
      <c r="BO47" s="1" t="s">
        <v>455</v>
      </c>
      <c r="BP47" s="1" t="s">
        <v>496</v>
      </c>
      <c r="BQ47" s="233"/>
      <c r="BR47" s="234"/>
    </row>
    <row r="48" spans="1:70">
      <c r="A48" s="219" t="s">
        <v>451</v>
      </c>
      <c r="B48" s="106" t="s">
        <v>354</v>
      </c>
      <c r="C48" s="66" t="s">
        <v>175</v>
      </c>
      <c r="D48" s="284"/>
      <c r="E48" s="136" t="s">
        <v>176</v>
      </c>
      <c r="F48" s="295"/>
      <c r="G48" s="86" t="s">
        <v>187</v>
      </c>
      <c r="H48" s="85" t="s">
        <v>507</v>
      </c>
      <c r="I48" s="85" t="s">
        <v>180</v>
      </c>
      <c r="J48" s="86" t="s">
        <v>193</v>
      </c>
      <c r="K48" s="85" t="s">
        <v>181</v>
      </c>
      <c r="L48" s="84" t="s">
        <v>185</v>
      </c>
      <c r="M48" s="83" t="s">
        <v>465</v>
      </c>
      <c r="N48" s="83">
        <v>3.67</v>
      </c>
      <c r="O48" s="83">
        <v>4.21</v>
      </c>
      <c r="P48" s="10">
        <v>4.21</v>
      </c>
      <c r="Q48" s="10">
        <v>4.21</v>
      </c>
      <c r="R48" s="10">
        <v>4.21</v>
      </c>
      <c r="S48" s="10">
        <v>4.21</v>
      </c>
      <c r="T48" s="10">
        <v>4.21</v>
      </c>
      <c r="U48" s="10">
        <v>4.21</v>
      </c>
      <c r="V48" s="10">
        <v>4.21</v>
      </c>
      <c r="W48" s="10">
        <v>4.21</v>
      </c>
      <c r="X48" s="10">
        <v>4.21</v>
      </c>
      <c r="Y48" s="10">
        <v>4.21</v>
      </c>
      <c r="Z48" s="10">
        <v>4.21</v>
      </c>
      <c r="AA48" s="81">
        <v>4.21</v>
      </c>
      <c r="AB48" s="81">
        <v>0.54</v>
      </c>
      <c r="AC48" s="10">
        <v>0.54</v>
      </c>
      <c r="AD48" s="10">
        <v>0.54</v>
      </c>
      <c r="AE48" s="10">
        <v>0.54</v>
      </c>
      <c r="AF48" s="10">
        <v>0.54</v>
      </c>
      <c r="AG48" s="10">
        <v>0.54</v>
      </c>
      <c r="AH48" s="10">
        <v>0.54</v>
      </c>
      <c r="AI48" s="10">
        <v>0.54</v>
      </c>
      <c r="AJ48" s="10">
        <v>0.54</v>
      </c>
      <c r="AK48" s="10">
        <v>0.54</v>
      </c>
      <c r="AL48" s="10">
        <v>0.54</v>
      </c>
      <c r="AM48" s="10">
        <v>0.54</v>
      </c>
      <c r="AN48" s="149">
        <v>0.54</v>
      </c>
      <c r="AP48" s="118">
        <f t="shared" si="1"/>
        <v>0</v>
      </c>
      <c r="AR48" s="118">
        <f t="shared" si="2"/>
        <v>0</v>
      </c>
      <c r="AT48" s="127">
        <f t="shared" si="3"/>
        <v>0</v>
      </c>
      <c r="AU48" s="5"/>
      <c r="AV48" s="118">
        <f t="shared" si="4"/>
        <v>0</v>
      </c>
      <c r="AW48" s="5"/>
      <c r="AX48" s="118">
        <f t="shared" si="5"/>
        <v>0</v>
      </c>
      <c r="AY48" s="5"/>
      <c r="AZ48" s="127">
        <f t="shared" si="6"/>
        <v>0</v>
      </c>
      <c r="BA48" s="105">
        <v>0</v>
      </c>
      <c r="BB48" s="118">
        <f t="shared" si="7"/>
        <v>0</v>
      </c>
      <c r="BC48" s="105">
        <v>0</v>
      </c>
      <c r="BD48" s="118">
        <f t="shared" si="8"/>
        <v>0</v>
      </c>
      <c r="BE48" s="5">
        <v>0</v>
      </c>
      <c r="BF48" s="127">
        <f t="shared" si="9"/>
        <v>0</v>
      </c>
      <c r="BG48" s="105">
        <v>0</v>
      </c>
      <c r="BH48" s="118">
        <f t="shared" si="13"/>
        <v>0</v>
      </c>
      <c r="BI48" s="5">
        <v>0</v>
      </c>
      <c r="BJ48" s="118">
        <f t="shared" si="11"/>
        <v>0</v>
      </c>
      <c r="BK48" s="5">
        <v>0</v>
      </c>
      <c r="BL48" s="127">
        <f t="shared" si="12"/>
        <v>0</v>
      </c>
      <c r="BM48" s="242" t="s">
        <v>509</v>
      </c>
      <c r="BO48" s="1" t="s">
        <v>455</v>
      </c>
      <c r="BP48" s="243" t="s">
        <v>510</v>
      </c>
      <c r="BQ48" s="233"/>
      <c r="BR48" s="234"/>
    </row>
    <row r="49" spans="1:70">
      <c r="A49" s="219" t="s">
        <v>451</v>
      </c>
      <c r="B49" s="106" t="s">
        <v>354</v>
      </c>
      <c r="C49" s="66" t="s">
        <v>175</v>
      </c>
      <c r="D49" s="284"/>
      <c r="E49" s="136" t="s">
        <v>176</v>
      </c>
      <c r="F49" s="295"/>
      <c r="G49" s="86" t="s">
        <v>187</v>
      </c>
      <c r="H49" s="85" t="s">
        <v>507</v>
      </c>
      <c r="I49" s="85" t="s">
        <v>180</v>
      </c>
      <c r="J49" s="86" t="s">
        <v>193</v>
      </c>
      <c r="K49" s="85" t="s">
        <v>181</v>
      </c>
      <c r="L49" s="84" t="s">
        <v>185</v>
      </c>
      <c r="M49" s="83" t="s">
        <v>465</v>
      </c>
      <c r="N49" s="83">
        <v>3.67</v>
      </c>
      <c r="O49" s="83">
        <v>4.21</v>
      </c>
      <c r="P49" s="10">
        <v>4.21</v>
      </c>
      <c r="Q49" s="10">
        <v>4.21</v>
      </c>
      <c r="R49" s="10">
        <v>4.21</v>
      </c>
      <c r="S49" s="10">
        <v>4.21</v>
      </c>
      <c r="T49" s="10">
        <v>4.21</v>
      </c>
      <c r="U49" s="10">
        <v>4.21</v>
      </c>
      <c r="V49" s="10">
        <v>4.21</v>
      </c>
      <c r="W49" s="10">
        <v>4.21</v>
      </c>
      <c r="X49" s="10">
        <v>4.21</v>
      </c>
      <c r="Y49" s="10">
        <v>4.21</v>
      </c>
      <c r="Z49" s="10">
        <v>4.21</v>
      </c>
      <c r="AA49" s="81">
        <v>4.21</v>
      </c>
      <c r="AB49" s="81">
        <v>0.54</v>
      </c>
      <c r="AC49" s="10">
        <v>0.54</v>
      </c>
      <c r="AD49" s="10">
        <v>0.54</v>
      </c>
      <c r="AE49" s="10">
        <v>0.54</v>
      </c>
      <c r="AF49" s="10">
        <v>0.54</v>
      </c>
      <c r="AG49" s="10">
        <v>0.54</v>
      </c>
      <c r="AH49" s="10">
        <v>0.54</v>
      </c>
      <c r="AI49" s="10">
        <v>0.54</v>
      </c>
      <c r="AJ49" s="10">
        <v>0.54</v>
      </c>
      <c r="AK49" s="10">
        <v>0.54</v>
      </c>
      <c r="AL49" s="10">
        <v>0.54</v>
      </c>
      <c r="AM49" s="10">
        <v>0.54</v>
      </c>
      <c r="AN49" s="149">
        <v>0.54</v>
      </c>
      <c r="AP49" s="118">
        <f t="shared" si="1"/>
        <v>0</v>
      </c>
      <c r="AR49" s="118">
        <f t="shared" si="2"/>
        <v>0</v>
      </c>
      <c r="AT49" s="127">
        <f t="shared" si="3"/>
        <v>0</v>
      </c>
      <c r="AU49" s="5"/>
      <c r="AV49" s="118">
        <f t="shared" si="4"/>
        <v>0</v>
      </c>
      <c r="AW49" s="5"/>
      <c r="AX49" s="118">
        <f t="shared" si="5"/>
        <v>0</v>
      </c>
      <c r="AY49" s="5"/>
      <c r="AZ49" s="127">
        <f t="shared" si="6"/>
        <v>0</v>
      </c>
      <c r="BA49" s="105">
        <v>4032</v>
      </c>
      <c r="BB49" s="118">
        <f t="shared" si="7"/>
        <v>2177.2800000000002</v>
      </c>
      <c r="BC49" s="105">
        <v>5233</v>
      </c>
      <c r="BD49" s="118">
        <f t="shared" si="8"/>
        <v>2825.82</v>
      </c>
      <c r="BE49" s="5">
        <v>3195</v>
      </c>
      <c r="BF49" s="127">
        <f t="shared" si="9"/>
        <v>1725.3000000000002</v>
      </c>
      <c r="BG49" s="105">
        <v>1595</v>
      </c>
      <c r="BH49" s="118">
        <f t="shared" si="13"/>
        <v>861.30000000000007</v>
      </c>
      <c r="BI49" s="5">
        <v>998</v>
      </c>
      <c r="BJ49" s="118">
        <f t="shared" si="11"/>
        <v>538.92000000000007</v>
      </c>
      <c r="BK49" s="5">
        <v>280</v>
      </c>
      <c r="BL49" s="127">
        <f t="shared" si="12"/>
        <v>151.20000000000002</v>
      </c>
      <c r="BM49" s="220" t="s">
        <v>508</v>
      </c>
      <c r="BO49" s="1" t="s">
        <v>455</v>
      </c>
      <c r="BP49" s="1" t="s">
        <v>511</v>
      </c>
      <c r="BQ49" s="233"/>
      <c r="BR49" s="234"/>
    </row>
    <row r="50" spans="1:70">
      <c r="A50" s="219" t="s">
        <v>451</v>
      </c>
      <c r="B50" s="106" t="s">
        <v>354</v>
      </c>
      <c r="C50" s="66" t="s">
        <v>175</v>
      </c>
      <c r="D50" s="284"/>
      <c r="E50" s="136" t="s">
        <v>176</v>
      </c>
      <c r="F50" s="295"/>
      <c r="G50" s="86" t="s">
        <v>187</v>
      </c>
      <c r="H50" s="85" t="s">
        <v>507</v>
      </c>
      <c r="I50" s="85" t="s">
        <v>180</v>
      </c>
      <c r="J50" s="86" t="s">
        <v>193</v>
      </c>
      <c r="K50" s="85" t="s">
        <v>181</v>
      </c>
      <c r="L50" s="84" t="s">
        <v>185</v>
      </c>
      <c r="M50" s="83" t="s">
        <v>465</v>
      </c>
      <c r="N50" s="83">
        <v>3.67</v>
      </c>
      <c r="O50" s="83">
        <v>4.21</v>
      </c>
      <c r="P50" s="10">
        <v>4.21</v>
      </c>
      <c r="Q50" s="10">
        <v>4.21</v>
      </c>
      <c r="R50" s="10">
        <v>4.21</v>
      </c>
      <c r="S50" s="10">
        <v>4.21</v>
      </c>
      <c r="T50" s="10">
        <v>4.21</v>
      </c>
      <c r="U50" s="10">
        <v>4.21</v>
      </c>
      <c r="V50" s="10">
        <v>4.21</v>
      </c>
      <c r="W50" s="10">
        <v>4.21</v>
      </c>
      <c r="X50" s="10">
        <v>4.21</v>
      </c>
      <c r="Y50" s="10">
        <v>4.21</v>
      </c>
      <c r="Z50" s="10">
        <v>4.21</v>
      </c>
      <c r="AA50" s="81">
        <v>4.21</v>
      </c>
      <c r="AB50" s="81">
        <v>0.54</v>
      </c>
      <c r="AC50" s="10">
        <v>0.54</v>
      </c>
      <c r="AD50" s="10">
        <v>0.54</v>
      </c>
      <c r="AE50" s="10">
        <v>0.54</v>
      </c>
      <c r="AF50" s="10">
        <v>0.54</v>
      </c>
      <c r="AG50" s="10">
        <v>0.54</v>
      </c>
      <c r="AH50" s="10">
        <v>0.54</v>
      </c>
      <c r="AI50" s="10">
        <v>0.54</v>
      </c>
      <c r="AJ50" s="10">
        <v>0.54</v>
      </c>
      <c r="AK50" s="10">
        <v>0.54</v>
      </c>
      <c r="AL50" s="10">
        <v>0.54</v>
      </c>
      <c r="AM50" s="10">
        <v>0.54</v>
      </c>
      <c r="AN50" s="149">
        <v>0.54</v>
      </c>
      <c r="AP50" s="118">
        <f t="shared" si="1"/>
        <v>0</v>
      </c>
      <c r="AR50" s="118">
        <f t="shared" si="2"/>
        <v>0</v>
      </c>
      <c r="AT50" s="127">
        <f t="shared" si="3"/>
        <v>0</v>
      </c>
      <c r="AU50" s="5"/>
      <c r="AV50" s="118">
        <f t="shared" si="4"/>
        <v>0</v>
      </c>
      <c r="AW50" s="5"/>
      <c r="AX50" s="118">
        <f t="shared" si="5"/>
        <v>0</v>
      </c>
      <c r="AY50" s="5"/>
      <c r="AZ50" s="127">
        <f t="shared" si="6"/>
        <v>0</v>
      </c>
      <c r="BA50" s="105">
        <v>0</v>
      </c>
      <c r="BB50" s="118">
        <f t="shared" si="7"/>
        <v>0</v>
      </c>
      <c r="BC50" s="105">
        <v>80</v>
      </c>
      <c r="BD50" s="118">
        <f t="shared" si="8"/>
        <v>43.2</v>
      </c>
      <c r="BE50" s="5">
        <v>39</v>
      </c>
      <c r="BF50" s="127">
        <f t="shared" si="9"/>
        <v>21.060000000000002</v>
      </c>
      <c r="BG50" s="105">
        <v>0</v>
      </c>
      <c r="BH50" s="118">
        <f t="shared" si="13"/>
        <v>0</v>
      </c>
      <c r="BI50" s="5">
        <v>0</v>
      </c>
      <c r="BJ50" s="118">
        <f t="shared" si="11"/>
        <v>0</v>
      </c>
      <c r="BK50" s="5">
        <v>0</v>
      </c>
      <c r="BL50" s="127">
        <f t="shared" si="12"/>
        <v>0</v>
      </c>
      <c r="BM50" s="220" t="s">
        <v>508</v>
      </c>
      <c r="BO50" s="1" t="s">
        <v>455</v>
      </c>
      <c r="BP50" s="1" t="s">
        <v>493</v>
      </c>
      <c r="BQ50" s="233"/>
      <c r="BR50" s="234"/>
    </row>
    <row r="51" spans="1:70">
      <c r="A51" s="219" t="s">
        <v>451</v>
      </c>
      <c r="B51" s="106" t="s">
        <v>354</v>
      </c>
      <c r="C51" s="66" t="s">
        <v>175</v>
      </c>
      <c r="D51" s="284"/>
      <c r="E51" s="136" t="s">
        <v>176</v>
      </c>
      <c r="F51" s="295"/>
      <c r="G51" s="86" t="s">
        <v>187</v>
      </c>
      <c r="H51" s="85" t="s">
        <v>507</v>
      </c>
      <c r="I51" s="85" t="s">
        <v>180</v>
      </c>
      <c r="J51" s="86" t="s">
        <v>193</v>
      </c>
      <c r="K51" s="85" t="s">
        <v>181</v>
      </c>
      <c r="L51" s="84" t="s">
        <v>185</v>
      </c>
      <c r="M51" s="83" t="s">
        <v>465</v>
      </c>
      <c r="N51" s="83">
        <v>3.67</v>
      </c>
      <c r="O51" s="83">
        <v>4.21</v>
      </c>
      <c r="P51" s="10">
        <v>4.21</v>
      </c>
      <c r="Q51" s="10">
        <v>4.21</v>
      </c>
      <c r="R51" s="10">
        <v>4.21</v>
      </c>
      <c r="S51" s="10">
        <v>4.21</v>
      </c>
      <c r="T51" s="10">
        <v>4.21</v>
      </c>
      <c r="U51" s="10">
        <v>4.21</v>
      </c>
      <c r="V51" s="10">
        <v>4.21</v>
      </c>
      <c r="W51" s="10">
        <v>4.21</v>
      </c>
      <c r="X51" s="10">
        <v>4.21</v>
      </c>
      <c r="Y51" s="10">
        <v>4.21</v>
      </c>
      <c r="Z51" s="10">
        <v>4.21</v>
      </c>
      <c r="AA51" s="81">
        <v>4.21</v>
      </c>
      <c r="AB51" s="81">
        <v>0.54</v>
      </c>
      <c r="AC51" s="10">
        <v>0.54</v>
      </c>
      <c r="AD51" s="10">
        <v>0.54</v>
      </c>
      <c r="AE51" s="10">
        <v>0.54</v>
      </c>
      <c r="AF51" s="10">
        <v>0.54</v>
      </c>
      <c r="AG51" s="10">
        <v>0.54</v>
      </c>
      <c r="AH51" s="10">
        <v>0.54</v>
      </c>
      <c r="AI51" s="10">
        <v>0.54</v>
      </c>
      <c r="AJ51" s="10">
        <v>0.54</v>
      </c>
      <c r="AK51" s="10">
        <v>0.54</v>
      </c>
      <c r="AL51" s="10">
        <v>0.54</v>
      </c>
      <c r="AM51" s="10">
        <v>0.54</v>
      </c>
      <c r="AN51" s="149">
        <v>0.54</v>
      </c>
      <c r="AP51" s="118">
        <f t="shared" si="1"/>
        <v>0</v>
      </c>
      <c r="AR51" s="118">
        <f t="shared" ref="AR51:AR71" si="25">AD51*AQ51</f>
        <v>0</v>
      </c>
      <c r="AT51" s="127">
        <f t="shared" si="3"/>
        <v>0</v>
      </c>
      <c r="AU51" s="5"/>
      <c r="AV51" s="118">
        <f t="shared" si="4"/>
        <v>0</v>
      </c>
      <c r="AW51" s="5"/>
      <c r="AX51" s="118">
        <f t="shared" si="5"/>
        <v>0</v>
      </c>
      <c r="AY51" s="5"/>
      <c r="AZ51" s="127">
        <f t="shared" si="6"/>
        <v>0</v>
      </c>
      <c r="BA51" s="105">
        <v>40</v>
      </c>
      <c r="BB51" s="118">
        <f t="shared" si="7"/>
        <v>21.6</v>
      </c>
      <c r="BC51" s="105">
        <v>0</v>
      </c>
      <c r="BD51" s="118">
        <f t="shared" si="8"/>
        <v>0</v>
      </c>
      <c r="BE51" s="5">
        <v>40</v>
      </c>
      <c r="BF51" s="127">
        <f t="shared" si="9"/>
        <v>21.6</v>
      </c>
      <c r="BG51" s="105">
        <v>600</v>
      </c>
      <c r="BH51" s="118">
        <f t="shared" si="13"/>
        <v>324</v>
      </c>
      <c r="BI51" s="5">
        <v>40</v>
      </c>
      <c r="BJ51" s="118">
        <f t="shared" si="11"/>
        <v>21.6</v>
      </c>
      <c r="BK51" s="5">
        <v>0</v>
      </c>
      <c r="BL51" s="127">
        <f t="shared" si="12"/>
        <v>0</v>
      </c>
      <c r="BM51" s="220" t="s">
        <v>508</v>
      </c>
      <c r="BO51" s="1" t="s">
        <v>455</v>
      </c>
      <c r="BP51" s="1" t="s">
        <v>512</v>
      </c>
      <c r="BQ51" s="233"/>
      <c r="BR51" s="234"/>
    </row>
    <row r="52" spans="1:70">
      <c r="A52" s="219" t="s">
        <v>451</v>
      </c>
      <c r="B52" s="106" t="s">
        <v>354</v>
      </c>
      <c r="C52" s="66" t="s">
        <v>175</v>
      </c>
      <c r="D52" s="284"/>
      <c r="E52" s="136" t="s">
        <v>176</v>
      </c>
      <c r="F52" s="295"/>
      <c r="G52" s="86" t="s">
        <v>187</v>
      </c>
      <c r="H52" s="85" t="s">
        <v>507</v>
      </c>
      <c r="I52" s="85" t="s">
        <v>180</v>
      </c>
      <c r="J52" s="86" t="s">
        <v>193</v>
      </c>
      <c r="K52" s="85" t="s">
        <v>181</v>
      </c>
      <c r="L52" s="84" t="s">
        <v>185</v>
      </c>
      <c r="M52" s="83" t="s">
        <v>465</v>
      </c>
      <c r="N52" s="83">
        <v>3.67</v>
      </c>
      <c r="O52" s="83">
        <v>4.21</v>
      </c>
      <c r="P52" s="10">
        <v>4.21</v>
      </c>
      <c r="Q52" s="10">
        <v>4.21</v>
      </c>
      <c r="R52" s="10">
        <v>4.21</v>
      </c>
      <c r="S52" s="10">
        <v>4.21</v>
      </c>
      <c r="T52" s="10">
        <v>4.21</v>
      </c>
      <c r="U52" s="10">
        <v>4.21</v>
      </c>
      <c r="V52" s="10">
        <v>4.21</v>
      </c>
      <c r="W52" s="10">
        <v>4.21</v>
      </c>
      <c r="X52" s="10">
        <v>4.21</v>
      </c>
      <c r="Y52" s="10">
        <v>4.21</v>
      </c>
      <c r="Z52" s="10">
        <v>4.21</v>
      </c>
      <c r="AA52" s="81">
        <v>4.21</v>
      </c>
      <c r="AB52" s="81">
        <v>0.54</v>
      </c>
      <c r="AC52" s="10">
        <v>0.54</v>
      </c>
      <c r="AD52" s="10">
        <v>0.54</v>
      </c>
      <c r="AE52" s="10">
        <v>0.54</v>
      </c>
      <c r="AF52" s="10">
        <v>0.54</v>
      </c>
      <c r="AG52" s="10">
        <v>0.54</v>
      </c>
      <c r="AH52" s="10">
        <v>0.54</v>
      </c>
      <c r="AI52" s="10">
        <v>0.54</v>
      </c>
      <c r="AJ52" s="10">
        <v>0.54</v>
      </c>
      <c r="AK52" s="10">
        <v>0.54</v>
      </c>
      <c r="AL52" s="10">
        <v>0.54</v>
      </c>
      <c r="AM52" s="10">
        <v>0.54</v>
      </c>
      <c r="AN52" s="149">
        <v>0.54</v>
      </c>
      <c r="AP52" s="118">
        <f t="shared" si="1"/>
        <v>0</v>
      </c>
      <c r="AR52" s="118">
        <f t="shared" si="25"/>
        <v>0</v>
      </c>
      <c r="AT52" s="127">
        <f t="shared" si="3"/>
        <v>0</v>
      </c>
      <c r="AU52" s="5"/>
      <c r="AV52" s="118">
        <f t="shared" ref="AV52:AV71" si="26">AF52*AU52</f>
        <v>0</v>
      </c>
      <c r="AW52" s="5"/>
      <c r="AX52" s="118">
        <f t="shared" si="5"/>
        <v>0</v>
      </c>
      <c r="AY52" s="5"/>
      <c r="AZ52" s="127">
        <f t="shared" si="6"/>
        <v>0</v>
      </c>
      <c r="BA52" s="105">
        <v>120</v>
      </c>
      <c r="BB52" s="118">
        <f t="shared" si="7"/>
        <v>64.800000000000011</v>
      </c>
      <c r="BC52" s="105">
        <v>159</v>
      </c>
      <c r="BD52" s="118">
        <f t="shared" si="8"/>
        <v>85.86</v>
      </c>
      <c r="BE52" s="5">
        <v>280</v>
      </c>
      <c r="BF52" s="127">
        <f t="shared" si="9"/>
        <v>151.20000000000002</v>
      </c>
      <c r="BG52" s="105">
        <v>0</v>
      </c>
      <c r="BH52" s="118">
        <f t="shared" si="13"/>
        <v>0</v>
      </c>
      <c r="BI52" s="5">
        <v>0</v>
      </c>
      <c r="BJ52" s="118">
        <f t="shared" ref="BJ52:BJ71" si="27">AM52*BI52</f>
        <v>0</v>
      </c>
      <c r="BK52" s="5">
        <v>0</v>
      </c>
      <c r="BL52" s="127">
        <f t="shared" si="12"/>
        <v>0</v>
      </c>
      <c r="BM52" s="220" t="s">
        <v>508</v>
      </c>
      <c r="BO52" s="1" t="s">
        <v>455</v>
      </c>
      <c r="BP52" s="1" t="s">
        <v>513</v>
      </c>
      <c r="BQ52" s="233"/>
      <c r="BR52" s="234"/>
    </row>
    <row r="53" spans="1:70">
      <c r="A53" s="219" t="s">
        <v>451</v>
      </c>
      <c r="B53" s="106" t="s">
        <v>354</v>
      </c>
      <c r="C53" s="66" t="s">
        <v>175</v>
      </c>
      <c r="D53" s="284"/>
      <c r="E53" s="136" t="s">
        <v>176</v>
      </c>
      <c r="F53" s="295"/>
      <c r="G53" s="86" t="s">
        <v>187</v>
      </c>
      <c r="H53" s="85" t="s">
        <v>507</v>
      </c>
      <c r="I53" s="85" t="s">
        <v>180</v>
      </c>
      <c r="J53" s="86" t="s">
        <v>193</v>
      </c>
      <c r="K53" s="85" t="s">
        <v>181</v>
      </c>
      <c r="L53" s="84" t="s">
        <v>185</v>
      </c>
      <c r="M53" s="83" t="s">
        <v>465</v>
      </c>
      <c r="N53" s="83">
        <v>3.67</v>
      </c>
      <c r="O53" s="83">
        <v>4.21</v>
      </c>
      <c r="P53" s="10">
        <v>4.21</v>
      </c>
      <c r="Q53" s="10">
        <v>4.21</v>
      </c>
      <c r="R53" s="10">
        <v>4.21</v>
      </c>
      <c r="S53" s="10">
        <v>4.21</v>
      </c>
      <c r="T53" s="10">
        <v>4.21</v>
      </c>
      <c r="U53" s="10">
        <v>4.21</v>
      </c>
      <c r="V53" s="10">
        <v>4.21</v>
      </c>
      <c r="W53" s="10">
        <v>4.21</v>
      </c>
      <c r="X53" s="10">
        <v>4.21</v>
      </c>
      <c r="Y53" s="10">
        <v>4.21</v>
      </c>
      <c r="Z53" s="10">
        <v>4.21</v>
      </c>
      <c r="AA53" s="81">
        <v>4.21</v>
      </c>
      <c r="AB53" s="81">
        <v>0.54</v>
      </c>
      <c r="AC53" s="10">
        <v>0.54</v>
      </c>
      <c r="AD53" s="10">
        <v>0.54</v>
      </c>
      <c r="AE53" s="10">
        <v>0.54</v>
      </c>
      <c r="AF53" s="10">
        <v>0.54</v>
      </c>
      <c r="AG53" s="10">
        <v>0.54</v>
      </c>
      <c r="AH53" s="10">
        <v>0.54</v>
      </c>
      <c r="AI53" s="10">
        <v>0.54</v>
      </c>
      <c r="AJ53" s="10">
        <v>0.54</v>
      </c>
      <c r="AK53" s="10">
        <v>0.54</v>
      </c>
      <c r="AL53" s="10">
        <v>0.54</v>
      </c>
      <c r="AM53" s="10">
        <v>0.54</v>
      </c>
      <c r="AN53" s="149">
        <v>0.54</v>
      </c>
      <c r="AP53" s="118">
        <f t="shared" si="1"/>
        <v>0</v>
      </c>
      <c r="AR53" s="118">
        <f t="shared" si="25"/>
        <v>0</v>
      </c>
      <c r="AT53" s="127">
        <f t="shared" ref="AT53:AT71" si="28">AE53*AS53</f>
        <v>0</v>
      </c>
      <c r="AU53" s="5"/>
      <c r="AV53" s="118">
        <f t="shared" si="26"/>
        <v>0</v>
      </c>
      <c r="AW53" s="5"/>
      <c r="AX53" s="118">
        <f t="shared" si="5"/>
        <v>0</v>
      </c>
      <c r="AY53" s="5"/>
      <c r="AZ53" s="127">
        <f t="shared" si="6"/>
        <v>0</v>
      </c>
      <c r="BA53" s="105">
        <v>2238</v>
      </c>
      <c r="BB53" s="118">
        <f t="shared" si="7"/>
        <v>1208.52</v>
      </c>
      <c r="BC53" s="105">
        <v>880</v>
      </c>
      <c r="BD53" s="118">
        <f t="shared" si="8"/>
        <v>475.20000000000005</v>
      </c>
      <c r="BE53" s="5">
        <v>1120</v>
      </c>
      <c r="BF53" s="127">
        <f t="shared" si="9"/>
        <v>604.80000000000007</v>
      </c>
      <c r="BG53" s="105">
        <v>595</v>
      </c>
      <c r="BH53" s="118">
        <f t="shared" si="13"/>
        <v>321.3</v>
      </c>
      <c r="BI53" s="5">
        <v>360</v>
      </c>
      <c r="BJ53" s="118">
        <f t="shared" si="27"/>
        <v>194.4</v>
      </c>
      <c r="BK53" s="5">
        <v>40</v>
      </c>
      <c r="BL53" s="127">
        <f t="shared" si="12"/>
        <v>21.6</v>
      </c>
      <c r="BM53" s="220" t="s">
        <v>514</v>
      </c>
      <c r="BO53" s="1" t="s">
        <v>455</v>
      </c>
      <c r="BP53" s="1" t="s">
        <v>511</v>
      </c>
      <c r="BQ53" s="233"/>
      <c r="BR53" s="234"/>
    </row>
    <row r="54" spans="1:70">
      <c r="A54" s="219" t="s">
        <v>451</v>
      </c>
      <c r="B54" s="106" t="s">
        <v>354</v>
      </c>
      <c r="C54" s="66" t="s">
        <v>175</v>
      </c>
      <c r="D54" s="284"/>
      <c r="E54" s="136" t="s">
        <v>176</v>
      </c>
      <c r="F54" s="295"/>
      <c r="G54" s="86" t="s">
        <v>187</v>
      </c>
      <c r="H54" s="85" t="s">
        <v>507</v>
      </c>
      <c r="I54" s="85" t="s">
        <v>180</v>
      </c>
      <c r="J54" s="86" t="s">
        <v>193</v>
      </c>
      <c r="K54" s="85" t="s">
        <v>181</v>
      </c>
      <c r="L54" s="84" t="s">
        <v>185</v>
      </c>
      <c r="M54" s="83" t="s">
        <v>465</v>
      </c>
      <c r="N54" s="83">
        <v>3.67</v>
      </c>
      <c r="O54" s="83">
        <v>4.21</v>
      </c>
      <c r="P54" s="10">
        <v>4.21</v>
      </c>
      <c r="Q54" s="10">
        <v>4.21</v>
      </c>
      <c r="R54" s="10">
        <v>4.21</v>
      </c>
      <c r="S54" s="10">
        <v>4.21</v>
      </c>
      <c r="T54" s="10">
        <v>4.21</v>
      </c>
      <c r="U54" s="10">
        <v>4.21</v>
      </c>
      <c r="V54" s="10">
        <v>4.21</v>
      </c>
      <c r="W54" s="10">
        <v>4.21</v>
      </c>
      <c r="X54" s="10">
        <v>4.21</v>
      </c>
      <c r="Y54" s="10">
        <v>4.21</v>
      </c>
      <c r="Z54" s="10">
        <v>4.21</v>
      </c>
      <c r="AA54" s="81">
        <v>4.21</v>
      </c>
      <c r="AB54" s="81">
        <v>0.54</v>
      </c>
      <c r="AC54" s="10">
        <v>0.54</v>
      </c>
      <c r="AD54" s="10">
        <v>0.54</v>
      </c>
      <c r="AE54" s="10">
        <v>0.54</v>
      </c>
      <c r="AF54" s="10">
        <v>0.54</v>
      </c>
      <c r="AG54" s="10">
        <v>0.54</v>
      </c>
      <c r="AH54" s="10">
        <v>0.54</v>
      </c>
      <c r="AI54" s="10">
        <v>0.54</v>
      </c>
      <c r="AJ54" s="10">
        <v>0.54</v>
      </c>
      <c r="AK54" s="10">
        <v>0.54</v>
      </c>
      <c r="AL54" s="10">
        <v>0.54</v>
      </c>
      <c r="AM54" s="10">
        <v>0.54</v>
      </c>
      <c r="AN54" s="149">
        <v>0.54</v>
      </c>
      <c r="AP54" s="118">
        <f t="shared" si="1"/>
        <v>0</v>
      </c>
      <c r="AR54" s="118">
        <f t="shared" si="25"/>
        <v>0</v>
      </c>
      <c r="AT54" s="127">
        <f t="shared" si="28"/>
        <v>0</v>
      </c>
      <c r="AU54" s="5"/>
      <c r="AV54" s="118">
        <f t="shared" si="26"/>
        <v>0</v>
      </c>
      <c r="AW54" s="5"/>
      <c r="AX54" s="118">
        <f t="shared" si="5"/>
        <v>0</v>
      </c>
      <c r="AY54" s="5"/>
      <c r="AZ54" s="127">
        <f t="shared" si="6"/>
        <v>0</v>
      </c>
      <c r="BA54" s="105">
        <v>480</v>
      </c>
      <c r="BB54" s="118">
        <f t="shared" ref="BB54:BB71" si="29">AI54*BA54</f>
        <v>259.20000000000005</v>
      </c>
      <c r="BC54" s="105">
        <v>320</v>
      </c>
      <c r="BD54" s="118">
        <f t="shared" ref="BD54:BD71" si="30">AJ54*BC54</f>
        <v>172.8</v>
      </c>
      <c r="BE54" s="5">
        <v>280</v>
      </c>
      <c r="BF54" s="127">
        <f t="shared" si="9"/>
        <v>151.20000000000002</v>
      </c>
      <c r="BG54" s="105">
        <v>120</v>
      </c>
      <c r="BH54" s="118">
        <f t="shared" si="13"/>
        <v>64.800000000000011</v>
      </c>
      <c r="BI54" s="5">
        <v>39</v>
      </c>
      <c r="BJ54" s="118">
        <f t="shared" si="27"/>
        <v>21.060000000000002</v>
      </c>
      <c r="BK54" s="5">
        <v>0</v>
      </c>
      <c r="BL54" s="127">
        <f t="shared" si="12"/>
        <v>0</v>
      </c>
      <c r="BM54" s="220" t="s">
        <v>514</v>
      </c>
      <c r="BO54" s="1" t="s">
        <v>455</v>
      </c>
      <c r="BP54" s="1" t="s">
        <v>512</v>
      </c>
      <c r="BQ54" s="233"/>
      <c r="BR54" s="234"/>
    </row>
    <row r="55" spans="1:70">
      <c r="A55" s="219" t="s">
        <v>451</v>
      </c>
      <c r="B55" s="106" t="s">
        <v>354</v>
      </c>
      <c r="C55" s="66" t="s">
        <v>175</v>
      </c>
      <c r="D55" s="284"/>
      <c r="E55" s="136" t="s">
        <v>176</v>
      </c>
      <c r="F55" s="295"/>
      <c r="G55" s="86" t="s">
        <v>187</v>
      </c>
      <c r="H55" s="85" t="s">
        <v>507</v>
      </c>
      <c r="I55" s="85" t="s">
        <v>180</v>
      </c>
      <c r="J55" s="86" t="s">
        <v>193</v>
      </c>
      <c r="K55" s="85" t="s">
        <v>181</v>
      </c>
      <c r="L55" s="84" t="s">
        <v>185</v>
      </c>
      <c r="M55" s="83" t="s">
        <v>465</v>
      </c>
      <c r="N55" s="83">
        <v>3.67</v>
      </c>
      <c r="O55" s="83">
        <v>4.21</v>
      </c>
      <c r="P55" s="10">
        <v>4.21</v>
      </c>
      <c r="Q55" s="10">
        <v>4.21</v>
      </c>
      <c r="R55" s="10">
        <v>4.21</v>
      </c>
      <c r="S55" s="10">
        <v>4.21</v>
      </c>
      <c r="T55" s="10">
        <v>4.21</v>
      </c>
      <c r="U55" s="10">
        <v>4.21</v>
      </c>
      <c r="V55" s="10">
        <v>4.21</v>
      </c>
      <c r="W55" s="10">
        <v>4.21</v>
      </c>
      <c r="X55" s="10">
        <v>4.21</v>
      </c>
      <c r="Y55" s="10">
        <v>4.21</v>
      </c>
      <c r="Z55" s="10">
        <v>4.21</v>
      </c>
      <c r="AA55" s="81">
        <v>4.21</v>
      </c>
      <c r="AB55" s="81">
        <v>0.54</v>
      </c>
      <c r="AC55" s="10">
        <v>0.54</v>
      </c>
      <c r="AD55" s="10">
        <v>0.54</v>
      </c>
      <c r="AE55" s="10">
        <v>0.54</v>
      </c>
      <c r="AF55" s="10">
        <v>0.54</v>
      </c>
      <c r="AG55" s="10">
        <v>0.54</v>
      </c>
      <c r="AH55" s="10">
        <v>0.54</v>
      </c>
      <c r="AI55" s="10">
        <v>0.54</v>
      </c>
      <c r="AJ55" s="10">
        <v>0.54</v>
      </c>
      <c r="AK55" s="10">
        <v>0.54</v>
      </c>
      <c r="AL55" s="10">
        <v>0.54</v>
      </c>
      <c r="AM55" s="10">
        <v>0.54</v>
      </c>
      <c r="AN55" s="149">
        <v>0.54</v>
      </c>
      <c r="AO55" s="5">
        <v>2914</v>
      </c>
      <c r="AP55" s="118">
        <f t="shared" si="1"/>
        <v>1573.5600000000002</v>
      </c>
      <c r="AQ55" s="5">
        <v>4378</v>
      </c>
      <c r="AR55" s="118">
        <f t="shared" si="25"/>
        <v>2364.1200000000003</v>
      </c>
      <c r="AS55" s="5">
        <v>476</v>
      </c>
      <c r="AT55" s="127">
        <f t="shared" si="28"/>
        <v>257.04000000000002</v>
      </c>
      <c r="AU55" s="5">
        <v>3326</v>
      </c>
      <c r="AV55" s="118">
        <f t="shared" si="26"/>
        <v>1796.0400000000002</v>
      </c>
      <c r="AW55" s="5">
        <v>9627</v>
      </c>
      <c r="AX55" s="118">
        <f t="shared" si="5"/>
        <v>5198.58</v>
      </c>
      <c r="AY55" s="5">
        <v>0</v>
      </c>
      <c r="AZ55" s="127">
        <f t="shared" si="6"/>
        <v>0</v>
      </c>
      <c r="BA55" s="105">
        <v>291</v>
      </c>
      <c r="BB55" s="118">
        <f t="shared" si="29"/>
        <v>157.14000000000001</v>
      </c>
      <c r="BC55" s="105">
        <v>0</v>
      </c>
      <c r="BD55" s="118">
        <f t="shared" si="30"/>
        <v>0</v>
      </c>
      <c r="BE55" s="5">
        <v>0</v>
      </c>
      <c r="BF55" s="127">
        <f t="shared" si="9"/>
        <v>0</v>
      </c>
      <c r="BG55" s="105">
        <v>0</v>
      </c>
      <c r="BH55" s="118">
        <f t="shared" si="13"/>
        <v>0</v>
      </c>
      <c r="BI55" s="5">
        <v>0</v>
      </c>
      <c r="BJ55" s="118">
        <f t="shared" si="27"/>
        <v>0</v>
      </c>
      <c r="BK55" s="5">
        <v>0</v>
      </c>
      <c r="BL55" s="127">
        <f t="shared" si="12"/>
        <v>0</v>
      </c>
      <c r="BM55" s="220" t="s">
        <v>514</v>
      </c>
      <c r="BO55" s="1" t="s">
        <v>455</v>
      </c>
      <c r="BP55" s="1" t="s">
        <v>496</v>
      </c>
      <c r="BQ55" s="233"/>
      <c r="BR55" s="234"/>
    </row>
    <row r="56" spans="1:70">
      <c r="A56" s="219" t="s">
        <v>451</v>
      </c>
      <c r="B56" s="106" t="s">
        <v>354</v>
      </c>
      <c r="C56" s="66" t="s">
        <v>175</v>
      </c>
      <c r="D56" s="284"/>
      <c r="E56" s="136" t="s">
        <v>176</v>
      </c>
      <c r="F56" s="295"/>
      <c r="G56" s="86" t="s">
        <v>187</v>
      </c>
      <c r="H56" s="85" t="s">
        <v>507</v>
      </c>
      <c r="I56" s="85" t="s">
        <v>180</v>
      </c>
      <c r="J56" s="86" t="s">
        <v>193</v>
      </c>
      <c r="K56" s="85" t="s">
        <v>181</v>
      </c>
      <c r="L56" s="84" t="s">
        <v>185</v>
      </c>
      <c r="M56" s="83" t="s">
        <v>465</v>
      </c>
      <c r="N56" s="83">
        <v>3.67</v>
      </c>
      <c r="O56" s="83">
        <v>4.21</v>
      </c>
      <c r="P56" s="10">
        <v>4.21</v>
      </c>
      <c r="Q56" s="10">
        <v>4.21</v>
      </c>
      <c r="R56" s="10">
        <v>4.21</v>
      </c>
      <c r="S56" s="10">
        <v>4.21</v>
      </c>
      <c r="T56" s="10">
        <v>4.21</v>
      </c>
      <c r="U56" s="10">
        <v>4.21</v>
      </c>
      <c r="V56" s="10">
        <v>4.21</v>
      </c>
      <c r="W56" s="10">
        <v>4.21</v>
      </c>
      <c r="X56" s="10">
        <v>4.21</v>
      </c>
      <c r="Y56" s="10">
        <v>4.21</v>
      </c>
      <c r="Z56" s="10">
        <v>4.21</v>
      </c>
      <c r="AA56" s="81">
        <v>4.21</v>
      </c>
      <c r="AB56" s="81">
        <v>0.54</v>
      </c>
      <c r="AC56" s="10">
        <v>0.54</v>
      </c>
      <c r="AD56" s="10">
        <v>0.54</v>
      </c>
      <c r="AE56" s="10">
        <v>0.54</v>
      </c>
      <c r="AF56" s="10">
        <v>0.54</v>
      </c>
      <c r="AG56" s="10">
        <v>0.54</v>
      </c>
      <c r="AH56" s="10">
        <v>0.54</v>
      </c>
      <c r="AI56" s="10">
        <v>0.54</v>
      </c>
      <c r="AJ56" s="10">
        <v>0.54</v>
      </c>
      <c r="AK56" s="10">
        <v>0.54</v>
      </c>
      <c r="AL56" s="10">
        <v>0.54</v>
      </c>
      <c r="AM56" s="10">
        <v>0.54</v>
      </c>
      <c r="AN56" s="149">
        <v>0.54</v>
      </c>
      <c r="AP56" s="118">
        <f t="shared" si="1"/>
        <v>0</v>
      </c>
      <c r="AR56" s="118">
        <f t="shared" si="25"/>
        <v>0</v>
      </c>
      <c r="AT56" s="127">
        <f t="shared" si="28"/>
        <v>0</v>
      </c>
      <c r="AU56" s="5"/>
      <c r="AV56" s="118">
        <f t="shared" si="26"/>
        <v>0</v>
      </c>
      <c r="AW56" s="5"/>
      <c r="AX56" s="118">
        <f t="shared" ref="AX56:AX71" si="31">AG56*AW56</f>
        <v>0</v>
      </c>
      <c r="AY56" s="5"/>
      <c r="AZ56" s="127">
        <f t="shared" si="6"/>
        <v>0</v>
      </c>
      <c r="BA56" s="105">
        <v>0</v>
      </c>
      <c r="BB56" s="118">
        <f t="shared" si="29"/>
        <v>0</v>
      </c>
      <c r="BC56" s="105">
        <v>0</v>
      </c>
      <c r="BD56" s="118">
        <f t="shared" si="30"/>
        <v>0</v>
      </c>
      <c r="BE56" s="5">
        <v>0</v>
      </c>
      <c r="BF56" s="127">
        <f t="shared" si="9"/>
        <v>0</v>
      </c>
      <c r="BG56" s="105">
        <v>0</v>
      </c>
      <c r="BH56" s="118">
        <f t="shared" si="13"/>
        <v>0</v>
      </c>
      <c r="BI56" s="5">
        <v>0</v>
      </c>
      <c r="BJ56" s="118">
        <f t="shared" si="27"/>
        <v>0</v>
      </c>
      <c r="BK56" s="5">
        <v>0</v>
      </c>
      <c r="BL56" s="127">
        <f t="shared" si="12"/>
        <v>0</v>
      </c>
      <c r="BM56" s="242" t="s">
        <v>515</v>
      </c>
      <c r="BO56" s="1" t="s">
        <v>455</v>
      </c>
      <c r="BP56" s="243" t="s">
        <v>516</v>
      </c>
      <c r="BQ56" s="233"/>
      <c r="BR56" s="234"/>
    </row>
    <row r="57" spans="1:70">
      <c r="A57" s="219" t="s">
        <v>451</v>
      </c>
      <c r="B57" s="106" t="s">
        <v>354</v>
      </c>
      <c r="C57" s="66" t="s">
        <v>175</v>
      </c>
      <c r="D57" s="284"/>
      <c r="E57" s="136" t="s">
        <v>176</v>
      </c>
      <c r="F57" s="295"/>
      <c r="G57" s="86" t="s">
        <v>187</v>
      </c>
      <c r="H57" s="85" t="s">
        <v>507</v>
      </c>
      <c r="I57" s="85" t="s">
        <v>184</v>
      </c>
      <c r="J57" s="86" t="s">
        <v>193</v>
      </c>
      <c r="K57" s="85" t="s">
        <v>181</v>
      </c>
      <c r="L57" s="84" t="s">
        <v>185</v>
      </c>
      <c r="M57" s="83" t="s">
        <v>465</v>
      </c>
      <c r="N57" s="83">
        <v>8.2100000000000009</v>
      </c>
      <c r="O57" s="83">
        <v>9.6300000000000008</v>
      </c>
      <c r="P57" s="10">
        <v>9.6300000000000008</v>
      </c>
      <c r="Q57" s="10">
        <v>9.6300000000000008</v>
      </c>
      <c r="R57" s="10">
        <v>9.6300000000000008</v>
      </c>
      <c r="S57" s="10">
        <v>9.6300000000000008</v>
      </c>
      <c r="T57" s="10">
        <v>9.6300000000000008</v>
      </c>
      <c r="U57" s="10">
        <v>9.6300000000000008</v>
      </c>
      <c r="V57" s="10">
        <v>9.6300000000000008</v>
      </c>
      <c r="W57" s="10">
        <v>9.6300000000000008</v>
      </c>
      <c r="X57" s="10">
        <v>9.6300000000000008</v>
      </c>
      <c r="Y57" s="10">
        <v>9.6300000000000008</v>
      </c>
      <c r="Z57" s="10">
        <v>9.6300000000000008</v>
      </c>
      <c r="AA57" s="81">
        <v>9.6300000000000008</v>
      </c>
      <c r="AB57" s="81">
        <v>1.42</v>
      </c>
      <c r="AC57" s="10">
        <v>1.42</v>
      </c>
      <c r="AD57" s="10">
        <v>1.42</v>
      </c>
      <c r="AE57" s="10">
        <v>1.42</v>
      </c>
      <c r="AF57" s="10">
        <v>1.42</v>
      </c>
      <c r="AG57" s="10">
        <v>1.42</v>
      </c>
      <c r="AH57" s="10">
        <v>1.42</v>
      </c>
      <c r="AI57" s="10">
        <v>1.42</v>
      </c>
      <c r="AJ57" s="10">
        <v>1.42</v>
      </c>
      <c r="AK57" s="10">
        <v>1.42</v>
      </c>
      <c r="AL57" s="10">
        <v>1.42</v>
      </c>
      <c r="AM57" s="10">
        <v>1.42</v>
      </c>
      <c r="AN57" s="149">
        <v>1.42</v>
      </c>
      <c r="AO57" s="5">
        <v>1555</v>
      </c>
      <c r="AP57" s="118">
        <f t="shared" si="1"/>
        <v>2208.1</v>
      </c>
      <c r="AQ57" s="5">
        <v>1517</v>
      </c>
      <c r="AR57" s="118">
        <f t="shared" si="25"/>
        <v>2154.14</v>
      </c>
      <c r="AS57" s="5">
        <v>2958</v>
      </c>
      <c r="AT57" s="127">
        <f t="shared" si="28"/>
        <v>4200.3599999999997</v>
      </c>
      <c r="AU57" s="5">
        <v>2236</v>
      </c>
      <c r="AV57" s="118">
        <f t="shared" si="26"/>
        <v>3175.12</v>
      </c>
      <c r="AW57" s="5">
        <v>4586</v>
      </c>
      <c r="AX57" s="118">
        <f t="shared" si="31"/>
        <v>6512.12</v>
      </c>
      <c r="AY57" s="5">
        <v>8052</v>
      </c>
      <c r="AZ57" s="127">
        <f t="shared" si="6"/>
        <v>11433.84</v>
      </c>
      <c r="BA57" s="105">
        <v>37</v>
      </c>
      <c r="BB57" s="118">
        <f t="shared" si="29"/>
        <v>52.54</v>
      </c>
      <c r="BC57" s="105">
        <v>0</v>
      </c>
      <c r="BD57" s="118">
        <f t="shared" si="30"/>
        <v>0</v>
      </c>
      <c r="BE57" s="5">
        <v>0</v>
      </c>
      <c r="BF57" s="127">
        <f t="shared" si="9"/>
        <v>0</v>
      </c>
      <c r="BG57" s="105">
        <v>0</v>
      </c>
      <c r="BH57" s="118">
        <f t="shared" si="13"/>
        <v>0</v>
      </c>
      <c r="BI57" s="5">
        <v>0</v>
      </c>
      <c r="BJ57" s="118">
        <f t="shared" si="27"/>
        <v>0</v>
      </c>
      <c r="BK57" s="5">
        <v>0</v>
      </c>
      <c r="BL57" s="127">
        <f t="shared" si="12"/>
        <v>0</v>
      </c>
      <c r="BM57" s="220" t="s">
        <v>517</v>
      </c>
      <c r="BO57" s="1" t="s">
        <v>455</v>
      </c>
      <c r="BP57" s="1" t="s">
        <v>483</v>
      </c>
      <c r="BQ57" s="233"/>
      <c r="BR57" s="234"/>
    </row>
    <row r="58" spans="1:70">
      <c r="A58" s="219" t="s">
        <v>451</v>
      </c>
      <c r="B58" s="106" t="s">
        <v>354</v>
      </c>
      <c r="C58" s="66" t="s">
        <v>175</v>
      </c>
      <c r="D58" s="284"/>
      <c r="E58" s="136" t="s">
        <v>176</v>
      </c>
      <c r="F58" s="295"/>
      <c r="G58" s="86" t="s">
        <v>187</v>
      </c>
      <c r="H58" s="85" t="s">
        <v>507</v>
      </c>
      <c r="I58" s="85" t="s">
        <v>184</v>
      </c>
      <c r="J58" s="86" t="s">
        <v>193</v>
      </c>
      <c r="K58" s="85" t="s">
        <v>181</v>
      </c>
      <c r="L58" s="84" t="s">
        <v>185</v>
      </c>
      <c r="M58" s="83" t="s">
        <v>465</v>
      </c>
      <c r="N58" s="83">
        <v>8.2100000000000009</v>
      </c>
      <c r="O58" s="83">
        <v>9.6300000000000008</v>
      </c>
      <c r="P58" s="10">
        <v>9.6300000000000008</v>
      </c>
      <c r="Q58" s="10">
        <v>9.6300000000000008</v>
      </c>
      <c r="R58" s="10">
        <v>9.6300000000000008</v>
      </c>
      <c r="S58" s="10">
        <v>9.6300000000000008</v>
      </c>
      <c r="T58" s="10">
        <v>9.6300000000000008</v>
      </c>
      <c r="U58" s="10">
        <v>9.6300000000000008</v>
      </c>
      <c r="V58" s="10">
        <v>9.6300000000000008</v>
      </c>
      <c r="W58" s="10">
        <v>9.6300000000000008</v>
      </c>
      <c r="X58" s="10">
        <v>9.6300000000000008</v>
      </c>
      <c r="Y58" s="10">
        <v>9.6300000000000008</v>
      </c>
      <c r="Z58" s="10">
        <v>9.6300000000000008</v>
      </c>
      <c r="AA58" s="81">
        <v>9.6300000000000008</v>
      </c>
      <c r="AB58" s="81">
        <v>1.42</v>
      </c>
      <c r="AC58" s="10">
        <v>1.42</v>
      </c>
      <c r="AD58" s="10">
        <v>1.42</v>
      </c>
      <c r="AE58" s="10">
        <v>1.42</v>
      </c>
      <c r="AF58" s="10">
        <v>1.42</v>
      </c>
      <c r="AG58" s="10">
        <v>1.42</v>
      </c>
      <c r="AH58" s="10">
        <v>1.42</v>
      </c>
      <c r="AI58" s="10">
        <v>1.42</v>
      </c>
      <c r="AJ58" s="10">
        <v>1.42</v>
      </c>
      <c r="AK58" s="10">
        <v>1.42</v>
      </c>
      <c r="AL58" s="10">
        <v>1.42</v>
      </c>
      <c r="AM58" s="10">
        <v>1.42</v>
      </c>
      <c r="AN58" s="149">
        <v>1.42</v>
      </c>
      <c r="AP58" s="118">
        <f t="shared" si="1"/>
        <v>0</v>
      </c>
      <c r="AR58" s="118">
        <f t="shared" si="25"/>
        <v>0</v>
      </c>
      <c r="AT58" s="127">
        <f t="shared" si="28"/>
        <v>0</v>
      </c>
      <c r="AU58" s="5"/>
      <c r="AV58" s="118">
        <f t="shared" si="26"/>
        <v>0</v>
      </c>
      <c r="AW58" s="5"/>
      <c r="AX58" s="118">
        <f t="shared" si="31"/>
        <v>0</v>
      </c>
      <c r="AY58" s="5"/>
      <c r="AZ58" s="127">
        <f t="shared" si="6"/>
        <v>0</v>
      </c>
      <c r="BA58" s="105">
        <v>40</v>
      </c>
      <c r="BB58" s="118">
        <f t="shared" si="29"/>
        <v>56.8</v>
      </c>
      <c r="BC58" s="105">
        <v>0</v>
      </c>
      <c r="BD58" s="118">
        <f t="shared" si="30"/>
        <v>0</v>
      </c>
      <c r="BE58" s="5">
        <v>0</v>
      </c>
      <c r="BF58" s="127">
        <f t="shared" si="9"/>
        <v>0</v>
      </c>
      <c r="BG58" s="105">
        <v>0</v>
      </c>
      <c r="BH58" s="118">
        <f t="shared" si="13"/>
        <v>0</v>
      </c>
      <c r="BI58" s="5">
        <v>0</v>
      </c>
      <c r="BJ58" s="118">
        <f t="shared" si="27"/>
        <v>0</v>
      </c>
      <c r="BK58" s="5">
        <v>0</v>
      </c>
      <c r="BL58" s="127">
        <f t="shared" si="12"/>
        <v>0</v>
      </c>
      <c r="BM58" s="242" t="s">
        <v>518</v>
      </c>
      <c r="BO58" s="1" t="s">
        <v>455</v>
      </c>
      <c r="BP58" s="243" t="s">
        <v>519</v>
      </c>
      <c r="BQ58" s="233"/>
      <c r="BR58" s="234"/>
    </row>
    <row r="59" spans="1:70">
      <c r="A59" s="219" t="s">
        <v>451</v>
      </c>
      <c r="B59" s="106" t="s">
        <v>354</v>
      </c>
      <c r="C59" s="66" t="s">
        <v>175</v>
      </c>
      <c r="D59" s="284"/>
      <c r="E59" s="136" t="s">
        <v>176</v>
      </c>
      <c r="F59" s="295"/>
      <c r="G59" s="86" t="s">
        <v>187</v>
      </c>
      <c r="H59" s="85" t="s">
        <v>507</v>
      </c>
      <c r="I59" s="85" t="s">
        <v>184</v>
      </c>
      <c r="J59" s="86" t="s">
        <v>193</v>
      </c>
      <c r="K59" s="85" t="s">
        <v>181</v>
      </c>
      <c r="L59" s="84" t="s">
        <v>185</v>
      </c>
      <c r="M59" s="83" t="s">
        <v>465</v>
      </c>
      <c r="N59" s="83">
        <v>8.2100000000000009</v>
      </c>
      <c r="O59" s="83">
        <v>9.6300000000000008</v>
      </c>
      <c r="P59" s="10">
        <v>9.6300000000000008</v>
      </c>
      <c r="Q59" s="10">
        <v>9.6300000000000008</v>
      </c>
      <c r="R59" s="10">
        <v>9.6300000000000008</v>
      </c>
      <c r="S59" s="10">
        <v>9.6300000000000008</v>
      </c>
      <c r="T59" s="10">
        <v>9.6300000000000008</v>
      </c>
      <c r="U59" s="10">
        <v>9.6300000000000008</v>
      </c>
      <c r="V59" s="10">
        <v>9.6300000000000008</v>
      </c>
      <c r="W59" s="10">
        <v>9.6300000000000008</v>
      </c>
      <c r="X59" s="10">
        <v>9.6300000000000008</v>
      </c>
      <c r="Y59" s="10">
        <v>9.6300000000000008</v>
      </c>
      <c r="Z59" s="10">
        <v>9.6300000000000008</v>
      </c>
      <c r="AA59" s="81">
        <v>9.6300000000000008</v>
      </c>
      <c r="AB59" s="81">
        <v>1.42</v>
      </c>
      <c r="AC59" s="10">
        <v>1.42</v>
      </c>
      <c r="AD59" s="10">
        <v>1.42</v>
      </c>
      <c r="AE59" s="10">
        <v>1.42</v>
      </c>
      <c r="AF59" s="10">
        <v>1.42</v>
      </c>
      <c r="AG59" s="10">
        <v>1.42</v>
      </c>
      <c r="AH59" s="10">
        <v>1.42</v>
      </c>
      <c r="AI59" s="10">
        <v>1.42</v>
      </c>
      <c r="AJ59" s="10">
        <v>1.42</v>
      </c>
      <c r="AK59" s="10">
        <v>1.42</v>
      </c>
      <c r="AL59" s="10">
        <v>1.42</v>
      </c>
      <c r="AM59" s="10">
        <v>1.42</v>
      </c>
      <c r="AN59" s="149">
        <v>1.42</v>
      </c>
      <c r="AP59" s="118">
        <f t="shared" si="1"/>
        <v>0</v>
      </c>
      <c r="AR59" s="118">
        <f t="shared" si="25"/>
        <v>0</v>
      </c>
      <c r="AT59" s="127">
        <f t="shared" si="28"/>
        <v>0</v>
      </c>
      <c r="AU59" s="5"/>
      <c r="AV59" s="118">
        <f t="shared" si="26"/>
        <v>0</v>
      </c>
      <c r="AW59" s="5"/>
      <c r="AX59" s="118">
        <f t="shared" si="31"/>
        <v>0</v>
      </c>
      <c r="AY59" s="5"/>
      <c r="AZ59" s="127">
        <f t="shared" si="6"/>
        <v>0</v>
      </c>
      <c r="BA59" s="105">
        <v>876</v>
      </c>
      <c r="BB59" s="118">
        <f t="shared" si="29"/>
        <v>1243.9199999999998</v>
      </c>
      <c r="BC59" s="105">
        <v>1476</v>
      </c>
      <c r="BD59" s="118">
        <f t="shared" si="30"/>
        <v>2095.92</v>
      </c>
      <c r="BE59" s="5">
        <v>1553</v>
      </c>
      <c r="BF59" s="127">
        <f t="shared" si="9"/>
        <v>2205.2599999999998</v>
      </c>
      <c r="BG59" s="105">
        <v>2956</v>
      </c>
      <c r="BH59" s="118">
        <f t="shared" si="13"/>
        <v>4197.5199999999995</v>
      </c>
      <c r="BI59" s="5">
        <v>795</v>
      </c>
      <c r="BJ59" s="118">
        <f t="shared" si="27"/>
        <v>1128.8999999999999</v>
      </c>
      <c r="BK59" s="5">
        <v>760</v>
      </c>
      <c r="BL59" s="127">
        <f t="shared" si="12"/>
        <v>1079.2</v>
      </c>
      <c r="BM59" s="220" t="s">
        <v>517</v>
      </c>
      <c r="BO59" s="1" t="s">
        <v>455</v>
      </c>
      <c r="BP59" s="1" t="s">
        <v>520</v>
      </c>
      <c r="BQ59" s="233"/>
      <c r="BR59" s="234"/>
    </row>
    <row r="60" spans="1:70">
      <c r="A60" s="219" t="s">
        <v>451</v>
      </c>
      <c r="B60" s="106" t="s">
        <v>354</v>
      </c>
      <c r="C60" s="66" t="s">
        <v>175</v>
      </c>
      <c r="D60" s="284"/>
      <c r="E60" s="136" t="s">
        <v>176</v>
      </c>
      <c r="F60" s="295"/>
      <c r="G60" s="86" t="s">
        <v>187</v>
      </c>
      <c r="H60" s="85" t="s">
        <v>507</v>
      </c>
      <c r="I60" s="85" t="s">
        <v>184</v>
      </c>
      <c r="J60" s="86" t="s">
        <v>193</v>
      </c>
      <c r="K60" s="85" t="s">
        <v>181</v>
      </c>
      <c r="L60" s="84" t="s">
        <v>185</v>
      </c>
      <c r="M60" s="83" t="s">
        <v>465</v>
      </c>
      <c r="N60" s="83">
        <v>8.2100000000000009</v>
      </c>
      <c r="O60" s="83">
        <v>9.6300000000000008</v>
      </c>
      <c r="P60" s="10">
        <v>9.6300000000000008</v>
      </c>
      <c r="Q60" s="10">
        <v>9.6300000000000008</v>
      </c>
      <c r="R60" s="10">
        <v>9.6300000000000008</v>
      </c>
      <c r="S60" s="10">
        <v>9.6300000000000008</v>
      </c>
      <c r="T60" s="10">
        <v>9.6300000000000008</v>
      </c>
      <c r="U60" s="10">
        <v>9.6300000000000008</v>
      </c>
      <c r="V60" s="10">
        <v>9.6300000000000008</v>
      </c>
      <c r="W60" s="10">
        <v>9.6300000000000008</v>
      </c>
      <c r="X60" s="10">
        <v>9.6300000000000008</v>
      </c>
      <c r="Y60" s="10">
        <v>9.6300000000000008</v>
      </c>
      <c r="Z60" s="10">
        <v>9.6300000000000008</v>
      </c>
      <c r="AA60" s="81">
        <v>9.6300000000000008</v>
      </c>
      <c r="AB60" s="81">
        <v>1.42</v>
      </c>
      <c r="AC60" s="10">
        <v>1.42</v>
      </c>
      <c r="AD60" s="10">
        <v>1.42</v>
      </c>
      <c r="AE60" s="10">
        <v>1.42</v>
      </c>
      <c r="AF60" s="10">
        <v>1.42</v>
      </c>
      <c r="AG60" s="10">
        <v>1.42</v>
      </c>
      <c r="AH60" s="10">
        <v>1.42</v>
      </c>
      <c r="AI60" s="10">
        <v>1.42</v>
      </c>
      <c r="AJ60" s="10">
        <v>1.42</v>
      </c>
      <c r="AK60" s="10">
        <v>1.42</v>
      </c>
      <c r="AL60" s="10">
        <v>1.42</v>
      </c>
      <c r="AM60" s="10">
        <v>1.42</v>
      </c>
      <c r="AN60" s="149">
        <v>1.42</v>
      </c>
      <c r="AP60" s="118">
        <f t="shared" si="1"/>
        <v>0</v>
      </c>
      <c r="AR60" s="118">
        <f t="shared" si="25"/>
        <v>0</v>
      </c>
      <c r="AT60" s="127">
        <f t="shared" si="28"/>
        <v>0</v>
      </c>
      <c r="AU60" s="5"/>
      <c r="AV60" s="118">
        <f t="shared" si="26"/>
        <v>0</v>
      </c>
      <c r="AW60" s="5"/>
      <c r="AX60" s="118">
        <f t="shared" si="31"/>
        <v>0</v>
      </c>
      <c r="AY60" s="5"/>
      <c r="AZ60" s="127">
        <f t="shared" si="6"/>
        <v>0</v>
      </c>
      <c r="BA60" s="105">
        <v>1919</v>
      </c>
      <c r="BB60" s="118">
        <f t="shared" si="29"/>
        <v>2724.98</v>
      </c>
      <c r="BC60" s="105">
        <v>559</v>
      </c>
      <c r="BD60" s="118">
        <f t="shared" si="30"/>
        <v>793.78</v>
      </c>
      <c r="BE60" s="5">
        <v>37</v>
      </c>
      <c r="BF60" s="127">
        <f t="shared" si="9"/>
        <v>52.54</v>
      </c>
      <c r="BG60" s="105">
        <v>0</v>
      </c>
      <c r="BH60" s="118">
        <f t="shared" si="13"/>
        <v>0</v>
      </c>
      <c r="BI60" s="5">
        <v>0</v>
      </c>
      <c r="BJ60" s="118">
        <f t="shared" si="27"/>
        <v>0</v>
      </c>
      <c r="BK60" s="5">
        <v>0</v>
      </c>
      <c r="BL60" s="127">
        <f t="shared" si="12"/>
        <v>0</v>
      </c>
      <c r="BM60" s="242" t="s">
        <v>521</v>
      </c>
      <c r="BO60" s="1" t="s">
        <v>455</v>
      </c>
      <c r="BP60" s="242" t="s">
        <v>522</v>
      </c>
      <c r="BQ60" s="233"/>
      <c r="BR60" s="234"/>
    </row>
    <row r="61" spans="1:70">
      <c r="A61" s="219" t="s">
        <v>451</v>
      </c>
      <c r="B61" s="106" t="s">
        <v>354</v>
      </c>
      <c r="C61" s="66" t="s">
        <v>175</v>
      </c>
      <c r="D61" s="284"/>
      <c r="E61" s="136" t="s">
        <v>176</v>
      </c>
      <c r="F61" s="295"/>
      <c r="G61" s="86" t="s">
        <v>187</v>
      </c>
      <c r="H61" s="85" t="s">
        <v>507</v>
      </c>
      <c r="I61" s="85" t="s">
        <v>184</v>
      </c>
      <c r="J61" s="86" t="s">
        <v>193</v>
      </c>
      <c r="K61" s="85" t="s">
        <v>181</v>
      </c>
      <c r="L61" s="84" t="s">
        <v>185</v>
      </c>
      <c r="M61" s="83" t="s">
        <v>465</v>
      </c>
      <c r="N61" s="83">
        <v>8.2100000000000009</v>
      </c>
      <c r="O61" s="83">
        <v>9.6300000000000008</v>
      </c>
      <c r="P61" s="10">
        <v>9.6300000000000008</v>
      </c>
      <c r="Q61" s="10">
        <v>9.6300000000000008</v>
      </c>
      <c r="R61" s="10">
        <v>9.6300000000000008</v>
      </c>
      <c r="S61" s="10">
        <v>9.6300000000000008</v>
      </c>
      <c r="T61" s="10">
        <v>9.6300000000000008</v>
      </c>
      <c r="U61" s="10">
        <v>9.6300000000000008</v>
      </c>
      <c r="V61" s="10">
        <v>9.6300000000000008</v>
      </c>
      <c r="W61" s="10">
        <v>9.6300000000000008</v>
      </c>
      <c r="X61" s="10">
        <v>9.6300000000000008</v>
      </c>
      <c r="Y61" s="10">
        <v>9.6300000000000008</v>
      </c>
      <c r="Z61" s="10">
        <v>9.6300000000000008</v>
      </c>
      <c r="AA61" s="81">
        <v>9.6300000000000008</v>
      </c>
      <c r="AB61" s="81">
        <v>1.42</v>
      </c>
      <c r="AC61" s="10">
        <v>1.42</v>
      </c>
      <c r="AD61" s="10">
        <v>1.42</v>
      </c>
      <c r="AE61" s="10">
        <v>1.42</v>
      </c>
      <c r="AF61" s="10">
        <v>1.42</v>
      </c>
      <c r="AG61" s="10">
        <v>1.42</v>
      </c>
      <c r="AH61" s="10">
        <v>1.42</v>
      </c>
      <c r="AI61" s="10">
        <v>1.42</v>
      </c>
      <c r="AJ61" s="10">
        <v>1.42</v>
      </c>
      <c r="AK61" s="10">
        <v>1.42</v>
      </c>
      <c r="AL61" s="10">
        <v>1.42</v>
      </c>
      <c r="AM61" s="10">
        <v>1.42</v>
      </c>
      <c r="AN61" s="149">
        <v>1.42</v>
      </c>
      <c r="AP61" s="118">
        <f t="shared" si="1"/>
        <v>0</v>
      </c>
      <c r="AR61" s="118">
        <f t="shared" si="25"/>
        <v>0</v>
      </c>
      <c r="AT61" s="127">
        <f t="shared" si="28"/>
        <v>0</v>
      </c>
      <c r="AU61" s="5"/>
      <c r="AV61" s="118">
        <f t="shared" si="26"/>
        <v>0</v>
      </c>
      <c r="AW61" s="5"/>
      <c r="AX61" s="118">
        <f t="shared" si="31"/>
        <v>0</v>
      </c>
      <c r="AY61" s="5"/>
      <c r="AZ61" s="127">
        <f t="shared" si="6"/>
        <v>0</v>
      </c>
      <c r="BA61" s="105">
        <v>0</v>
      </c>
      <c r="BB61" s="118">
        <f t="shared" si="29"/>
        <v>0</v>
      </c>
      <c r="BC61" s="105">
        <v>39</v>
      </c>
      <c r="BD61" s="118">
        <f t="shared" si="30"/>
        <v>55.379999999999995</v>
      </c>
      <c r="BE61" s="5">
        <v>0</v>
      </c>
      <c r="BF61" s="127">
        <f t="shared" si="9"/>
        <v>0</v>
      </c>
      <c r="BG61" s="105">
        <v>599</v>
      </c>
      <c r="BH61" s="118">
        <f t="shared" si="13"/>
        <v>850.57999999999993</v>
      </c>
      <c r="BI61" s="5">
        <v>0</v>
      </c>
      <c r="BJ61" s="118">
        <f t="shared" si="27"/>
        <v>0</v>
      </c>
      <c r="BK61" s="5">
        <v>80</v>
      </c>
      <c r="BL61" s="127">
        <f t="shared" si="12"/>
        <v>113.6</v>
      </c>
      <c r="BM61" s="220" t="s">
        <v>517</v>
      </c>
      <c r="BO61" s="1" t="s">
        <v>455</v>
      </c>
      <c r="BP61" s="1" t="s">
        <v>523</v>
      </c>
      <c r="BQ61" s="233"/>
      <c r="BR61" s="234"/>
    </row>
    <row r="62" spans="1:70">
      <c r="A62" s="219" t="s">
        <v>451</v>
      </c>
      <c r="B62" s="106" t="s">
        <v>354</v>
      </c>
      <c r="C62" s="66" t="s">
        <v>175</v>
      </c>
      <c r="D62" s="284"/>
      <c r="E62" s="136" t="s">
        <v>176</v>
      </c>
      <c r="F62" s="295"/>
      <c r="G62" s="86" t="s">
        <v>187</v>
      </c>
      <c r="H62" s="85" t="s">
        <v>507</v>
      </c>
      <c r="I62" s="85" t="s">
        <v>184</v>
      </c>
      <c r="J62" s="86" t="s">
        <v>193</v>
      </c>
      <c r="K62" s="85" t="s">
        <v>181</v>
      </c>
      <c r="L62" s="84" t="s">
        <v>185</v>
      </c>
      <c r="M62" s="83" t="s">
        <v>465</v>
      </c>
      <c r="N62" s="83">
        <v>8.2100000000000009</v>
      </c>
      <c r="O62" s="83">
        <v>9.6300000000000008</v>
      </c>
      <c r="P62" s="10">
        <v>9.6300000000000008</v>
      </c>
      <c r="Q62" s="10">
        <v>9.6300000000000008</v>
      </c>
      <c r="R62" s="10">
        <v>9.6300000000000008</v>
      </c>
      <c r="S62" s="10">
        <v>9.6300000000000008</v>
      </c>
      <c r="T62" s="10">
        <v>9.6300000000000008</v>
      </c>
      <c r="U62" s="10">
        <v>9.6300000000000008</v>
      </c>
      <c r="V62" s="10">
        <v>9.6300000000000008</v>
      </c>
      <c r="W62" s="10">
        <v>9.6300000000000008</v>
      </c>
      <c r="X62" s="10">
        <v>9.6300000000000008</v>
      </c>
      <c r="Y62" s="10">
        <v>9.6300000000000008</v>
      </c>
      <c r="Z62" s="10">
        <v>9.6300000000000008</v>
      </c>
      <c r="AA62" s="81">
        <v>9.6300000000000008</v>
      </c>
      <c r="AB62" s="81">
        <v>1.42</v>
      </c>
      <c r="AC62" s="10">
        <v>1.42</v>
      </c>
      <c r="AD62" s="10">
        <v>1.42</v>
      </c>
      <c r="AE62" s="10">
        <v>1.42</v>
      </c>
      <c r="AF62" s="10">
        <v>1.42</v>
      </c>
      <c r="AG62" s="10">
        <v>1.42</v>
      </c>
      <c r="AH62" s="10">
        <v>1.42</v>
      </c>
      <c r="AI62" s="10">
        <v>1.42</v>
      </c>
      <c r="AJ62" s="10">
        <v>1.42</v>
      </c>
      <c r="AK62" s="10">
        <v>1.42</v>
      </c>
      <c r="AL62" s="10">
        <v>1.42</v>
      </c>
      <c r="AM62" s="10">
        <v>1.42</v>
      </c>
      <c r="AN62" s="149">
        <v>1.42</v>
      </c>
      <c r="AP62" s="118">
        <f t="shared" si="1"/>
        <v>0</v>
      </c>
      <c r="AR62" s="118">
        <f t="shared" si="25"/>
        <v>0</v>
      </c>
      <c r="AT62" s="127">
        <f t="shared" si="28"/>
        <v>0</v>
      </c>
      <c r="AU62" s="5"/>
      <c r="AV62" s="118">
        <f t="shared" si="26"/>
        <v>0</v>
      </c>
      <c r="AW62" s="5"/>
      <c r="AX62" s="118">
        <f t="shared" si="31"/>
        <v>0</v>
      </c>
      <c r="AY62" s="5"/>
      <c r="AZ62" s="127">
        <f t="shared" si="6"/>
        <v>0</v>
      </c>
      <c r="BA62" s="105">
        <v>399</v>
      </c>
      <c r="BB62" s="118">
        <f t="shared" si="29"/>
        <v>566.57999999999993</v>
      </c>
      <c r="BC62" s="105">
        <v>200</v>
      </c>
      <c r="BD62" s="118">
        <f t="shared" si="30"/>
        <v>284</v>
      </c>
      <c r="BE62" s="5">
        <v>39</v>
      </c>
      <c r="BF62" s="127">
        <f t="shared" si="9"/>
        <v>55.379999999999995</v>
      </c>
      <c r="BG62" s="105">
        <v>0</v>
      </c>
      <c r="BH62" s="118">
        <f t="shared" si="13"/>
        <v>0</v>
      </c>
      <c r="BI62" s="5">
        <v>0</v>
      </c>
      <c r="BJ62" s="118">
        <f t="shared" si="27"/>
        <v>0</v>
      </c>
      <c r="BK62" s="5">
        <v>80</v>
      </c>
      <c r="BL62" s="127">
        <f t="shared" si="12"/>
        <v>113.6</v>
      </c>
      <c r="BM62" s="220" t="s">
        <v>517</v>
      </c>
      <c r="BO62" s="1" t="s">
        <v>455</v>
      </c>
      <c r="BP62" s="1" t="s">
        <v>524</v>
      </c>
      <c r="BQ62" s="233"/>
      <c r="BR62" s="234"/>
    </row>
    <row r="63" spans="1:70">
      <c r="A63" s="219" t="s">
        <v>451</v>
      </c>
      <c r="B63" s="106" t="s">
        <v>354</v>
      </c>
      <c r="C63" s="66" t="s">
        <v>175</v>
      </c>
      <c r="D63" s="284"/>
      <c r="E63" s="136" t="s">
        <v>176</v>
      </c>
      <c r="F63" s="295"/>
      <c r="G63" s="86" t="s">
        <v>187</v>
      </c>
      <c r="H63" s="85" t="s">
        <v>507</v>
      </c>
      <c r="I63" s="85" t="s">
        <v>184</v>
      </c>
      <c r="J63" s="86" t="s">
        <v>193</v>
      </c>
      <c r="K63" s="85" t="s">
        <v>181</v>
      </c>
      <c r="L63" s="84" t="s">
        <v>185</v>
      </c>
      <c r="M63" s="83" t="s">
        <v>465</v>
      </c>
      <c r="N63" s="83">
        <v>8.2100000000000009</v>
      </c>
      <c r="O63" s="83">
        <v>9.6300000000000008</v>
      </c>
      <c r="P63" s="10">
        <v>9.6300000000000008</v>
      </c>
      <c r="Q63" s="10">
        <v>9.6300000000000008</v>
      </c>
      <c r="R63" s="10">
        <v>9.6300000000000008</v>
      </c>
      <c r="S63" s="10">
        <v>9.6300000000000008</v>
      </c>
      <c r="T63" s="10">
        <v>9.6300000000000008</v>
      </c>
      <c r="U63" s="10">
        <v>9.6300000000000008</v>
      </c>
      <c r="V63" s="10">
        <v>9.6300000000000008</v>
      </c>
      <c r="W63" s="10">
        <v>9.6300000000000008</v>
      </c>
      <c r="X63" s="10">
        <v>9.6300000000000008</v>
      </c>
      <c r="Y63" s="10">
        <v>9.6300000000000008</v>
      </c>
      <c r="Z63" s="10">
        <v>9.6300000000000008</v>
      </c>
      <c r="AA63" s="81">
        <v>9.6300000000000008</v>
      </c>
      <c r="AB63" s="81">
        <v>1.42</v>
      </c>
      <c r="AC63" s="10">
        <v>1.42</v>
      </c>
      <c r="AD63" s="10">
        <v>1.42</v>
      </c>
      <c r="AE63" s="10">
        <v>1.42</v>
      </c>
      <c r="AF63" s="10">
        <v>1.42</v>
      </c>
      <c r="AG63" s="10">
        <v>1.42</v>
      </c>
      <c r="AH63" s="10">
        <v>1.42</v>
      </c>
      <c r="AI63" s="10">
        <v>1.42</v>
      </c>
      <c r="AJ63" s="10">
        <v>1.42</v>
      </c>
      <c r="AK63" s="10">
        <v>1.42</v>
      </c>
      <c r="AL63" s="10">
        <v>1.42</v>
      </c>
      <c r="AM63" s="10">
        <v>1.42</v>
      </c>
      <c r="AN63" s="149">
        <v>1.42</v>
      </c>
      <c r="AO63" s="5">
        <v>2265</v>
      </c>
      <c r="AP63" s="118">
        <f t="shared" si="1"/>
        <v>3216.2999999999997</v>
      </c>
      <c r="AQ63" s="5">
        <v>6502</v>
      </c>
      <c r="AR63" s="118">
        <f t="shared" si="25"/>
        <v>9232.84</v>
      </c>
      <c r="AS63" s="5">
        <v>2762</v>
      </c>
      <c r="AT63" s="127">
        <f t="shared" si="28"/>
        <v>3922.04</v>
      </c>
      <c r="AU63" s="5">
        <v>3640</v>
      </c>
      <c r="AV63" s="118">
        <f t="shared" si="26"/>
        <v>5168.8</v>
      </c>
      <c r="AW63" s="5">
        <v>3147</v>
      </c>
      <c r="AX63" s="118">
        <f t="shared" si="31"/>
        <v>4468.74</v>
      </c>
      <c r="AY63" s="5">
        <v>12300</v>
      </c>
      <c r="AZ63" s="127">
        <f t="shared" si="6"/>
        <v>17466</v>
      </c>
      <c r="BA63" s="105">
        <v>0</v>
      </c>
      <c r="BB63" s="118">
        <f t="shared" si="29"/>
        <v>0</v>
      </c>
      <c r="BC63" s="105">
        <v>0</v>
      </c>
      <c r="BD63" s="118">
        <f t="shared" si="30"/>
        <v>0</v>
      </c>
      <c r="BE63" s="5">
        <v>0</v>
      </c>
      <c r="BF63" s="127">
        <f t="shared" si="9"/>
        <v>0</v>
      </c>
      <c r="BG63" s="105">
        <v>0</v>
      </c>
      <c r="BH63" s="118">
        <f t="shared" si="13"/>
        <v>0</v>
      </c>
      <c r="BI63" s="5">
        <v>0</v>
      </c>
      <c r="BJ63" s="118">
        <f t="shared" si="27"/>
        <v>0</v>
      </c>
      <c r="BK63" s="5">
        <v>0</v>
      </c>
      <c r="BL63" s="127">
        <f t="shared" si="12"/>
        <v>0</v>
      </c>
      <c r="BM63" s="220" t="s">
        <v>525</v>
      </c>
      <c r="BO63" s="1" t="s">
        <v>455</v>
      </c>
      <c r="BP63" s="1" t="s">
        <v>483</v>
      </c>
      <c r="BQ63" s="233"/>
      <c r="BR63" s="234"/>
    </row>
    <row r="64" spans="1:70">
      <c r="A64" s="219" t="s">
        <v>451</v>
      </c>
      <c r="B64" s="106" t="s">
        <v>354</v>
      </c>
      <c r="C64" s="66" t="s">
        <v>175</v>
      </c>
      <c r="D64" s="284"/>
      <c r="E64" s="136" t="s">
        <v>176</v>
      </c>
      <c r="F64" s="295"/>
      <c r="G64" s="86" t="s">
        <v>187</v>
      </c>
      <c r="H64" s="85" t="s">
        <v>507</v>
      </c>
      <c r="I64" s="85" t="s">
        <v>184</v>
      </c>
      <c r="J64" s="86" t="s">
        <v>193</v>
      </c>
      <c r="K64" s="85" t="s">
        <v>181</v>
      </c>
      <c r="L64" s="84" t="s">
        <v>185</v>
      </c>
      <c r="M64" s="83" t="s">
        <v>465</v>
      </c>
      <c r="N64" s="83">
        <v>8.2100000000000009</v>
      </c>
      <c r="O64" s="83">
        <v>9.6300000000000008</v>
      </c>
      <c r="P64" s="10">
        <v>9.6300000000000008</v>
      </c>
      <c r="Q64" s="10">
        <v>9.6300000000000008</v>
      </c>
      <c r="R64" s="10">
        <v>9.6300000000000008</v>
      </c>
      <c r="S64" s="10">
        <v>9.6300000000000008</v>
      </c>
      <c r="T64" s="10">
        <v>9.6300000000000008</v>
      </c>
      <c r="U64" s="10">
        <v>9.6300000000000008</v>
      </c>
      <c r="V64" s="10">
        <v>9.6300000000000008</v>
      </c>
      <c r="W64" s="10">
        <v>9.6300000000000008</v>
      </c>
      <c r="X64" s="10">
        <v>9.6300000000000008</v>
      </c>
      <c r="Y64" s="10">
        <v>9.6300000000000008</v>
      </c>
      <c r="Z64" s="10">
        <v>9.6300000000000008</v>
      </c>
      <c r="AA64" s="81">
        <v>9.6300000000000008</v>
      </c>
      <c r="AB64" s="81">
        <v>1.42</v>
      </c>
      <c r="AC64" s="10">
        <v>1.42</v>
      </c>
      <c r="AD64" s="10">
        <v>1.42</v>
      </c>
      <c r="AE64" s="10">
        <v>1.42</v>
      </c>
      <c r="AF64" s="10">
        <v>1.42</v>
      </c>
      <c r="AG64" s="10">
        <v>1.42</v>
      </c>
      <c r="AH64" s="10">
        <v>1.42</v>
      </c>
      <c r="AI64" s="10">
        <v>1.42</v>
      </c>
      <c r="AJ64" s="10">
        <v>1.42</v>
      </c>
      <c r="AK64" s="10">
        <v>1.42</v>
      </c>
      <c r="AL64" s="10">
        <v>1.42</v>
      </c>
      <c r="AM64" s="10">
        <v>1.42</v>
      </c>
      <c r="AN64" s="149">
        <v>1.42</v>
      </c>
      <c r="AP64" s="118">
        <f t="shared" si="1"/>
        <v>0</v>
      </c>
      <c r="AR64" s="118">
        <f t="shared" si="25"/>
        <v>0</v>
      </c>
      <c r="AT64" s="127">
        <f t="shared" si="28"/>
        <v>0</v>
      </c>
      <c r="AU64" s="5"/>
      <c r="AV64" s="118">
        <f t="shared" si="26"/>
        <v>0</v>
      </c>
      <c r="AW64" s="5"/>
      <c r="AX64" s="118">
        <f t="shared" si="31"/>
        <v>0</v>
      </c>
      <c r="AY64" s="5"/>
      <c r="AZ64" s="127">
        <f t="shared" si="6"/>
        <v>0</v>
      </c>
      <c r="BA64" s="105">
        <v>0</v>
      </c>
      <c r="BB64" s="118">
        <f t="shared" si="29"/>
        <v>0</v>
      </c>
      <c r="BC64" s="105">
        <v>0</v>
      </c>
      <c r="BD64" s="118">
        <f t="shared" si="30"/>
        <v>0</v>
      </c>
      <c r="BE64" s="5">
        <v>0</v>
      </c>
      <c r="BF64" s="127">
        <f t="shared" si="9"/>
        <v>0</v>
      </c>
      <c r="BG64" s="105">
        <v>0</v>
      </c>
      <c r="BH64" s="118">
        <f t="shared" si="13"/>
        <v>0</v>
      </c>
      <c r="BI64" s="5">
        <v>0</v>
      </c>
      <c r="BJ64" s="118">
        <f t="shared" si="27"/>
        <v>0</v>
      </c>
      <c r="BK64" s="5">
        <v>0</v>
      </c>
      <c r="BL64" s="127">
        <f t="shared" si="12"/>
        <v>0</v>
      </c>
      <c r="BM64" s="242" t="s">
        <v>526</v>
      </c>
      <c r="BO64" s="1" t="s">
        <v>455</v>
      </c>
      <c r="BP64" s="243" t="s">
        <v>527</v>
      </c>
      <c r="BQ64" s="233"/>
      <c r="BR64" s="234"/>
    </row>
    <row r="65" spans="1:70">
      <c r="A65" s="219" t="s">
        <v>451</v>
      </c>
      <c r="B65" s="106" t="s">
        <v>354</v>
      </c>
      <c r="C65" s="66" t="s">
        <v>175</v>
      </c>
      <c r="D65" s="284"/>
      <c r="E65" s="136" t="s">
        <v>176</v>
      </c>
      <c r="F65" s="295"/>
      <c r="G65" s="86" t="s">
        <v>187</v>
      </c>
      <c r="H65" s="85" t="s">
        <v>507</v>
      </c>
      <c r="I65" s="85" t="s">
        <v>184</v>
      </c>
      <c r="J65" s="86" t="s">
        <v>193</v>
      </c>
      <c r="K65" s="85" t="s">
        <v>181</v>
      </c>
      <c r="L65" s="84" t="s">
        <v>185</v>
      </c>
      <c r="M65" s="83" t="s">
        <v>465</v>
      </c>
      <c r="N65" s="83">
        <v>8.2100000000000009</v>
      </c>
      <c r="O65" s="83">
        <v>9.6300000000000008</v>
      </c>
      <c r="P65" s="10">
        <v>9.6300000000000008</v>
      </c>
      <c r="Q65" s="10">
        <v>9.6300000000000008</v>
      </c>
      <c r="R65" s="10">
        <v>9.6300000000000008</v>
      </c>
      <c r="S65" s="10">
        <v>9.6300000000000008</v>
      </c>
      <c r="T65" s="10">
        <v>9.6300000000000008</v>
      </c>
      <c r="U65" s="10">
        <v>9.6300000000000008</v>
      </c>
      <c r="V65" s="10">
        <v>9.6300000000000008</v>
      </c>
      <c r="W65" s="10">
        <v>9.6300000000000008</v>
      </c>
      <c r="X65" s="10">
        <v>9.6300000000000008</v>
      </c>
      <c r="Y65" s="10">
        <v>9.6300000000000008</v>
      </c>
      <c r="Z65" s="10">
        <v>9.6300000000000008</v>
      </c>
      <c r="AA65" s="81">
        <v>9.6300000000000008</v>
      </c>
      <c r="AB65" s="81">
        <v>1.42</v>
      </c>
      <c r="AC65" s="10">
        <v>1.42</v>
      </c>
      <c r="AD65" s="10">
        <v>1.42</v>
      </c>
      <c r="AE65" s="10">
        <v>1.42</v>
      </c>
      <c r="AF65" s="10">
        <v>1.42</v>
      </c>
      <c r="AG65" s="10">
        <v>1.42</v>
      </c>
      <c r="AH65" s="10">
        <v>1.42</v>
      </c>
      <c r="AI65" s="10">
        <v>1.42</v>
      </c>
      <c r="AJ65" s="10">
        <v>1.42</v>
      </c>
      <c r="AK65" s="10">
        <v>1.42</v>
      </c>
      <c r="AL65" s="10">
        <v>1.42</v>
      </c>
      <c r="AM65" s="10">
        <v>1.42</v>
      </c>
      <c r="AN65" s="149">
        <v>1.42</v>
      </c>
      <c r="AP65" s="118">
        <f t="shared" si="1"/>
        <v>0</v>
      </c>
      <c r="AR65" s="118">
        <f t="shared" si="25"/>
        <v>0</v>
      </c>
      <c r="AT65" s="127">
        <f t="shared" si="28"/>
        <v>0</v>
      </c>
      <c r="AU65" s="5"/>
      <c r="AV65" s="118">
        <f t="shared" si="26"/>
        <v>0</v>
      </c>
      <c r="AW65" s="5"/>
      <c r="AX65" s="118">
        <f t="shared" si="31"/>
        <v>0</v>
      </c>
      <c r="AY65" s="5"/>
      <c r="AZ65" s="127">
        <f t="shared" si="6"/>
        <v>0</v>
      </c>
      <c r="BA65" s="105">
        <v>5036</v>
      </c>
      <c r="BB65" s="118">
        <f t="shared" si="29"/>
        <v>7151.12</v>
      </c>
      <c r="BC65" s="105">
        <v>7474</v>
      </c>
      <c r="BD65" s="118">
        <f t="shared" si="30"/>
        <v>10613.08</v>
      </c>
      <c r="BE65" s="5">
        <v>4879</v>
      </c>
      <c r="BF65" s="127">
        <f t="shared" si="9"/>
        <v>6928.1799999999994</v>
      </c>
      <c r="BG65" s="105">
        <v>5036</v>
      </c>
      <c r="BH65" s="118">
        <f t="shared" si="13"/>
        <v>7151.12</v>
      </c>
      <c r="BI65" s="5">
        <v>1430</v>
      </c>
      <c r="BJ65" s="118">
        <f t="shared" si="27"/>
        <v>2030.6</v>
      </c>
      <c r="BK65" s="5">
        <v>640</v>
      </c>
      <c r="BL65" s="127">
        <f t="shared" si="12"/>
        <v>908.8</v>
      </c>
      <c r="BM65" s="220" t="s">
        <v>525</v>
      </c>
      <c r="BO65" s="1" t="s">
        <v>455</v>
      </c>
      <c r="BP65" s="1" t="s">
        <v>520</v>
      </c>
      <c r="BQ65" s="233"/>
      <c r="BR65" s="234"/>
    </row>
    <row r="66" spans="1:70">
      <c r="A66" s="219" t="s">
        <v>451</v>
      </c>
      <c r="B66" s="106" t="s">
        <v>354</v>
      </c>
      <c r="C66" s="66" t="s">
        <v>175</v>
      </c>
      <c r="D66" s="284"/>
      <c r="E66" s="136" t="s">
        <v>176</v>
      </c>
      <c r="F66" s="295"/>
      <c r="G66" s="86" t="s">
        <v>187</v>
      </c>
      <c r="H66" s="85" t="s">
        <v>507</v>
      </c>
      <c r="I66" s="85" t="s">
        <v>184</v>
      </c>
      <c r="J66" s="86" t="s">
        <v>193</v>
      </c>
      <c r="K66" s="85" t="s">
        <v>181</v>
      </c>
      <c r="L66" s="84" t="s">
        <v>185</v>
      </c>
      <c r="M66" s="83" t="s">
        <v>465</v>
      </c>
      <c r="N66" s="83">
        <v>8.2100000000000009</v>
      </c>
      <c r="O66" s="83">
        <v>9.6300000000000008</v>
      </c>
      <c r="P66" s="10">
        <v>9.6300000000000008</v>
      </c>
      <c r="Q66" s="10">
        <v>9.6300000000000008</v>
      </c>
      <c r="R66" s="10">
        <v>9.6300000000000008</v>
      </c>
      <c r="S66" s="10">
        <v>9.6300000000000008</v>
      </c>
      <c r="T66" s="10">
        <v>9.6300000000000008</v>
      </c>
      <c r="U66" s="10">
        <v>9.6300000000000008</v>
      </c>
      <c r="V66" s="10">
        <v>9.6300000000000008</v>
      </c>
      <c r="W66" s="10">
        <v>9.6300000000000008</v>
      </c>
      <c r="X66" s="10">
        <v>9.6300000000000008</v>
      </c>
      <c r="Y66" s="10">
        <v>9.6300000000000008</v>
      </c>
      <c r="Z66" s="10">
        <v>9.6300000000000008</v>
      </c>
      <c r="AA66" s="81">
        <v>9.6300000000000008</v>
      </c>
      <c r="AB66" s="81">
        <v>1.42</v>
      </c>
      <c r="AC66" s="10">
        <v>1.42</v>
      </c>
      <c r="AD66" s="10">
        <v>1.42</v>
      </c>
      <c r="AE66" s="10">
        <v>1.42</v>
      </c>
      <c r="AF66" s="10">
        <v>1.42</v>
      </c>
      <c r="AG66" s="10">
        <v>1.42</v>
      </c>
      <c r="AH66" s="10">
        <v>1.42</v>
      </c>
      <c r="AI66" s="10">
        <v>1.42</v>
      </c>
      <c r="AJ66" s="10">
        <v>1.42</v>
      </c>
      <c r="AK66" s="10">
        <v>1.42</v>
      </c>
      <c r="AL66" s="10">
        <v>1.42</v>
      </c>
      <c r="AM66" s="10">
        <v>1.42</v>
      </c>
      <c r="AN66" s="149">
        <v>1.42</v>
      </c>
      <c r="AP66" s="118">
        <f t="shared" si="1"/>
        <v>0</v>
      </c>
      <c r="AR66" s="118">
        <f t="shared" si="25"/>
        <v>0</v>
      </c>
      <c r="AT66" s="127">
        <f t="shared" si="28"/>
        <v>0</v>
      </c>
      <c r="AU66" s="5"/>
      <c r="AV66" s="118">
        <f t="shared" si="26"/>
        <v>0</v>
      </c>
      <c r="AW66" s="5"/>
      <c r="AX66" s="118">
        <f t="shared" si="31"/>
        <v>0</v>
      </c>
      <c r="AY66" s="5"/>
      <c r="AZ66" s="127">
        <f t="shared" si="6"/>
        <v>0</v>
      </c>
      <c r="BA66" s="105">
        <v>120</v>
      </c>
      <c r="BB66" s="118">
        <f t="shared" si="29"/>
        <v>170.39999999999998</v>
      </c>
      <c r="BC66" s="105">
        <v>0</v>
      </c>
      <c r="BD66" s="118">
        <f t="shared" si="30"/>
        <v>0</v>
      </c>
      <c r="BE66" s="5">
        <v>0</v>
      </c>
      <c r="BF66" s="127">
        <f t="shared" si="9"/>
        <v>0</v>
      </c>
      <c r="BG66" s="105">
        <v>0</v>
      </c>
      <c r="BH66" s="118">
        <f t="shared" si="13"/>
        <v>0</v>
      </c>
      <c r="BI66" s="5">
        <v>0</v>
      </c>
      <c r="BJ66" s="118">
        <f t="shared" si="27"/>
        <v>0</v>
      </c>
      <c r="BK66" s="5">
        <v>0</v>
      </c>
      <c r="BL66" s="127">
        <f t="shared" si="12"/>
        <v>0</v>
      </c>
      <c r="BM66" s="220" t="s">
        <v>525</v>
      </c>
      <c r="BO66" s="1" t="s">
        <v>455</v>
      </c>
      <c r="BP66" s="1" t="s">
        <v>523</v>
      </c>
      <c r="BQ66" s="233"/>
      <c r="BR66" s="234"/>
    </row>
    <row r="67" spans="1:70">
      <c r="A67" s="219" t="s">
        <v>451</v>
      </c>
      <c r="B67" s="106" t="s">
        <v>354</v>
      </c>
      <c r="C67" s="66" t="s">
        <v>175</v>
      </c>
      <c r="D67" s="284"/>
      <c r="E67" s="136" t="s">
        <v>176</v>
      </c>
      <c r="F67" s="295"/>
      <c r="G67" s="86" t="s">
        <v>187</v>
      </c>
      <c r="H67" s="85" t="s">
        <v>507</v>
      </c>
      <c r="I67" s="85" t="s">
        <v>184</v>
      </c>
      <c r="J67" s="86" t="s">
        <v>193</v>
      </c>
      <c r="K67" s="85" t="s">
        <v>181</v>
      </c>
      <c r="L67" s="84" t="s">
        <v>185</v>
      </c>
      <c r="M67" s="83" t="s">
        <v>465</v>
      </c>
      <c r="N67" s="83">
        <v>8.2100000000000009</v>
      </c>
      <c r="O67" s="83">
        <v>9.6300000000000008</v>
      </c>
      <c r="P67" s="10">
        <v>9.6300000000000008</v>
      </c>
      <c r="Q67" s="10">
        <v>9.6300000000000008</v>
      </c>
      <c r="R67" s="10">
        <v>9.6300000000000008</v>
      </c>
      <c r="S67" s="10">
        <v>9.6300000000000008</v>
      </c>
      <c r="T67" s="10">
        <v>9.6300000000000008</v>
      </c>
      <c r="U67" s="10">
        <v>9.6300000000000008</v>
      </c>
      <c r="V67" s="10">
        <v>9.6300000000000008</v>
      </c>
      <c r="W67" s="10">
        <v>9.6300000000000008</v>
      </c>
      <c r="X67" s="10">
        <v>9.6300000000000008</v>
      </c>
      <c r="Y67" s="10">
        <v>9.6300000000000008</v>
      </c>
      <c r="Z67" s="10">
        <v>9.6300000000000008</v>
      </c>
      <c r="AA67" s="81">
        <v>9.6300000000000008</v>
      </c>
      <c r="AB67" s="81">
        <v>1.42</v>
      </c>
      <c r="AC67" s="10">
        <v>1.42</v>
      </c>
      <c r="AD67" s="10">
        <v>1.42</v>
      </c>
      <c r="AE67" s="10">
        <v>1.42</v>
      </c>
      <c r="AF67" s="10">
        <v>1.42</v>
      </c>
      <c r="AG67" s="10">
        <v>1.42</v>
      </c>
      <c r="AH67" s="10">
        <v>1.42</v>
      </c>
      <c r="AI67" s="10">
        <v>1.42</v>
      </c>
      <c r="AJ67" s="10">
        <v>1.42</v>
      </c>
      <c r="AK67" s="10">
        <v>1.42</v>
      </c>
      <c r="AL67" s="10">
        <v>1.42</v>
      </c>
      <c r="AM67" s="10">
        <v>1.42</v>
      </c>
      <c r="AN67" s="149">
        <v>1.42</v>
      </c>
      <c r="AO67" s="5">
        <v>0</v>
      </c>
      <c r="AP67" s="118">
        <f t="shared" si="1"/>
        <v>0</v>
      </c>
      <c r="AQ67" s="5">
        <v>0</v>
      </c>
      <c r="AR67" s="118">
        <f t="shared" si="25"/>
        <v>0</v>
      </c>
      <c r="AS67" s="5">
        <v>0</v>
      </c>
      <c r="AT67" s="127">
        <f t="shared" si="28"/>
        <v>0</v>
      </c>
      <c r="AU67" s="5">
        <v>0</v>
      </c>
      <c r="AV67" s="118">
        <f t="shared" si="26"/>
        <v>0</v>
      </c>
      <c r="AW67" s="5">
        <v>0</v>
      </c>
      <c r="AX67" s="118">
        <f t="shared" si="31"/>
        <v>0</v>
      </c>
      <c r="AY67" s="5">
        <v>0</v>
      </c>
      <c r="AZ67" s="127">
        <f t="shared" si="6"/>
        <v>0</v>
      </c>
      <c r="BA67" s="105">
        <v>0</v>
      </c>
      <c r="BB67" s="118">
        <f t="shared" si="29"/>
        <v>0</v>
      </c>
      <c r="BC67" s="105">
        <v>0</v>
      </c>
      <c r="BD67" s="118">
        <f t="shared" si="30"/>
        <v>0</v>
      </c>
      <c r="BE67" s="5">
        <v>0</v>
      </c>
      <c r="BF67" s="127">
        <f t="shared" si="9"/>
        <v>0</v>
      </c>
      <c r="BG67" s="105">
        <v>0</v>
      </c>
      <c r="BH67" s="118">
        <f t="shared" si="13"/>
        <v>0</v>
      </c>
      <c r="BI67" s="5">
        <v>0</v>
      </c>
      <c r="BJ67" s="118">
        <f t="shared" si="27"/>
        <v>0</v>
      </c>
      <c r="BK67" s="5">
        <v>0</v>
      </c>
      <c r="BL67" s="127">
        <f t="shared" si="12"/>
        <v>0</v>
      </c>
      <c r="BM67" s="220" t="s">
        <v>528</v>
      </c>
      <c r="BO67" s="1" t="s">
        <v>455</v>
      </c>
      <c r="BP67" s="1" t="s">
        <v>529</v>
      </c>
      <c r="BQ67" s="233"/>
      <c r="BR67" s="234"/>
    </row>
    <row r="68" spans="1:70">
      <c r="A68" s="219" t="s">
        <v>451</v>
      </c>
      <c r="B68" s="106" t="s">
        <v>354</v>
      </c>
      <c r="C68" s="66" t="s">
        <v>175</v>
      </c>
      <c r="D68" s="284"/>
      <c r="E68" s="136" t="s">
        <v>176</v>
      </c>
      <c r="F68" s="295"/>
      <c r="G68" s="86" t="s">
        <v>187</v>
      </c>
      <c r="H68" s="85" t="s">
        <v>507</v>
      </c>
      <c r="I68" s="85" t="s">
        <v>184</v>
      </c>
      <c r="J68" s="86" t="s">
        <v>193</v>
      </c>
      <c r="K68" s="85" t="s">
        <v>181</v>
      </c>
      <c r="L68" s="84" t="s">
        <v>185</v>
      </c>
      <c r="M68" s="83" t="s">
        <v>465</v>
      </c>
      <c r="N68" s="83">
        <v>8.2100000000000009</v>
      </c>
      <c r="O68" s="83">
        <v>9.6300000000000008</v>
      </c>
      <c r="P68" s="10">
        <v>9.6300000000000008</v>
      </c>
      <c r="Q68" s="10">
        <v>9.6300000000000008</v>
      </c>
      <c r="R68" s="10">
        <v>9.6300000000000008</v>
      </c>
      <c r="S68" s="10">
        <v>9.6300000000000008</v>
      </c>
      <c r="T68" s="10">
        <v>9.6300000000000008</v>
      </c>
      <c r="U68" s="10">
        <v>9.6300000000000008</v>
      </c>
      <c r="V68" s="10">
        <v>9.6300000000000008</v>
      </c>
      <c r="W68" s="10">
        <v>9.6300000000000008</v>
      </c>
      <c r="X68" s="10">
        <v>9.6300000000000008</v>
      </c>
      <c r="Y68" s="10">
        <v>9.6300000000000008</v>
      </c>
      <c r="Z68" s="10">
        <v>9.6300000000000008</v>
      </c>
      <c r="AA68" s="81">
        <v>9.6300000000000008</v>
      </c>
      <c r="AB68" s="81">
        <v>1.42</v>
      </c>
      <c r="AC68" s="10">
        <v>1.42</v>
      </c>
      <c r="AD68" s="10">
        <v>1.42</v>
      </c>
      <c r="AE68" s="10">
        <v>1.42</v>
      </c>
      <c r="AF68" s="10">
        <v>1.42</v>
      </c>
      <c r="AG68" s="10">
        <v>1.42</v>
      </c>
      <c r="AH68" s="10">
        <v>1.42</v>
      </c>
      <c r="AI68" s="10">
        <v>1.42</v>
      </c>
      <c r="AJ68" s="10">
        <v>1.42</v>
      </c>
      <c r="AK68" s="10">
        <v>1.42</v>
      </c>
      <c r="AL68" s="10">
        <v>1.42</v>
      </c>
      <c r="AM68" s="10">
        <v>1.42</v>
      </c>
      <c r="AN68" s="149">
        <v>1.42</v>
      </c>
      <c r="AP68" s="118">
        <f t="shared" si="1"/>
        <v>0</v>
      </c>
      <c r="AR68" s="118">
        <f t="shared" si="25"/>
        <v>0</v>
      </c>
      <c r="AT68" s="127">
        <f t="shared" si="28"/>
        <v>0</v>
      </c>
      <c r="AU68" s="5"/>
      <c r="AV68" s="118">
        <f t="shared" si="26"/>
        <v>0</v>
      </c>
      <c r="AW68" s="5"/>
      <c r="AX68" s="118">
        <f t="shared" si="31"/>
        <v>0</v>
      </c>
      <c r="AY68" s="5"/>
      <c r="AZ68" s="127">
        <f t="shared" si="6"/>
        <v>0</v>
      </c>
      <c r="BA68" s="105">
        <v>0</v>
      </c>
      <c r="BB68" s="118">
        <f t="shared" si="29"/>
        <v>0</v>
      </c>
      <c r="BC68" s="105">
        <v>0</v>
      </c>
      <c r="BD68" s="118">
        <f t="shared" si="30"/>
        <v>0</v>
      </c>
      <c r="BE68" s="5">
        <v>0</v>
      </c>
      <c r="BF68" s="127">
        <f t="shared" si="9"/>
        <v>0</v>
      </c>
      <c r="BG68" s="105">
        <v>0</v>
      </c>
      <c r="BH68" s="118">
        <f t="shared" si="13"/>
        <v>0</v>
      </c>
      <c r="BI68" s="5">
        <v>0</v>
      </c>
      <c r="BJ68" s="118">
        <f t="shared" si="27"/>
        <v>0</v>
      </c>
      <c r="BK68" s="5">
        <v>0</v>
      </c>
      <c r="BL68" s="127">
        <f t="shared" si="12"/>
        <v>0</v>
      </c>
      <c r="BM68" s="242" t="s">
        <v>530</v>
      </c>
      <c r="BO68" s="1" t="s">
        <v>455</v>
      </c>
      <c r="BP68" s="243" t="s">
        <v>531</v>
      </c>
      <c r="BQ68" s="233"/>
      <c r="BR68" s="234"/>
    </row>
    <row r="69" spans="1:70">
      <c r="A69" s="219" t="s">
        <v>451</v>
      </c>
      <c r="B69" s="106" t="s">
        <v>354</v>
      </c>
      <c r="C69" s="66" t="s">
        <v>175</v>
      </c>
      <c r="D69" s="284"/>
      <c r="E69" s="136" t="s">
        <v>176</v>
      </c>
      <c r="F69" s="295"/>
      <c r="G69" s="86" t="s">
        <v>187</v>
      </c>
      <c r="H69" s="85" t="s">
        <v>507</v>
      </c>
      <c r="I69" s="85" t="s">
        <v>184</v>
      </c>
      <c r="J69" s="86" t="s">
        <v>193</v>
      </c>
      <c r="K69" s="85" t="s">
        <v>181</v>
      </c>
      <c r="L69" s="84" t="s">
        <v>185</v>
      </c>
      <c r="M69" s="83" t="s">
        <v>465</v>
      </c>
      <c r="N69" s="83">
        <v>8.2100000000000009</v>
      </c>
      <c r="O69" s="83">
        <v>9.6300000000000008</v>
      </c>
      <c r="P69" s="10">
        <v>9.6300000000000008</v>
      </c>
      <c r="Q69" s="10">
        <v>9.6300000000000008</v>
      </c>
      <c r="R69" s="10">
        <v>9.6300000000000008</v>
      </c>
      <c r="S69" s="10">
        <v>9.6300000000000008</v>
      </c>
      <c r="T69" s="10">
        <v>9.6300000000000008</v>
      </c>
      <c r="U69" s="10">
        <v>9.6300000000000008</v>
      </c>
      <c r="V69" s="10">
        <v>9.6300000000000008</v>
      </c>
      <c r="W69" s="10">
        <v>9.6300000000000008</v>
      </c>
      <c r="X69" s="10">
        <v>9.6300000000000008</v>
      </c>
      <c r="Y69" s="10">
        <v>9.6300000000000008</v>
      </c>
      <c r="Z69" s="10">
        <v>9.6300000000000008</v>
      </c>
      <c r="AA69" s="81">
        <v>9.6300000000000008</v>
      </c>
      <c r="AB69" s="81">
        <v>1.42</v>
      </c>
      <c r="AC69" s="10">
        <v>1.42</v>
      </c>
      <c r="AD69" s="10">
        <v>1.42</v>
      </c>
      <c r="AE69" s="10">
        <v>1.42</v>
      </c>
      <c r="AF69" s="10">
        <v>1.42</v>
      </c>
      <c r="AG69" s="10">
        <v>1.42</v>
      </c>
      <c r="AH69" s="10">
        <v>1.42</v>
      </c>
      <c r="AI69" s="10">
        <v>1.42</v>
      </c>
      <c r="AJ69" s="10">
        <v>1.42</v>
      </c>
      <c r="AK69" s="10">
        <v>1.42</v>
      </c>
      <c r="AL69" s="10">
        <v>1.42</v>
      </c>
      <c r="AM69" s="10">
        <v>1.42</v>
      </c>
      <c r="AN69" s="149">
        <v>1.42</v>
      </c>
      <c r="AP69" s="118">
        <f t="shared" si="1"/>
        <v>0</v>
      </c>
      <c r="AR69" s="118">
        <f t="shared" si="25"/>
        <v>0</v>
      </c>
      <c r="AT69" s="127">
        <f t="shared" si="28"/>
        <v>0</v>
      </c>
      <c r="AU69" s="5"/>
      <c r="AV69" s="118">
        <f t="shared" si="26"/>
        <v>0</v>
      </c>
      <c r="AW69" s="5"/>
      <c r="AX69" s="118">
        <f t="shared" si="31"/>
        <v>0</v>
      </c>
      <c r="AY69" s="5"/>
      <c r="AZ69" s="127">
        <f t="shared" si="6"/>
        <v>0</v>
      </c>
      <c r="BA69" s="105">
        <v>0</v>
      </c>
      <c r="BB69" s="118">
        <f t="shared" si="29"/>
        <v>0</v>
      </c>
      <c r="BC69" s="105">
        <v>0</v>
      </c>
      <c r="BD69" s="118">
        <f t="shared" si="30"/>
        <v>0</v>
      </c>
      <c r="BE69" s="5">
        <v>0</v>
      </c>
      <c r="BF69" s="127">
        <f t="shared" si="9"/>
        <v>0</v>
      </c>
      <c r="BG69" s="105">
        <v>0</v>
      </c>
      <c r="BH69" s="118">
        <f t="shared" si="13"/>
        <v>0</v>
      </c>
      <c r="BI69" s="5">
        <v>0</v>
      </c>
      <c r="BJ69" s="118">
        <f t="shared" si="27"/>
        <v>0</v>
      </c>
      <c r="BK69" s="5">
        <v>0</v>
      </c>
      <c r="BL69" s="127">
        <f t="shared" si="12"/>
        <v>0</v>
      </c>
      <c r="BM69" s="220" t="s">
        <v>528</v>
      </c>
      <c r="BO69" s="1" t="s">
        <v>455</v>
      </c>
      <c r="BP69" s="1" t="s">
        <v>532</v>
      </c>
      <c r="BQ69" s="233"/>
      <c r="BR69" s="234"/>
    </row>
    <row r="70" spans="1:70">
      <c r="A70" s="219" t="s">
        <v>451</v>
      </c>
      <c r="B70" s="106" t="s">
        <v>354</v>
      </c>
      <c r="C70" s="66" t="s">
        <v>175</v>
      </c>
      <c r="D70" s="284"/>
      <c r="E70" s="136" t="s">
        <v>176</v>
      </c>
      <c r="F70" s="295"/>
      <c r="G70" s="86" t="s">
        <v>187</v>
      </c>
      <c r="H70" s="85" t="s">
        <v>507</v>
      </c>
      <c r="I70" s="85" t="s">
        <v>184</v>
      </c>
      <c r="J70" s="86" t="s">
        <v>193</v>
      </c>
      <c r="K70" s="85" t="s">
        <v>181</v>
      </c>
      <c r="L70" s="84" t="s">
        <v>185</v>
      </c>
      <c r="M70" s="83" t="s">
        <v>465</v>
      </c>
      <c r="N70" s="83">
        <v>8.2100000000000009</v>
      </c>
      <c r="O70" s="83">
        <v>9.6300000000000008</v>
      </c>
      <c r="P70" s="10">
        <v>9.6300000000000008</v>
      </c>
      <c r="Q70" s="10">
        <v>9.6300000000000008</v>
      </c>
      <c r="R70" s="10">
        <v>9.6300000000000008</v>
      </c>
      <c r="S70" s="10">
        <v>9.6300000000000008</v>
      </c>
      <c r="T70" s="10">
        <v>9.6300000000000008</v>
      </c>
      <c r="U70" s="10">
        <v>9.6300000000000008</v>
      </c>
      <c r="V70" s="10">
        <v>9.6300000000000008</v>
      </c>
      <c r="W70" s="10">
        <v>9.6300000000000008</v>
      </c>
      <c r="X70" s="10">
        <v>9.6300000000000008</v>
      </c>
      <c r="Y70" s="10">
        <v>9.6300000000000008</v>
      </c>
      <c r="Z70" s="10">
        <v>9.6300000000000008</v>
      </c>
      <c r="AA70" s="81">
        <v>9.6300000000000008</v>
      </c>
      <c r="AB70" s="81">
        <v>1.42</v>
      </c>
      <c r="AC70" s="10">
        <v>1.42</v>
      </c>
      <c r="AD70" s="10">
        <v>1.42</v>
      </c>
      <c r="AE70" s="10">
        <v>1.42</v>
      </c>
      <c r="AF70" s="10">
        <v>1.42</v>
      </c>
      <c r="AG70" s="10">
        <v>1.42</v>
      </c>
      <c r="AH70" s="10">
        <v>1.42</v>
      </c>
      <c r="AI70" s="10">
        <v>1.42</v>
      </c>
      <c r="AJ70" s="10">
        <v>1.42</v>
      </c>
      <c r="AK70" s="10">
        <v>1.42</v>
      </c>
      <c r="AL70" s="10">
        <v>1.42</v>
      </c>
      <c r="AM70" s="10">
        <v>1.42</v>
      </c>
      <c r="AN70" s="149">
        <v>1.42</v>
      </c>
      <c r="AO70" s="5">
        <v>0</v>
      </c>
      <c r="AP70" s="118">
        <f t="shared" si="1"/>
        <v>0</v>
      </c>
      <c r="AQ70" s="5">
        <v>0</v>
      </c>
      <c r="AR70" s="118">
        <f t="shared" si="25"/>
        <v>0</v>
      </c>
      <c r="AS70" s="5">
        <v>0</v>
      </c>
      <c r="AT70" s="127">
        <f t="shared" si="28"/>
        <v>0</v>
      </c>
      <c r="AU70" s="5">
        <v>0</v>
      </c>
      <c r="AV70" s="118">
        <f t="shared" si="26"/>
        <v>0</v>
      </c>
      <c r="AW70" s="5">
        <v>0</v>
      </c>
      <c r="AX70" s="118">
        <f t="shared" si="31"/>
        <v>0</v>
      </c>
      <c r="AY70" s="5">
        <v>0</v>
      </c>
      <c r="AZ70" s="127">
        <f t="shared" si="6"/>
        <v>0</v>
      </c>
      <c r="BA70" s="105">
        <v>0</v>
      </c>
      <c r="BB70" s="118">
        <f t="shared" si="29"/>
        <v>0</v>
      </c>
      <c r="BC70" s="105">
        <v>20</v>
      </c>
      <c r="BD70" s="118">
        <f t="shared" si="30"/>
        <v>28.4</v>
      </c>
      <c r="BE70" s="5">
        <v>0</v>
      </c>
      <c r="BF70" s="127">
        <f t="shared" si="9"/>
        <v>0</v>
      </c>
      <c r="BG70" s="105">
        <v>0</v>
      </c>
      <c r="BH70" s="118">
        <f t="shared" si="13"/>
        <v>0</v>
      </c>
      <c r="BI70" s="5">
        <v>0</v>
      </c>
      <c r="BJ70" s="118">
        <f t="shared" si="27"/>
        <v>0</v>
      </c>
      <c r="BK70" s="5">
        <v>0</v>
      </c>
      <c r="BL70" s="127">
        <f t="shared" si="12"/>
        <v>0</v>
      </c>
      <c r="BM70" s="220" t="s">
        <v>533</v>
      </c>
      <c r="BO70" s="1" t="s">
        <v>455</v>
      </c>
      <c r="BP70" s="1" t="s">
        <v>529</v>
      </c>
      <c r="BQ70" s="233"/>
      <c r="BR70" s="234"/>
    </row>
    <row r="71" spans="1:70">
      <c r="A71" s="219" t="s">
        <v>451</v>
      </c>
      <c r="B71" s="106" t="s">
        <v>354</v>
      </c>
      <c r="C71" s="66" t="s">
        <v>175</v>
      </c>
      <c r="D71" s="284"/>
      <c r="E71" s="136" t="s">
        <v>176</v>
      </c>
      <c r="F71" s="295"/>
      <c r="G71" s="86" t="s">
        <v>187</v>
      </c>
      <c r="H71" s="85" t="s">
        <v>507</v>
      </c>
      <c r="I71" s="85" t="s">
        <v>184</v>
      </c>
      <c r="J71" s="86" t="s">
        <v>193</v>
      </c>
      <c r="K71" s="85" t="s">
        <v>181</v>
      </c>
      <c r="L71" s="84" t="s">
        <v>185</v>
      </c>
      <c r="M71" s="83" t="s">
        <v>465</v>
      </c>
      <c r="N71" s="83">
        <v>8.2100000000000009</v>
      </c>
      <c r="O71" s="83">
        <v>9.6300000000000008</v>
      </c>
      <c r="P71" s="10">
        <v>9.6300000000000008</v>
      </c>
      <c r="Q71" s="10">
        <v>9.6300000000000008</v>
      </c>
      <c r="R71" s="10">
        <v>9.6300000000000008</v>
      </c>
      <c r="S71" s="10">
        <v>9.6300000000000008</v>
      </c>
      <c r="T71" s="10">
        <v>9.6300000000000008</v>
      </c>
      <c r="U71" s="10">
        <v>9.6300000000000008</v>
      </c>
      <c r="V71" s="10">
        <v>9.6300000000000008</v>
      </c>
      <c r="W71" s="10">
        <v>9.6300000000000008</v>
      </c>
      <c r="X71" s="10">
        <v>9.6300000000000008</v>
      </c>
      <c r="Y71" s="10">
        <v>9.6300000000000008</v>
      </c>
      <c r="Z71" s="10">
        <v>9.6300000000000008</v>
      </c>
      <c r="AA71" s="81">
        <v>9.6300000000000008</v>
      </c>
      <c r="AB71" s="81">
        <v>1.42</v>
      </c>
      <c r="AC71" s="10">
        <v>1.42</v>
      </c>
      <c r="AD71" s="10">
        <v>1.42</v>
      </c>
      <c r="AE71" s="10">
        <v>1.42</v>
      </c>
      <c r="AF71" s="10">
        <v>1.42</v>
      </c>
      <c r="AG71" s="10">
        <v>1.42</v>
      </c>
      <c r="AH71" s="10">
        <v>1.42</v>
      </c>
      <c r="AI71" s="10">
        <v>1.42</v>
      </c>
      <c r="AJ71" s="10">
        <v>1.42</v>
      </c>
      <c r="AK71" s="10">
        <v>1.42</v>
      </c>
      <c r="AL71" s="10">
        <v>1.42</v>
      </c>
      <c r="AM71" s="10">
        <v>1.42</v>
      </c>
      <c r="AN71" s="149">
        <v>1.42</v>
      </c>
      <c r="AP71" s="118">
        <f t="shared" si="1"/>
        <v>0</v>
      </c>
      <c r="AR71" s="118">
        <f t="shared" si="25"/>
        <v>0</v>
      </c>
      <c r="AT71" s="127">
        <f t="shared" si="28"/>
        <v>0</v>
      </c>
      <c r="AU71" s="5"/>
      <c r="AV71" s="118">
        <f t="shared" si="26"/>
        <v>0</v>
      </c>
      <c r="AW71" s="5"/>
      <c r="AX71" s="118">
        <f t="shared" si="31"/>
        <v>0</v>
      </c>
      <c r="AY71" s="5"/>
      <c r="AZ71" s="127">
        <f t="shared" si="6"/>
        <v>0</v>
      </c>
      <c r="BA71" s="105">
        <v>0</v>
      </c>
      <c r="BB71" s="118">
        <f t="shared" si="29"/>
        <v>0</v>
      </c>
      <c r="BC71" s="105">
        <v>0</v>
      </c>
      <c r="BD71" s="118">
        <f t="shared" si="30"/>
        <v>0</v>
      </c>
      <c r="BE71" s="5">
        <v>0</v>
      </c>
      <c r="BF71" s="127">
        <f t="shared" si="9"/>
        <v>0</v>
      </c>
      <c r="BG71" s="105">
        <v>0</v>
      </c>
      <c r="BH71" s="118">
        <f t="shared" si="13"/>
        <v>0</v>
      </c>
      <c r="BI71" s="5">
        <v>0</v>
      </c>
      <c r="BJ71" s="118">
        <f t="shared" si="27"/>
        <v>0</v>
      </c>
      <c r="BK71" s="5">
        <v>0</v>
      </c>
      <c r="BL71" s="127">
        <f t="shared" si="12"/>
        <v>0</v>
      </c>
      <c r="BM71" s="242" t="s">
        <v>534</v>
      </c>
      <c r="BO71" s="1" t="s">
        <v>455</v>
      </c>
      <c r="BP71" s="243" t="s">
        <v>535</v>
      </c>
      <c r="BQ71" s="233"/>
      <c r="BR71" s="234"/>
    </row>
    <row r="72" spans="1:70">
      <c r="A72" s="219" t="s">
        <v>451</v>
      </c>
      <c r="B72" s="106"/>
      <c r="C72" s="66" t="s">
        <v>175</v>
      </c>
      <c r="D72" s="284"/>
      <c r="E72" s="136" t="s">
        <v>176</v>
      </c>
      <c r="F72" s="295"/>
      <c r="G72" s="72"/>
      <c r="H72" s="75"/>
      <c r="I72" s="75"/>
      <c r="J72" s="72"/>
      <c r="K72" s="75"/>
      <c r="L72" s="74"/>
      <c r="M72" s="52"/>
      <c r="N72" s="52"/>
      <c r="O72" s="52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49"/>
      <c r="AB72" s="49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150"/>
      <c r="AO72" s="23"/>
      <c r="AP72" s="118">
        <f t="shared" si="1"/>
        <v>0</v>
      </c>
      <c r="AQ72" s="23"/>
      <c r="AR72" s="118">
        <f t="shared" si="2"/>
        <v>0</v>
      </c>
      <c r="AS72" s="23">
        <v>0</v>
      </c>
      <c r="AT72" s="127">
        <f t="shared" si="3"/>
        <v>0</v>
      </c>
      <c r="AU72" s="23">
        <v>0</v>
      </c>
      <c r="AV72" s="118">
        <f t="shared" si="4"/>
        <v>0</v>
      </c>
      <c r="AW72" s="23">
        <v>0</v>
      </c>
      <c r="AX72" s="118">
        <f t="shared" si="5"/>
        <v>0</v>
      </c>
      <c r="AY72" s="23"/>
      <c r="AZ72" s="127">
        <f t="shared" si="6"/>
        <v>0</v>
      </c>
      <c r="BA72" s="50"/>
      <c r="BB72" s="118">
        <f t="shared" si="7"/>
        <v>0</v>
      </c>
      <c r="BC72" s="50"/>
      <c r="BD72" s="118">
        <f t="shared" si="8"/>
        <v>0</v>
      </c>
      <c r="BE72" s="23"/>
      <c r="BF72" s="185">
        <f t="shared" si="9"/>
        <v>0</v>
      </c>
      <c r="BG72" s="50"/>
      <c r="BH72" s="184">
        <f t="shared" si="13"/>
        <v>0</v>
      </c>
      <c r="BI72" s="23"/>
      <c r="BJ72" s="184">
        <f t="shared" si="11"/>
        <v>0</v>
      </c>
      <c r="BK72" s="23"/>
      <c r="BL72" s="185">
        <f t="shared" si="12"/>
        <v>0</v>
      </c>
      <c r="BM72" s="246"/>
      <c r="BN72" s="247"/>
      <c r="BO72" s="247"/>
      <c r="BP72" s="247" t="s">
        <v>208</v>
      </c>
      <c r="BQ72" s="233"/>
      <c r="BR72" s="234"/>
    </row>
    <row r="73" spans="1:70">
      <c r="A73" s="219" t="s">
        <v>451</v>
      </c>
      <c r="B73" s="106" t="s">
        <v>267</v>
      </c>
      <c r="C73" s="66" t="s">
        <v>175</v>
      </c>
      <c r="D73" s="284"/>
      <c r="E73" s="77" t="s">
        <v>225</v>
      </c>
      <c r="F73" s="282" t="s">
        <v>365</v>
      </c>
      <c r="G73" s="71" t="s">
        <v>260</v>
      </c>
      <c r="H73" s="70" t="s">
        <v>536</v>
      </c>
      <c r="I73" s="70" t="s">
        <v>240</v>
      </c>
      <c r="J73" s="71" t="s">
        <v>367</v>
      </c>
      <c r="K73" s="70" t="s">
        <v>537</v>
      </c>
      <c r="L73" s="69" t="s">
        <v>185</v>
      </c>
      <c r="M73" s="68" t="s">
        <v>465</v>
      </c>
      <c r="N73" s="68">
        <v>3.05</v>
      </c>
      <c r="O73" s="68">
        <v>3.65</v>
      </c>
      <c r="P73" s="144">
        <v>3.65</v>
      </c>
      <c r="Q73" s="144">
        <v>3.65</v>
      </c>
      <c r="R73" s="144">
        <v>3.65</v>
      </c>
      <c r="S73" s="144">
        <v>3.65</v>
      </c>
      <c r="T73" s="144">
        <v>3.65</v>
      </c>
      <c r="U73" s="144">
        <v>3.65</v>
      </c>
      <c r="V73" s="144">
        <v>3.65</v>
      </c>
      <c r="W73" s="144">
        <v>3.65</v>
      </c>
      <c r="X73" s="144">
        <v>3.65</v>
      </c>
      <c r="Y73" s="144">
        <v>3.65</v>
      </c>
      <c r="Z73" s="144">
        <v>3.65</v>
      </c>
      <c r="AA73" s="58">
        <v>3.65</v>
      </c>
      <c r="AB73" s="58">
        <v>0.6</v>
      </c>
      <c r="AC73" s="10">
        <v>0.6</v>
      </c>
      <c r="AD73" s="10">
        <v>0.6</v>
      </c>
      <c r="AE73" s="10">
        <v>0.6</v>
      </c>
      <c r="AF73" s="10">
        <v>0.6</v>
      </c>
      <c r="AG73" s="10">
        <v>0.6</v>
      </c>
      <c r="AH73" s="10">
        <v>0.6</v>
      </c>
      <c r="AI73" s="10">
        <v>0.6</v>
      </c>
      <c r="AJ73" s="10">
        <v>0.6</v>
      </c>
      <c r="AK73" s="10">
        <v>0.6</v>
      </c>
      <c r="AL73" s="10">
        <v>0.6</v>
      </c>
      <c r="AM73" s="10">
        <v>0.6</v>
      </c>
      <c r="AN73" s="149">
        <v>0.6</v>
      </c>
      <c r="AO73" s="5">
        <v>5449</v>
      </c>
      <c r="AP73" s="118">
        <f t="shared" si="1"/>
        <v>3269.4</v>
      </c>
      <c r="AQ73" s="5">
        <v>59058</v>
      </c>
      <c r="AR73" s="118">
        <f t="shared" si="2"/>
        <v>35434.799999999996</v>
      </c>
      <c r="AS73" s="5">
        <v>27258</v>
      </c>
      <c r="AT73" s="127">
        <f t="shared" si="3"/>
        <v>16354.8</v>
      </c>
      <c r="AU73" s="5">
        <v>40236</v>
      </c>
      <c r="AV73" s="118">
        <f t="shared" si="4"/>
        <v>24141.599999999999</v>
      </c>
      <c r="AW73" s="5">
        <v>5960</v>
      </c>
      <c r="AX73" s="118">
        <f t="shared" si="5"/>
        <v>3576</v>
      </c>
      <c r="AY73" s="5">
        <v>31115</v>
      </c>
      <c r="AZ73" s="127">
        <f t="shared" si="6"/>
        <v>18669</v>
      </c>
      <c r="BA73" s="105">
        <v>3680</v>
      </c>
      <c r="BB73" s="118">
        <f t="shared" si="7"/>
        <v>2208</v>
      </c>
      <c r="BC73" s="105">
        <v>1414</v>
      </c>
      <c r="BD73" s="118">
        <f t="shared" si="8"/>
        <v>848.4</v>
      </c>
      <c r="BE73" s="5">
        <v>6999</v>
      </c>
      <c r="BF73" s="127">
        <f t="shared" si="9"/>
        <v>4199.3999999999996</v>
      </c>
      <c r="BG73" s="105">
        <v>6680</v>
      </c>
      <c r="BH73" s="118">
        <f t="shared" si="13"/>
        <v>4008</v>
      </c>
      <c r="BI73" s="105">
        <v>6838</v>
      </c>
      <c r="BJ73" s="118">
        <f t="shared" si="11"/>
        <v>4102.8</v>
      </c>
      <c r="BK73" s="105">
        <v>561</v>
      </c>
      <c r="BL73" s="127">
        <f t="shared" si="12"/>
        <v>336.59999999999997</v>
      </c>
      <c r="BM73" s="220" t="s">
        <v>538</v>
      </c>
      <c r="BO73" s="1" t="s">
        <v>539</v>
      </c>
      <c r="BP73" s="1" t="s">
        <v>540</v>
      </c>
      <c r="BQ73" s="233"/>
      <c r="BR73" s="234"/>
    </row>
    <row r="74" spans="1:70">
      <c r="A74" s="219" t="s">
        <v>451</v>
      </c>
      <c r="B74" s="106" t="s">
        <v>267</v>
      </c>
      <c r="C74" s="66" t="s">
        <v>175</v>
      </c>
      <c r="D74" s="284"/>
      <c r="E74" s="77" t="s">
        <v>225</v>
      </c>
      <c r="F74" s="282"/>
      <c r="G74" s="71" t="s">
        <v>202</v>
      </c>
      <c r="H74" s="70" t="s">
        <v>536</v>
      </c>
      <c r="I74" s="70" t="s">
        <v>240</v>
      </c>
      <c r="J74" s="71" t="s">
        <v>367</v>
      </c>
      <c r="K74" s="70" t="s">
        <v>537</v>
      </c>
      <c r="L74" s="69" t="s">
        <v>185</v>
      </c>
      <c r="M74" s="68" t="s">
        <v>465</v>
      </c>
      <c r="N74" s="68">
        <v>3.05</v>
      </c>
      <c r="O74" s="68">
        <v>3.65</v>
      </c>
      <c r="P74" s="144">
        <v>3.65</v>
      </c>
      <c r="Q74" s="144">
        <v>3.65</v>
      </c>
      <c r="R74" s="144">
        <v>3.65</v>
      </c>
      <c r="S74" s="144">
        <v>3.65</v>
      </c>
      <c r="T74" s="144">
        <v>3.65</v>
      </c>
      <c r="U74" s="144">
        <v>3.65</v>
      </c>
      <c r="V74" s="144">
        <v>3.65</v>
      </c>
      <c r="W74" s="144">
        <v>3.65</v>
      </c>
      <c r="X74" s="144">
        <v>3.65</v>
      </c>
      <c r="Y74" s="144">
        <v>3.65</v>
      </c>
      <c r="Z74" s="144">
        <v>3.65</v>
      </c>
      <c r="AA74" s="58">
        <v>3.65</v>
      </c>
      <c r="AB74" s="58">
        <v>0.6</v>
      </c>
      <c r="AC74" s="10">
        <v>0.6</v>
      </c>
      <c r="AD74" s="10">
        <v>0.6</v>
      </c>
      <c r="AE74" s="10">
        <v>0.6</v>
      </c>
      <c r="AF74" s="10">
        <v>0.6</v>
      </c>
      <c r="AG74" s="10">
        <v>0.6</v>
      </c>
      <c r="AH74" s="10">
        <v>0.6</v>
      </c>
      <c r="AI74" s="10">
        <v>0.6</v>
      </c>
      <c r="AJ74" s="10">
        <v>0.6</v>
      </c>
      <c r="AK74" s="10">
        <v>0.6</v>
      </c>
      <c r="AL74" s="10">
        <v>0.6</v>
      </c>
      <c r="AM74" s="10">
        <v>0.6</v>
      </c>
      <c r="AN74" s="149">
        <v>0.6</v>
      </c>
      <c r="AP74" s="118">
        <f t="shared" si="1"/>
        <v>0</v>
      </c>
      <c r="AR74" s="118">
        <f t="shared" ref="AR74:AR88" si="32">AD74*AQ74</f>
        <v>0</v>
      </c>
      <c r="AT74" s="127">
        <f t="shared" ref="AT74:AT88" si="33">AE74*AS74</f>
        <v>0</v>
      </c>
      <c r="AU74" s="5"/>
      <c r="AV74" s="118">
        <f t="shared" ref="AV74:AV88" si="34">AF74*AU74</f>
        <v>0</v>
      </c>
      <c r="AW74" s="5"/>
      <c r="AX74" s="118">
        <f t="shared" ref="AX74:AX88" si="35">AG74*AW74</f>
        <v>0</v>
      </c>
      <c r="AY74" s="5"/>
      <c r="AZ74" s="127">
        <f t="shared" si="6"/>
        <v>0</v>
      </c>
      <c r="BA74" s="105">
        <v>0</v>
      </c>
      <c r="BB74" s="118">
        <f t="shared" ref="BB74:BB88" si="36">AI74*BA74</f>
        <v>0</v>
      </c>
      <c r="BC74" s="105">
        <v>357</v>
      </c>
      <c r="BD74" s="118">
        <f t="shared" ref="BD74:BD75" si="37">AJ74*BC74</f>
        <v>214.2</v>
      </c>
      <c r="BE74" s="5">
        <v>0</v>
      </c>
      <c r="BF74" s="127">
        <f t="shared" si="9"/>
        <v>0</v>
      </c>
      <c r="BG74" s="105">
        <v>0</v>
      </c>
      <c r="BH74" s="118">
        <f t="shared" si="13"/>
        <v>0</v>
      </c>
      <c r="BI74" s="105">
        <v>80</v>
      </c>
      <c r="BJ74" s="118">
        <f t="shared" ref="BJ74:BJ87" si="38">AM74*BI74</f>
        <v>48</v>
      </c>
      <c r="BK74" s="105">
        <v>2000</v>
      </c>
      <c r="BL74" s="127">
        <f t="shared" si="12"/>
        <v>1200</v>
      </c>
      <c r="BM74" s="220" t="s">
        <v>538</v>
      </c>
      <c r="BO74" s="1" t="s">
        <v>539</v>
      </c>
      <c r="BP74" s="1" t="s">
        <v>541</v>
      </c>
      <c r="BQ74" s="233"/>
      <c r="BR74" s="234"/>
    </row>
    <row r="75" spans="1:70">
      <c r="A75" s="219" t="s">
        <v>451</v>
      </c>
      <c r="B75" s="106" t="s">
        <v>267</v>
      </c>
      <c r="C75" s="66" t="s">
        <v>175</v>
      </c>
      <c r="D75" s="284"/>
      <c r="E75" s="77" t="s">
        <v>225</v>
      </c>
      <c r="F75" s="282"/>
      <c r="G75" s="71" t="s">
        <v>202</v>
      </c>
      <c r="H75" s="70" t="s">
        <v>536</v>
      </c>
      <c r="I75" s="70" t="s">
        <v>240</v>
      </c>
      <c r="J75" s="71" t="s">
        <v>367</v>
      </c>
      <c r="K75" s="70" t="s">
        <v>537</v>
      </c>
      <c r="L75" s="69" t="s">
        <v>185</v>
      </c>
      <c r="M75" s="68" t="s">
        <v>465</v>
      </c>
      <c r="N75" s="68">
        <v>3.05</v>
      </c>
      <c r="O75" s="68">
        <v>3.65</v>
      </c>
      <c r="P75" s="144">
        <v>3.65</v>
      </c>
      <c r="Q75" s="144">
        <v>3.65</v>
      </c>
      <c r="R75" s="144">
        <v>3.65</v>
      </c>
      <c r="S75" s="144">
        <v>3.65</v>
      </c>
      <c r="T75" s="144">
        <v>3.65</v>
      </c>
      <c r="U75" s="144">
        <v>3.65</v>
      </c>
      <c r="V75" s="144">
        <v>3.65</v>
      </c>
      <c r="W75" s="144">
        <v>3.65</v>
      </c>
      <c r="X75" s="144">
        <v>3.65</v>
      </c>
      <c r="Y75" s="144">
        <v>3.65</v>
      </c>
      <c r="Z75" s="144">
        <v>3.65</v>
      </c>
      <c r="AA75" s="58">
        <v>3.65</v>
      </c>
      <c r="AB75" s="58">
        <v>0.6</v>
      </c>
      <c r="AC75" s="10">
        <v>0.6</v>
      </c>
      <c r="AD75" s="10">
        <v>0.6</v>
      </c>
      <c r="AE75" s="10">
        <v>0.6</v>
      </c>
      <c r="AF75" s="10">
        <v>0.6</v>
      </c>
      <c r="AG75" s="10">
        <v>0.6</v>
      </c>
      <c r="AH75" s="10">
        <v>0.6</v>
      </c>
      <c r="AI75" s="10">
        <v>0.6</v>
      </c>
      <c r="AJ75" s="10">
        <v>0.6</v>
      </c>
      <c r="AK75" s="10">
        <v>0.6</v>
      </c>
      <c r="AL75" s="10">
        <v>0.6</v>
      </c>
      <c r="AM75" s="10">
        <v>0.6</v>
      </c>
      <c r="AN75" s="149">
        <v>0.6</v>
      </c>
      <c r="AP75" s="118">
        <f t="shared" si="1"/>
        <v>0</v>
      </c>
      <c r="AR75" s="118">
        <f t="shared" si="32"/>
        <v>0</v>
      </c>
      <c r="AT75" s="127">
        <f t="shared" si="33"/>
        <v>0</v>
      </c>
      <c r="AU75" s="5"/>
      <c r="AV75" s="118">
        <f t="shared" si="34"/>
        <v>0</v>
      </c>
      <c r="AW75" s="5"/>
      <c r="AX75" s="118">
        <f t="shared" si="35"/>
        <v>0</v>
      </c>
      <c r="AY75" s="5"/>
      <c r="AZ75" s="127">
        <f t="shared" si="6"/>
        <v>0</v>
      </c>
      <c r="BA75" s="105">
        <v>400</v>
      </c>
      <c r="BB75" s="118">
        <f t="shared" si="36"/>
        <v>240</v>
      </c>
      <c r="BC75" s="105">
        <v>0</v>
      </c>
      <c r="BD75" s="118">
        <f t="shared" si="37"/>
        <v>0</v>
      </c>
      <c r="BE75" s="5">
        <v>0</v>
      </c>
      <c r="BF75" s="127">
        <f t="shared" si="9"/>
        <v>0</v>
      </c>
      <c r="BG75" s="105">
        <v>0</v>
      </c>
      <c r="BH75" s="118">
        <f t="shared" si="13"/>
        <v>0</v>
      </c>
      <c r="BI75" s="105">
        <v>0</v>
      </c>
      <c r="BJ75" s="118">
        <f t="shared" si="38"/>
        <v>0</v>
      </c>
      <c r="BK75" s="105">
        <v>0</v>
      </c>
      <c r="BL75" s="127">
        <f t="shared" si="12"/>
        <v>0</v>
      </c>
      <c r="BM75" s="220" t="s">
        <v>538</v>
      </c>
      <c r="BO75" s="1" t="s">
        <v>539</v>
      </c>
      <c r="BP75" s="1" t="s">
        <v>542</v>
      </c>
      <c r="BQ75" s="233"/>
      <c r="BR75" s="234"/>
    </row>
    <row r="76" spans="1:70">
      <c r="A76" s="219" t="s">
        <v>451</v>
      </c>
      <c r="B76" s="106" t="s">
        <v>267</v>
      </c>
      <c r="C76" s="66" t="s">
        <v>175</v>
      </c>
      <c r="D76" s="284"/>
      <c r="E76" s="77" t="s">
        <v>225</v>
      </c>
      <c r="F76" s="282"/>
      <c r="G76" s="71" t="s">
        <v>202</v>
      </c>
      <c r="H76" s="70" t="s">
        <v>536</v>
      </c>
      <c r="I76" s="70" t="s">
        <v>240</v>
      </c>
      <c r="J76" s="71" t="s">
        <v>367</v>
      </c>
      <c r="K76" s="70" t="s">
        <v>537</v>
      </c>
      <c r="L76" s="69" t="s">
        <v>361</v>
      </c>
      <c r="M76" s="68" t="s">
        <v>543</v>
      </c>
      <c r="N76" s="68">
        <v>3.05</v>
      </c>
      <c r="O76" s="68">
        <v>3.65</v>
      </c>
      <c r="P76" s="144">
        <v>0</v>
      </c>
      <c r="Q76" s="144">
        <v>0</v>
      </c>
      <c r="R76" s="144">
        <v>0</v>
      </c>
      <c r="S76" s="144">
        <v>0</v>
      </c>
      <c r="T76" s="144">
        <v>0</v>
      </c>
      <c r="U76" s="144">
        <v>3.65</v>
      </c>
      <c r="V76" s="144">
        <v>3.65</v>
      </c>
      <c r="W76" s="144">
        <v>3.65</v>
      </c>
      <c r="X76" s="144">
        <v>3.65</v>
      </c>
      <c r="Y76" s="144">
        <v>3.65</v>
      </c>
      <c r="Z76" s="144">
        <v>3.65</v>
      </c>
      <c r="AA76" s="58">
        <v>3.65</v>
      </c>
      <c r="AB76" s="58">
        <v>0.6</v>
      </c>
      <c r="AC76" s="10">
        <v>0.6</v>
      </c>
      <c r="AD76" s="10">
        <v>0.6</v>
      </c>
      <c r="AE76" s="10">
        <v>0.6</v>
      </c>
      <c r="AF76" s="10">
        <v>0.6</v>
      </c>
      <c r="AG76" s="10">
        <v>0.6</v>
      </c>
      <c r="AH76" s="10">
        <v>0.6</v>
      </c>
      <c r="AI76" s="10">
        <v>0.6</v>
      </c>
      <c r="AJ76" s="10">
        <v>0.6</v>
      </c>
      <c r="AK76" s="10">
        <v>0.6</v>
      </c>
      <c r="AL76" s="10">
        <v>0.6</v>
      </c>
      <c r="AM76" s="10">
        <v>0.6</v>
      </c>
      <c r="AN76" s="149">
        <v>0.6</v>
      </c>
      <c r="AP76" s="118">
        <f t="shared" si="1"/>
        <v>0</v>
      </c>
      <c r="AR76" s="118">
        <f t="shared" si="32"/>
        <v>0</v>
      </c>
      <c r="AT76" s="127">
        <f t="shared" si="33"/>
        <v>0</v>
      </c>
      <c r="AU76" s="5"/>
      <c r="AV76" s="118">
        <f t="shared" si="34"/>
        <v>0</v>
      </c>
      <c r="AW76" s="5"/>
      <c r="AX76" s="118">
        <f t="shared" si="35"/>
        <v>0</v>
      </c>
      <c r="AY76" s="5">
        <v>2240</v>
      </c>
      <c r="AZ76" s="127">
        <f t="shared" si="6"/>
        <v>1344</v>
      </c>
      <c r="BA76" s="105">
        <v>20560</v>
      </c>
      <c r="BB76" s="118">
        <f t="shared" si="36"/>
        <v>12336</v>
      </c>
      <c r="BC76" s="105">
        <v>45720</v>
      </c>
      <c r="BD76" s="118">
        <f t="shared" si="8"/>
        <v>27432</v>
      </c>
      <c r="BE76" s="5">
        <v>30040</v>
      </c>
      <c r="BF76" s="127">
        <f t="shared" si="9"/>
        <v>18024</v>
      </c>
      <c r="BG76" s="105">
        <v>120</v>
      </c>
      <c r="BH76" s="118">
        <f t="shared" si="13"/>
        <v>72</v>
      </c>
      <c r="BI76" s="105">
        <v>40</v>
      </c>
      <c r="BJ76" s="118">
        <f t="shared" si="38"/>
        <v>24</v>
      </c>
      <c r="BK76" s="105">
        <v>800</v>
      </c>
      <c r="BL76" s="127">
        <f t="shared" si="12"/>
        <v>480</v>
      </c>
      <c r="BM76" s="220" t="s">
        <v>544</v>
      </c>
      <c r="BO76" s="1" t="s">
        <v>539</v>
      </c>
      <c r="BP76" s="1" t="s">
        <v>540</v>
      </c>
      <c r="BQ76" s="233"/>
      <c r="BR76" s="234"/>
    </row>
    <row r="77" spans="1:70">
      <c r="A77" s="219" t="s">
        <v>451</v>
      </c>
      <c r="B77" s="106" t="s">
        <v>267</v>
      </c>
      <c r="C77" s="66" t="s">
        <v>175</v>
      </c>
      <c r="D77" s="284"/>
      <c r="E77" s="77" t="s">
        <v>225</v>
      </c>
      <c r="F77" s="282"/>
      <c r="G77" s="71" t="s">
        <v>202</v>
      </c>
      <c r="H77" s="70" t="s">
        <v>536</v>
      </c>
      <c r="I77" s="70" t="s">
        <v>240</v>
      </c>
      <c r="J77" s="71" t="s">
        <v>367</v>
      </c>
      <c r="K77" s="70" t="s">
        <v>537</v>
      </c>
      <c r="L77" s="69" t="s">
        <v>361</v>
      </c>
      <c r="M77" s="68" t="s">
        <v>543</v>
      </c>
      <c r="N77" s="68">
        <v>3.05</v>
      </c>
      <c r="O77" s="68">
        <v>3.65</v>
      </c>
      <c r="P77" s="144">
        <v>0</v>
      </c>
      <c r="Q77" s="144">
        <v>0</v>
      </c>
      <c r="R77" s="144">
        <v>0</v>
      </c>
      <c r="S77" s="144">
        <v>0</v>
      </c>
      <c r="T77" s="144">
        <v>0</v>
      </c>
      <c r="U77" s="144">
        <v>3.65</v>
      </c>
      <c r="V77" s="144">
        <v>3.65</v>
      </c>
      <c r="W77" s="144">
        <v>3.65</v>
      </c>
      <c r="X77" s="144">
        <v>3.65</v>
      </c>
      <c r="Y77" s="144">
        <v>3.65</v>
      </c>
      <c r="Z77" s="144">
        <v>3.65</v>
      </c>
      <c r="AA77" s="58">
        <v>3.65</v>
      </c>
      <c r="AB77" s="58">
        <v>0.6</v>
      </c>
      <c r="AC77" s="10">
        <v>0.6</v>
      </c>
      <c r="AD77" s="10">
        <v>0.6</v>
      </c>
      <c r="AE77" s="10">
        <v>0.6</v>
      </c>
      <c r="AF77" s="10">
        <v>0.6</v>
      </c>
      <c r="AG77" s="10">
        <v>0.6</v>
      </c>
      <c r="AH77" s="10">
        <v>0.6</v>
      </c>
      <c r="AI77" s="10">
        <v>0.6</v>
      </c>
      <c r="AJ77" s="10">
        <v>0.6</v>
      </c>
      <c r="AK77" s="10">
        <v>0.6</v>
      </c>
      <c r="AL77" s="10">
        <v>0.6</v>
      </c>
      <c r="AM77" s="10">
        <v>0.6</v>
      </c>
      <c r="AN77" s="149">
        <v>0.6</v>
      </c>
      <c r="AP77" s="118">
        <f t="shared" si="1"/>
        <v>0</v>
      </c>
      <c r="AR77" s="118">
        <f t="shared" si="32"/>
        <v>0</v>
      </c>
      <c r="AT77" s="127">
        <f t="shared" si="33"/>
        <v>0</v>
      </c>
      <c r="AU77" s="5"/>
      <c r="AV77" s="118">
        <f t="shared" si="34"/>
        <v>0</v>
      </c>
      <c r="AW77" s="5"/>
      <c r="AX77" s="118">
        <f t="shared" si="35"/>
        <v>0</v>
      </c>
      <c r="AY77" s="5"/>
      <c r="AZ77" s="127">
        <f t="shared" si="6"/>
        <v>0</v>
      </c>
      <c r="BA77" s="105">
        <v>0</v>
      </c>
      <c r="BB77" s="118">
        <f t="shared" si="36"/>
        <v>0</v>
      </c>
      <c r="BC77" s="105">
        <v>0</v>
      </c>
      <c r="BD77" s="118">
        <f t="shared" ref="BD77:BD88" si="39">AJ77*BC77</f>
        <v>0</v>
      </c>
      <c r="BE77" s="5">
        <v>0</v>
      </c>
      <c r="BF77" s="127">
        <f t="shared" si="9"/>
        <v>0</v>
      </c>
      <c r="BG77" s="105">
        <v>0</v>
      </c>
      <c r="BH77" s="118">
        <f t="shared" si="13"/>
        <v>0</v>
      </c>
      <c r="BI77" s="105">
        <v>0</v>
      </c>
      <c r="BJ77" s="118">
        <f t="shared" si="38"/>
        <v>0</v>
      </c>
      <c r="BK77" s="105">
        <v>0</v>
      </c>
      <c r="BL77" s="127">
        <f t="shared" si="12"/>
        <v>0</v>
      </c>
      <c r="BM77" s="220" t="s">
        <v>544</v>
      </c>
      <c r="BO77" s="1" t="s">
        <v>539</v>
      </c>
      <c r="BP77" s="1" t="s">
        <v>541</v>
      </c>
      <c r="BQ77" s="233"/>
      <c r="BR77" s="234"/>
    </row>
    <row r="78" spans="1:70">
      <c r="A78" s="219" t="s">
        <v>451</v>
      </c>
      <c r="B78" s="106" t="s">
        <v>267</v>
      </c>
      <c r="C78" s="66" t="s">
        <v>175</v>
      </c>
      <c r="D78" s="284"/>
      <c r="E78" s="77" t="s">
        <v>225</v>
      </c>
      <c r="F78" s="282"/>
      <c r="G78" s="71" t="s">
        <v>202</v>
      </c>
      <c r="H78" s="70" t="s">
        <v>536</v>
      </c>
      <c r="I78" s="70" t="s">
        <v>240</v>
      </c>
      <c r="J78" s="71" t="s">
        <v>367</v>
      </c>
      <c r="K78" s="70" t="s">
        <v>545</v>
      </c>
      <c r="L78" s="69" t="s">
        <v>185</v>
      </c>
      <c r="M78" s="68" t="s">
        <v>465</v>
      </c>
      <c r="N78" s="68">
        <v>3.05</v>
      </c>
      <c r="O78" s="68">
        <v>3.65</v>
      </c>
      <c r="P78" s="144">
        <v>3.65</v>
      </c>
      <c r="Q78" s="144">
        <v>3.65</v>
      </c>
      <c r="R78" s="144">
        <v>3.65</v>
      </c>
      <c r="S78" s="144">
        <v>3.65</v>
      </c>
      <c r="T78" s="144">
        <v>3.65</v>
      </c>
      <c r="U78" s="144">
        <v>3.65</v>
      </c>
      <c r="V78" s="144">
        <v>3.65</v>
      </c>
      <c r="W78" s="144">
        <v>3.65</v>
      </c>
      <c r="X78" s="144">
        <v>3.65</v>
      </c>
      <c r="Y78" s="144">
        <v>3.65</v>
      </c>
      <c r="Z78" s="144">
        <v>3.65</v>
      </c>
      <c r="AA78" s="58">
        <v>3.65</v>
      </c>
      <c r="AB78" s="58">
        <v>0.6</v>
      </c>
      <c r="AC78" s="10">
        <v>0.6</v>
      </c>
      <c r="AD78" s="10">
        <v>0.6</v>
      </c>
      <c r="AE78" s="10">
        <v>0.6</v>
      </c>
      <c r="AF78" s="10">
        <v>0.6</v>
      </c>
      <c r="AG78" s="10">
        <v>0.6</v>
      </c>
      <c r="AH78" s="10">
        <v>0.6</v>
      </c>
      <c r="AI78" s="10">
        <v>0.6</v>
      </c>
      <c r="AJ78" s="10">
        <v>0.6</v>
      </c>
      <c r="AK78" s="10">
        <v>0.6</v>
      </c>
      <c r="AL78" s="10">
        <v>0.6</v>
      </c>
      <c r="AM78" s="10">
        <v>0.6</v>
      </c>
      <c r="AN78" s="149">
        <v>0.6</v>
      </c>
      <c r="AO78" s="5">
        <v>160</v>
      </c>
      <c r="AP78" s="118">
        <f t="shared" si="1"/>
        <v>96</v>
      </c>
      <c r="AQ78" s="5">
        <v>159</v>
      </c>
      <c r="AR78" s="118">
        <f t="shared" si="32"/>
        <v>95.399999999999991</v>
      </c>
      <c r="AS78" s="5">
        <v>142</v>
      </c>
      <c r="AT78" s="127">
        <f t="shared" si="33"/>
        <v>85.2</v>
      </c>
      <c r="AU78" s="5">
        <v>400</v>
      </c>
      <c r="AV78" s="118">
        <f t="shared" si="34"/>
        <v>240</v>
      </c>
      <c r="AW78" s="5">
        <v>1160</v>
      </c>
      <c r="AX78" s="118">
        <f t="shared" si="35"/>
        <v>696</v>
      </c>
      <c r="AY78" s="5">
        <v>800</v>
      </c>
      <c r="AZ78" s="127">
        <f t="shared" si="6"/>
        <v>480</v>
      </c>
      <c r="BA78" s="105">
        <v>440</v>
      </c>
      <c r="BB78" s="118">
        <f t="shared" si="36"/>
        <v>264</v>
      </c>
      <c r="BC78" s="105">
        <v>0</v>
      </c>
      <c r="BD78" s="118">
        <f t="shared" si="39"/>
        <v>0</v>
      </c>
      <c r="BE78" s="5">
        <v>720</v>
      </c>
      <c r="BF78" s="127">
        <f t="shared" si="9"/>
        <v>432</v>
      </c>
      <c r="BG78" s="105">
        <v>360</v>
      </c>
      <c r="BH78" s="118">
        <f t="shared" si="13"/>
        <v>216</v>
      </c>
      <c r="BI78" s="5">
        <v>40</v>
      </c>
      <c r="BJ78" s="118">
        <f t="shared" si="38"/>
        <v>24</v>
      </c>
      <c r="BK78" s="5">
        <v>0</v>
      </c>
      <c r="BL78" s="127">
        <f t="shared" si="12"/>
        <v>0</v>
      </c>
      <c r="BM78" s="220" t="s">
        <v>546</v>
      </c>
      <c r="BO78" s="1" t="s">
        <v>539</v>
      </c>
      <c r="BP78" s="1" t="s">
        <v>547</v>
      </c>
      <c r="BQ78" s="233"/>
      <c r="BR78" s="234"/>
    </row>
    <row r="79" spans="1:70">
      <c r="A79" s="219" t="s">
        <v>451</v>
      </c>
      <c r="B79" s="106" t="s">
        <v>267</v>
      </c>
      <c r="C79" s="66" t="s">
        <v>175</v>
      </c>
      <c r="D79" s="284"/>
      <c r="E79" s="77" t="s">
        <v>225</v>
      </c>
      <c r="F79" s="282"/>
      <c r="G79" s="71" t="s">
        <v>202</v>
      </c>
      <c r="H79" s="70" t="s">
        <v>536</v>
      </c>
      <c r="I79" s="70" t="s">
        <v>240</v>
      </c>
      <c r="J79" s="71" t="s">
        <v>367</v>
      </c>
      <c r="K79" s="70" t="s">
        <v>545</v>
      </c>
      <c r="L79" s="69" t="s">
        <v>185</v>
      </c>
      <c r="M79" s="68" t="s">
        <v>465</v>
      </c>
      <c r="N79" s="68">
        <v>3.05</v>
      </c>
      <c r="O79" s="68">
        <v>3.65</v>
      </c>
      <c r="P79" s="144">
        <v>3.65</v>
      </c>
      <c r="Q79" s="144">
        <v>3.65</v>
      </c>
      <c r="R79" s="144">
        <v>3.65</v>
      </c>
      <c r="S79" s="144">
        <v>3.65</v>
      </c>
      <c r="T79" s="144">
        <v>3.65</v>
      </c>
      <c r="U79" s="144">
        <v>3.65</v>
      </c>
      <c r="V79" s="144">
        <v>3.65</v>
      </c>
      <c r="W79" s="144">
        <v>3.65</v>
      </c>
      <c r="X79" s="144">
        <v>3.65</v>
      </c>
      <c r="Y79" s="144">
        <v>3.65</v>
      </c>
      <c r="Z79" s="144">
        <v>3.65</v>
      </c>
      <c r="AA79" s="58">
        <v>3.65</v>
      </c>
      <c r="AB79" s="58">
        <v>0.6</v>
      </c>
      <c r="AC79" s="10">
        <v>0.6</v>
      </c>
      <c r="AD79" s="10">
        <v>0.6</v>
      </c>
      <c r="AE79" s="10">
        <v>0.6</v>
      </c>
      <c r="AF79" s="10">
        <v>0.6</v>
      </c>
      <c r="AG79" s="10">
        <v>0.6</v>
      </c>
      <c r="AH79" s="10">
        <v>0.6</v>
      </c>
      <c r="AI79" s="10">
        <v>0.6</v>
      </c>
      <c r="AJ79" s="10">
        <v>0.6</v>
      </c>
      <c r="AK79" s="10">
        <v>0.6</v>
      </c>
      <c r="AL79" s="10">
        <v>0.6</v>
      </c>
      <c r="AM79" s="10">
        <v>0.6</v>
      </c>
      <c r="AN79" s="149">
        <v>0.6</v>
      </c>
      <c r="AP79" s="118">
        <f t="shared" si="1"/>
        <v>0</v>
      </c>
      <c r="AR79" s="118">
        <f t="shared" si="32"/>
        <v>0</v>
      </c>
      <c r="AT79" s="127">
        <f t="shared" si="33"/>
        <v>0</v>
      </c>
      <c r="AU79" s="5"/>
      <c r="AV79" s="118">
        <f t="shared" si="34"/>
        <v>0</v>
      </c>
      <c r="AW79" s="5"/>
      <c r="AX79" s="118">
        <f t="shared" si="35"/>
        <v>0</v>
      </c>
      <c r="AY79" s="5"/>
      <c r="AZ79" s="127">
        <f t="shared" si="6"/>
        <v>0</v>
      </c>
      <c r="BA79" s="105">
        <v>0</v>
      </c>
      <c r="BB79" s="118">
        <f t="shared" si="36"/>
        <v>0</v>
      </c>
      <c r="BC79" s="105">
        <v>720</v>
      </c>
      <c r="BD79" s="118">
        <f t="shared" si="39"/>
        <v>432</v>
      </c>
      <c r="BE79" s="5">
        <v>120</v>
      </c>
      <c r="BF79" s="127">
        <f t="shared" si="9"/>
        <v>72</v>
      </c>
      <c r="BG79" s="105">
        <v>200</v>
      </c>
      <c r="BH79" s="118">
        <f t="shared" si="13"/>
        <v>120</v>
      </c>
      <c r="BI79" s="5">
        <v>0</v>
      </c>
      <c r="BJ79" s="118">
        <f t="shared" si="38"/>
        <v>0</v>
      </c>
      <c r="BK79" s="5">
        <v>0</v>
      </c>
      <c r="BL79" s="127">
        <f t="shared" si="12"/>
        <v>0</v>
      </c>
      <c r="BM79" s="220" t="s">
        <v>546</v>
      </c>
      <c r="BO79" s="1" t="s">
        <v>539</v>
      </c>
      <c r="BP79" s="1" t="s">
        <v>548</v>
      </c>
      <c r="BQ79" s="233"/>
      <c r="BR79" s="234"/>
    </row>
    <row r="80" spans="1:70">
      <c r="A80" s="219" t="s">
        <v>451</v>
      </c>
      <c r="B80" s="106" t="s">
        <v>267</v>
      </c>
      <c r="C80" s="66" t="s">
        <v>175</v>
      </c>
      <c r="D80" s="284"/>
      <c r="E80" s="77" t="s">
        <v>225</v>
      </c>
      <c r="F80" s="282"/>
      <c r="G80" s="71" t="s">
        <v>202</v>
      </c>
      <c r="H80" s="70" t="s">
        <v>536</v>
      </c>
      <c r="I80" s="70" t="s">
        <v>240</v>
      </c>
      <c r="J80" s="71" t="s">
        <v>367</v>
      </c>
      <c r="K80" s="70" t="s">
        <v>549</v>
      </c>
      <c r="L80" s="69" t="s">
        <v>185</v>
      </c>
      <c r="M80" s="68" t="s">
        <v>465</v>
      </c>
      <c r="N80" s="68">
        <v>3.05</v>
      </c>
      <c r="O80" s="68">
        <v>3.65</v>
      </c>
      <c r="P80" s="144">
        <v>3.65</v>
      </c>
      <c r="Q80" s="144">
        <v>3.65</v>
      </c>
      <c r="R80" s="144">
        <v>3.65</v>
      </c>
      <c r="S80" s="144">
        <v>3.65</v>
      </c>
      <c r="T80" s="144">
        <v>3.65</v>
      </c>
      <c r="U80" s="144">
        <v>3.65</v>
      </c>
      <c r="V80" s="144">
        <v>3.65</v>
      </c>
      <c r="W80" s="144">
        <v>3.65</v>
      </c>
      <c r="X80" s="144">
        <v>3.65</v>
      </c>
      <c r="Y80" s="144">
        <v>3.65</v>
      </c>
      <c r="Z80" s="144">
        <v>3.65</v>
      </c>
      <c r="AA80" s="58">
        <v>3.65</v>
      </c>
      <c r="AB80" s="58">
        <v>0.6</v>
      </c>
      <c r="AC80" s="10">
        <v>0.6</v>
      </c>
      <c r="AD80" s="10">
        <v>0.6</v>
      </c>
      <c r="AE80" s="10">
        <v>0.6</v>
      </c>
      <c r="AF80" s="10">
        <v>0.6</v>
      </c>
      <c r="AG80" s="10">
        <v>0.6</v>
      </c>
      <c r="AH80" s="10">
        <v>0.6</v>
      </c>
      <c r="AI80" s="10">
        <v>0.6</v>
      </c>
      <c r="AJ80" s="10">
        <v>0.6</v>
      </c>
      <c r="AK80" s="10">
        <v>0.6</v>
      </c>
      <c r="AL80" s="10">
        <v>0.6</v>
      </c>
      <c r="AM80" s="10">
        <v>0.6</v>
      </c>
      <c r="AN80" s="149">
        <v>0.6</v>
      </c>
      <c r="AP80" s="118">
        <f t="shared" si="1"/>
        <v>0</v>
      </c>
      <c r="AR80" s="118">
        <f t="shared" si="32"/>
        <v>0</v>
      </c>
      <c r="AT80" s="127">
        <f t="shared" si="33"/>
        <v>0</v>
      </c>
      <c r="AU80" s="5"/>
      <c r="AV80" s="118">
        <f t="shared" si="34"/>
        <v>0</v>
      </c>
      <c r="AW80" s="5">
        <v>3039</v>
      </c>
      <c r="AX80" s="118">
        <f t="shared" si="35"/>
        <v>1823.3999999999999</v>
      </c>
      <c r="AY80" s="5">
        <v>1920</v>
      </c>
      <c r="AZ80" s="127">
        <f t="shared" si="6"/>
        <v>1152</v>
      </c>
      <c r="BA80" s="105">
        <v>0</v>
      </c>
      <c r="BB80" s="118">
        <f t="shared" si="36"/>
        <v>0</v>
      </c>
      <c r="BC80" s="105">
        <v>0</v>
      </c>
      <c r="BD80" s="118">
        <f t="shared" si="39"/>
        <v>0</v>
      </c>
      <c r="BE80" s="5">
        <v>0</v>
      </c>
      <c r="BF80" s="127">
        <f t="shared" si="9"/>
        <v>0</v>
      </c>
      <c r="BG80" s="105">
        <v>0</v>
      </c>
      <c r="BH80" s="118">
        <f t="shared" si="13"/>
        <v>0</v>
      </c>
      <c r="BI80" s="5">
        <v>0</v>
      </c>
      <c r="BJ80" s="118">
        <f t="shared" si="38"/>
        <v>0</v>
      </c>
      <c r="BK80" s="5">
        <v>0</v>
      </c>
      <c r="BL80" s="127">
        <f t="shared" si="12"/>
        <v>0</v>
      </c>
      <c r="BM80" s="220" t="s">
        <v>550</v>
      </c>
      <c r="BO80" s="1" t="s">
        <v>539</v>
      </c>
      <c r="BP80" s="1" t="s">
        <v>551</v>
      </c>
      <c r="BQ80" s="233"/>
      <c r="BR80" s="234"/>
    </row>
    <row r="81" spans="1:70">
      <c r="A81" s="219" t="s">
        <v>451</v>
      </c>
      <c r="B81" s="106" t="s">
        <v>267</v>
      </c>
      <c r="C81" s="66" t="s">
        <v>175</v>
      </c>
      <c r="D81" s="284"/>
      <c r="E81" s="77" t="s">
        <v>225</v>
      </c>
      <c r="F81" s="282"/>
      <c r="G81" s="71" t="s">
        <v>202</v>
      </c>
      <c r="H81" s="70" t="s">
        <v>536</v>
      </c>
      <c r="I81" s="70" t="s">
        <v>240</v>
      </c>
      <c r="J81" s="71" t="s">
        <v>367</v>
      </c>
      <c r="K81" s="70" t="s">
        <v>549</v>
      </c>
      <c r="L81" s="69" t="s">
        <v>185</v>
      </c>
      <c r="M81" s="68" t="s">
        <v>465</v>
      </c>
      <c r="N81" s="68">
        <v>3.05</v>
      </c>
      <c r="O81" s="68">
        <v>3.65</v>
      </c>
      <c r="P81" s="144">
        <v>3.65</v>
      </c>
      <c r="Q81" s="144">
        <v>3.65</v>
      </c>
      <c r="R81" s="144">
        <v>3.65</v>
      </c>
      <c r="S81" s="144">
        <v>3.65</v>
      </c>
      <c r="T81" s="144">
        <v>3.65</v>
      </c>
      <c r="U81" s="144">
        <v>3.65</v>
      </c>
      <c r="V81" s="144">
        <v>3.65</v>
      </c>
      <c r="W81" s="144">
        <v>3.65</v>
      </c>
      <c r="X81" s="144">
        <v>3.65</v>
      </c>
      <c r="Y81" s="144">
        <v>3.65</v>
      </c>
      <c r="Z81" s="144">
        <v>3.65</v>
      </c>
      <c r="AA81" s="58">
        <v>3.65</v>
      </c>
      <c r="AB81" s="58">
        <v>0.6</v>
      </c>
      <c r="AC81" s="10">
        <v>0.6</v>
      </c>
      <c r="AD81" s="10">
        <v>0.6</v>
      </c>
      <c r="AE81" s="10">
        <v>0.6</v>
      </c>
      <c r="AF81" s="10">
        <v>0.6</v>
      </c>
      <c r="AG81" s="10">
        <v>0.6</v>
      </c>
      <c r="AH81" s="10">
        <v>0.6</v>
      </c>
      <c r="AI81" s="10">
        <v>0.6</v>
      </c>
      <c r="AJ81" s="10">
        <v>0.6</v>
      </c>
      <c r="AK81" s="10">
        <v>0.6</v>
      </c>
      <c r="AL81" s="10">
        <v>0.6</v>
      </c>
      <c r="AM81" s="10">
        <v>0.6</v>
      </c>
      <c r="AN81" s="149">
        <v>0.6</v>
      </c>
      <c r="AP81" s="118">
        <f t="shared" si="1"/>
        <v>0</v>
      </c>
      <c r="AR81" s="118">
        <f t="shared" si="32"/>
        <v>0</v>
      </c>
      <c r="AT81" s="127">
        <f t="shared" si="33"/>
        <v>0</v>
      </c>
      <c r="AU81" s="5"/>
      <c r="AV81" s="118">
        <f t="shared" si="34"/>
        <v>0</v>
      </c>
      <c r="AW81" s="5"/>
      <c r="AX81" s="118">
        <f t="shared" si="35"/>
        <v>0</v>
      </c>
      <c r="AY81" s="5"/>
      <c r="AZ81" s="127">
        <f t="shared" si="6"/>
        <v>0</v>
      </c>
      <c r="BA81" s="105">
        <v>40</v>
      </c>
      <c r="BB81" s="118">
        <f t="shared" si="36"/>
        <v>24</v>
      </c>
      <c r="BC81" s="105">
        <v>40</v>
      </c>
      <c r="BD81" s="118">
        <f t="shared" si="39"/>
        <v>24</v>
      </c>
      <c r="BE81" s="5">
        <v>0</v>
      </c>
      <c r="BF81" s="127">
        <f t="shared" si="9"/>
        <v>0</v>
      </c>
      <c r="BG81" s="105">
        <v>0</v>
      </c>
      <c r="BH81" s="118">
        <f t="shared" si="13"/>
        <v>0</v>
      </c>
      <c r="BI81" s="5">
        <v>80</v>
      </c>
      <c r="BJ81" s="118">
        <f t="shared" si="38"/>
        <v>48</v>
      </c>
      <c r="BK81" s="5">
        <v>335</v>
      </c>
      <c r="BL81" s="127">
        <f t="shared" si="12"/>
        <v>201</v>
      </c>
      <c r="BM81" s="220" t="s">
        <v>550</v>
      </c>
      <c r="BO81" s="1" t="s">
        <v>539</v>
      </c>
      <c r="BP81" s="1" t="s">
        <v>552</v>
      </c>
      <c r="BQ81" s="233"/>
      <c r="BR81" s="234"/>
    </row>
    <row r="82" spans="1:70">
      <c r="A82" s="219" t="s">
        <v>451</v>
      </c>
      <c r="B82" s="106" t="s">
        <v>267</v>
      </c>
      <c r="C82" s="66" t="s">
        <v>175</v>
      </c>
      <c r="D82" s="284"/>
      <c r="E82" s="77" t="s">
        <v>225</v>
      </c>
      <c r="F82" s="282"/>
      <c r="G82" s="71" t="s">
        <v>202</v>
      </c>
      <c r="H82" s="70" t="s">
        <v>553</v>
      </c>
      <c r="I82" s="70" t="s">
        <v>240</v>
      </c>
      <c r="J82" s="71" t="s">
        <v>367</v>
      </c>
      <c r="K82" s="70" t="s">
        <v>368</v>
      </c>
      <c r="L82" s="69" t="s">
        <v>185</v>
      </c>
      <c r="M82" s="68" t="s">
        <v>465</v>
      </c>
      <c r="N82" s="68">
        <v>2.94</v>
      </c>
      <c r="O82" s="68">
        <v>3.65</v>
      </c>
      <c r="P82" s="144">
        <v>3.65</v>
      </c>
      <c r="Q82" s="144">
        <v>3.65</v>
      </c>
      <c r="R82" s="144">
        <v>3.65</v>
      </c>
      <c r="S82" s="144">
        <v>3.65</v>
      </c>
      <c r="T82" s="144">
        <v>3.65</v>
      </c>
      <c r="U82" s="144">
        <v>3.65</v>
      </c>
      <c r="V82" s="144">
        <v>3.65</v>
      </c>
      <c r="W82" s="144">
        <v>3.65</v>
      </c>
      <c r="X82" s="144">
        <v>3.35</v>
      </c>
      <c r="Y82" s="144">
        <v>3.35</v>
      </c>
      <c r="Z82" s="144">
        <v>3.35</v>
      </c>
      <c r="AA82" s="58">
        <v>3.35</v>
      </c>
      <c r="AB82" s="68">
        <v>0.67</v>
      </c>
      <c r="AC82" s="10">
        <v>0.67</v>
      </c>
      <c r="AD82" s="10">
        <v>0.67</v>
      </c>
      <c r="AE82" s="10">
        <v>0.67</v>
      </c>
      <c r="AF82" s="10">
        <v>0.67</v>
      </c>
      <c r="AG82" s="10">
        <v>0.67</v>
      </c>
      <c r="AH82" s="10">
        <v>0.67</v>
      </c>
      <c r="AI82" s="10">
        <v>0.67</v>
      </c>
      <c r="AJ82" s="10">
        <v>0.67</v>
      </c>
      <c r="AK82" s="10">
        <v>0.41</v>
      </c>
      <c r="AL82" s="10">
        <v>0.41</v>
      </c>
      <c r="AM82" s="10">
        <v>0.41</v>
      </c>
      <c r="AN82" s="149">
        <v>0.41</v>
      </c>
      <c r="AO82" s="5">
        <v>11011</v>
      </c>
      <c r="AP82" s="118">
        <f t="shared" si="1"/>
        <v>7377.3700000000008</v>
      </c>
      <c r="AQ82" s="5">
        <v>56859</v>
      </c>
      <c r="AR82" s="118">
        <f t="shared" si="32"/>
        <v>38095.53</v>
      </c>
      <c r="AS82" s="5">
        <v>68639</v>
      </c>
      <c r="AT82" s="127">
        <f t="shared" si="33"/>
        <v>45988.130000000005</v>
      </c>
      <c r="AU82" s="5">
        <v>11394</v>
      </c>
      <c r="AV82" s="118">
        <f t="shared" si="34"/>
        <v>7633.9800000000005</v>
      </c>
      <c r="AW82" s="5">
        <v>34318</v>
      </c>
      <c r="AX82" s="118">
        <f t="shared" si="35"/>
        <v>22993.06</v>
      </c>
      <c r="AY82" s="5">
        <v>33619</v>
      </c>
      <c r="AZ82" s="127">
        <f t="shared" si="6"/>
        <v>22524.73</v>
      </c>
      <c r="BA82" s="105">
        <v>227</v>
      </c>
      <c r="BB82" s="118">
        <f t="shared" si="36"/>
        <v>152.09</v>
      </c>
      <c r="BC82" s="105">
        <v>40</v>
      </c>
      <c r="BD82" s="118">
        <f t="shared" si="39"/>
        <v>26.8</v>
      </c>
      <c r="BE82" s="5">
        <v>0</v>
      </c>
      <c r="BF82" s="127">
        <f t="shared" si="9"/>
        <v>0</v>
      </c>
      <c r="BG82" s="105">
        <v>0</v>
      </c>
      <c r="BH82" s="118">
        <f t="shared" si="13"/>
        <v>0</v>
      </c>
      <c r="BI82" s="105">
        <v>0</v>
      </c>
      <c r="BJ82" s="118">
        <f t="shared" si="38"/>
        <v>0</v>
      </c>
      <c r="BK82" s="105">
        <v>3180</v>
      </c>
      <c r="BL82" s="127">
        <f t="shared" si="12"/>
        <v>1303.8</v>
      </c>
      <c r="BM82" s="220" t="s">
        <v>554</v>
      </c>
      <c r="BO82" s="1" t="s">
        <v>539</v>
      </c>
      <c r="BP82" s="1" t="s">
        <v>555</v>
      </c>
      <c r="BQ82" s="233"/>
      <c r="BR82" s="234"/>
    </row>
    <row r="83" spans="1:70">
      <c r="A83" s="219" t="s">
        <v>451</v>
      </c>
      <c r="B83" s="106" t="s">
        <v>267</v>
      </c>
      <c r="C83" s="66" t="s">
        <v>175</v>
      </c>
      <c r="D83" s="284"/>
      <c r="E83" s="77" t="s">
        <v>225</v>
      </c>
      <c r="F83" s="282"/>
      <c r="G83" s="71" t="s">
        <v>202</v>
      </c>
      <c r="H83" s="70" t="s">
        <v>553</v>
      </c>
      <c r="I83" s="70" t="s">
        <v>240</v>
      </c>
      <c r="J83" s="71" t="s">
        <v>367</v>
      </c>
      <c r="K83" s="70" t="s">
        <v>368</v>
      </c>
      <c r="L83" s="69" t="s">
        <v>185</v>
      </c>
      <c r="M83" s="68" t="s">
        <v>465</v>
      </c>
      <c r="N83" s="68">
        <v>2.94</v>
      </c>
      <c r="O83" s="68">
        <v>3.65</v>
      </c>
      <c r="P83" s="144">
        <v>3.65</v>
      </c>
      <c r="Q83" s="144">
        <v>3.65</v>
      </c>
      <c r="R83" s="144">
        <v>3.65</v>
      </c>
      <c r="S83" s="144">
        <v>3.65</v>
      </c>
      <c r="T83" s="144">
        <v>3.65</v>
      </c>
      <c r="U83" s="144">
        <v>3.65</v>
      </c>
      <c r="V83" s="144">
        <v>3.65</v>
      </c>
      <c r="W83" s="144">
        <v>3.65</v>
      </c>
      <c r="X83" s="144">
        <v>3.35</v>
      </c>
      <c r="Y83" s="144">
        <v>3.35</v>
      </c>
      <c r="Z83" s="144">
        <v>3.35</v>
      </c>
      <c r="AA83" s="58">
        <v>3.35</v>
      </c>
      <c r="AB83" s="68">
        <v>0.67</v>
      </c>
      <c r="AC83" s="10">
        <v>0.67</v>
      </c>
      <c r="AD83" s="10">
        <v>0.67</v>
      </c>
      <c r="AE83" s="10">
        <v>0.67</v>
      </c>
      <c r="AF83" s="10">
        <v>0.67</v>
      </c>
      <c r="AG83" s="10">
        <v>0.67</v>
      </c>
      <c r="AH83" s="10">
        <v>0.67</v>
      </c>
      <c r="AI83" s="10">
        <v>0.67</v>
      </c>
      <c r="AJ83" s="10">
        <v>0.67</v>
      </c>
      <c r="AK83" s="10">
        <v>0.41</v>
      </c>
      <c r="AL83" s="10">
        <v>0.41</v>
      </c>
      <c r="AM83" s="10">
        <v>0.41</v>
      </c>
      <c r="AN83" s="149">
        <v>0.41</v>
      </c>
      <c r="AP83" s="118">
        <f t="shared" si="1"/>
        <v>0</v>
      </c>
      <c r="AR83" s="118">
        <f t="shared" si="32"/>
        <v>0</v>
      </c>
      <c r="AT83" s="127">
        <f t="shared" si="33"/>
        <v>0</v>
      </c>
      <c r="AU83" s="5"/>
      <c r="AV83" s="118">
        <f t="shared" si="34"/>
        <v>0</v>
      </c>
      <c r="AW83" s="5"/>
      <c r="AX83" s="118">
        <f t="shared" si="35"/>
        <v>0</v>
      </c>
      <c r="AY83" s="5"/>
      <c r="AZ83" s="127">
        <f t="shared" si="6"/>
        <v>0</v>
      </c>
      <c r="BA83" s="105">
        <v>0</v>
      </c>
      <c r="BB83" s="118">
        <f t="shared" si="36"/>
        <v>0</v>
      </c>
      <c r="BC83" s="105">
        <v>0</v>
      </c>
      <c r="BD83" s="118">
        <f t="shared" si="39"/>
        <v>0</v>
      </c>
      <c r="BE83" s="5">
        <v>0</v>
      </c>
      <c r="BF83" s="127">
        <f t="shared" si="9"/>
        <v>0</v>
      </c>
      <c r="BG83" s="105">
        <v>0</v>
      </c>
      <c r="BH83" s="118">
        <f t="shared" si="13"/>
        <v>0</v>
      </c>
      <c r="BI83" s="105">
        <v>0</v>
      </c>
      <c r="BJ83" s="118">
        <f t="shared" si="38"/>
        <v>0</v>
      </c>
      <c r="BK83" s="105">
        <v>0</v>
      </c>
      <c r="BL83" s="127">
        <f t="shared" si="12"/>
        <v>0</v>
      </c>
      <c r="BM83" s="220" t="s">
        <v>554</v>
      </c>
      <c r="BO83" s="1" t="s">
        <v>539</v>
      </c>
      <c r="BP83" s="1" t="s">
        <v>556</v>
      </c>
      <c r="BQ83" s="233"/>
      <c r="BR83" s="234"/>
    </row>
    <row r="84" spans="1:70">
      <c r="A84" s="219" t="s">
        <v>451</v>
      </c>
      <c r="B84" s="106" t="s">
        <v>267</v>
      </c>
      <c r="C84" s="66" t="s">
        <v>175</v>
      </c>
      <c r="D84" s="284"/>
      <c r="E84" s="77" t="s">
        <v>225</v>
      </c>
      <c r="F84" s="282"/>
      <c r="G84" s="71" t="s">
        <v>202</v>
      </c>
      <c r="H84" s="70" t="s">
        <v>553</v>
      </c>
      <c r="I84" s="70" t="s">
        <v>240</v>
      </c>
      <c r="J84" s="71" t="s">
        <v>367</v>
      </c>
      <c r="K84" s="70" t="s">
        <v>545</v>
      </c>
      <c r="L84" s="69" t="s">
        <v>185</v>
      </c>
      <c r="M84" s="68" t="s">
        <v>465</v>
      </c>
      <c r="N84" s="68">
        <v>2.94</v>
      </c>
      <c r="O84" s="68">
        <v>3.65</v>
      </c>
      <c r="P84" s="144">
        <v>3.65</v>
      </c>
      <c r="Q84" s="144">
        <v>3.65</v>
      </c>
      <c r="R84" s="144">
        <v>3.65</v>
      </c>
      <c r="S84" s="144">
        <v>3.65</v>
      </c>
      <c r="T84" s="144">
        <v>3.65</v>
      </c>
      <c r="U84" s="144">
        <v>3.65</v>
      </c>
      <c r="V84" s="144">
        <v>3.65</v>
      </c>
      <c r="W84" s="144">
        <v>3.65</v>
      </c>
      <c r="X84" s="144">
        <v>3.35</v>
      </c>
      <c r="Y84" s="144">
        <v>3.35</v>
      </c>
      <c r="Z84" s="144">
        <v>3.35</v>
      </c>
      <c r="AA84" s="58">
        <v>3.35</v>
      </c>
      <c r="AB84" s="68">
        <v>0.67</v>
      </c>
      <c r="AC84" s="10">
        <v>0.67</v>
      </c>
      <c r="AD84" s="10">
        <v>0.67</v>
      </c>
      <c r="AE84" s="10">
        <v>0.67</v>
      </c>
      <c r="AF84" s="10">
        <v>0.67</v>
      </c>
      <c r="AG84" s="10">
        <v>0.67</v>
      </c>
      <c r="AH84" s="10">
        <v>0.67</v>
      </c>
      <c r="AI84" s="10">
        <v>0.67</v>
      </c>
      <c r="AJ84" s="10">
        <v>0.67</v>
      </c>
      <c r="AK84" s="10">
        <v>0.41</v>
      </c>
      <c r="AL84" s="10">
        <v>0.41</v>
      </c>
      <c r="AM84" s="10">
        <v>0.41</v>
      </c>
      <c r="AN84" s="149">
        <v>0.41</v>
      </c>
      <c r="AO84" s="5">
        <v>440</v>
      </c>
      <c r="AP84" s="118">
        <f t="shared" si="1"/>
        <v>294.8</v>
      </c>
      <c r="AQ84" s="5">
        <v>347</v>
      </c>
      <c r="AR84" s="118">
        <f t="shared" si="32"/>
        <v>232.49</v>
      </c>
      <c r="AS84" s="5">
        <v>0</v>
      </c>
      <c r="AT84" s="127">
        <f t="shared" si="33"/>
        <v>0</v>
      </c>
      <c r="AU84" s="5">
        <v>240</v>
      </c>
      <c r="AV84" s="118">
        <f t="shared" si="34"/>
        <v>160.80000000000001</v>
      </c>
      <c r="AW84" s="5">
        <v>0</v>
      </c>
      <c r="AX84" s="118">
        <f t="shared" si="35"/>
        <v>0</v>
      </c>
      <c r="AY84" s="5">
        <v>0</v>
      </c>
      <c r="AZ84" s="127">
        <f t="shared" si="6"/>
        <v>0</v>
      </c>
      <c r="BA84" s="105">
        <v>0</v>
      </c>
      <c r="BB84" s="118">
        <f t="shared" si="36"/>
        <v>0</v>
      </c>
      <c r="BC84" s="105">
        <v>0</v>
      </c>
      <c r="BD84" s="118">
        <f t="shared" si="39"/>
        <v>0</v>
      </c>
      <c r="BE84" s="5">
        <v>160</v>
      </c>
      <c r="BF84" s="127">
        <f t="shared" si="9"/>
        <v>65.599999999999994</v>
      </c>
      <c r="BG84" s="105">
        <v>0</v>
      </c>
      <c r="BH84" s="118">
        <f t="shared" si="13"/>
        <v>0</v>
      </c>
      <c r="BI84" s="5">
        <v>0</v>
      </c>
      <c r="BJ84" s="118">
        <f t="shared" si="38"/>
        <v>0</v>
      </c>
      <c r="BK84" s="5">
        <v>0</v>
      </c>
      <c r="BL84" s="127">
        <f t="shared" si="12"/>
        <v>0</v>
      </c>
      <c r="BM84" s="220" t="s">
        <v>557</v>
      </c>
      <c r="BO84" s="1" t="s">
        <v>539</v>
      </c>
      <c r="BP84" s="1" t="s">
        <v>558</v>
      </c>
      <c r="BQ84" s="233"/>
      <c r="BR84" s="234"/>
    </row>
    <row r="85" spans="1:70">
      <c r="A85" s="219" t="s">
        <v>451</v>
      </c>
      <c r="B85" s="106" t="s">
        <v>267</v>
      </c>
      <c r="C85" s="66" t="s">
        <v>175</v>
      </c>
      <c r="D85" s="284"/>
      <c r="E85" s="77" t="s">
        <v>225</v>
      </c>
      <c r="F85" s="282"/>
      <c r="G85" s="71" t="s">
        <v>202</v>
      </c>
      <c r="H85" s="70" t="s">
        <v>553</v>
      </c>
      <c r="I85" s="70" t="s">
        <v>240</v>
      </c>
      <c r="J85" s="71" t="s">
        <v>367</v>
      </c>
      <c r="K85" s="70" t="s">
        <v>545</v>
      </c>
      <c r="L85" s="69" t="s">
        <v>185</v>
      </c>
      <c r="M85" s="68" t="s">
        <v>465</v>
      </c>
      <c r="N85" s="68">
        <v>2.94</v>
      </c>
      <c r="O85" s="68">
        <v>3.65</v>
      </c>
      <c r="P85" s="144">
        <v>3.65</v>
      </c>
      <c r="Q85" s="144">
        <v>3.65</v>
      </c>
      <c r="R85" s="144">
        <v>3.65</v>
      </c>
      <c r="S85" s="144">
        <v>3.65</v>
      </c>
      <c r="T85" s="144">
        <v>3.65</v>
      </c>
      <c r="U85" s="144">
        <v>3.65</v>
      </c>
      <c r="V85" s="144">
        <v>3.65</v>
      </c>
      <c r="W85" s="144">
        <v>3.65</v>
      </c>
      <c r="X85" s="144">
        <v>3.35</v>
      </c>
      <c r="Y85" s="144">
        <v>3.35</v>
      </c>
      <c r="Z85" s="144">
        <v>3.35</v>
      </c>
      <c r="AA85" s="58">
        <v>3.35</v>
      </c>
      <c r="AB85" s="68">
        <v>0.67</v>
      </c>
      <c r="AC85" s="10">
        <v>0.67</v>
      </c>
      <c r="AD85" s="10">
        <v>0.67</v>
      </c>
      <c r="AE85" s="10">
        <v>0.67</v>
      </c>
      <c r="AF85" s="10">
        <v>0.67</v>
      </c>
      <c r="AG85" s="10">
        <v>0.67</v>
      </c>
      <c r="AH85" s="10">
        <v>0.67</v>
      </c>
      <c r="AI85" s="10">
        <v>0.67</v>
      </c>
      <c r="AJ85" s="10">
        <v>0.67</v>
      </c>
      <c r="AK85" s="10">
        <v>0.41</v>
      </c>
      <c r="AL85" s="10">
        <v>0.41</v>
      </c>
      <c r="AM85" s="10">
        <v>0.41</v>
      </c>
      <c r="AN85" s="149">
        <v>0.41</v>
      </c>
      <c r="AP85" s="118">
        <f t="shared" si="1"/>
        <v>0</v>
      </c>
      <c r="AR85" s="118">
        <f t="shared" si="32"/>
        <v>0</v>
      </c>
      <c r="AT85" s="127">
        <f t="shared" si="33"/>
        <v>0</v>
      </c>
      <c r="AU85" s="5"/>
      <c r="AV85" s="118">
        <f t="shared" si="34"/>
        <v>0</v>
      </c>
      <c r="AW85" s="5"/>
      <c r="AX85" s="118">
        <f t="shared" si="35"/>
        <v>0</v>
      </c>
      <c r="AY85" s="5"/>
      <c r="AZ85" s="127">
        <f t="shared" si="6"/>
        <v>0</v>
      </c>
      <c r="BA85" s="105">
        <v>0</v>
      </c>
      <c r="BB85" s="118">
        <f t="shared" si="36"/>
        <v>0</v>
      </c>
      <c r="BC85" s="105">
        <v>0</v>
      </c>
      <c r="BD85" s="118">
        <f t="shared" si="39"/>
        <v>0</v>
      </c>
      <c r="BE85" s="5">
        <v>80</v>
      </c>
      <c r="BF85" s="127">
        <f t="shared" si="9"/>
        <v>32.799999999999997</v>
      </c>
      <c r="BG85" s="105">
        <v>0</v>
      </c>
      <c r="BH85" s="118">
        <f t="shared" si="13"/>
        <v>0</v>
      </c>
      <c r="BI85" s="5">
        <v>0</v>
      </c>
      <c r="BJ85" s="118">
        <f t="shared" si="38"/>
        <v>0</v>
      </c>
      <c r="BK85" s="5">
        <v>0</v>
      </c>
      <c r="BL85" s="127">
        <f t="shared" si="12"/>
        <v>0</v>
      </c>
      <c r="BM85" s="220" t="s">
        <v>557</v>
      </c>
      <c r="BO85" s="1" t="s">
        <v>539</v>
      </c>
      <c r="BP85" s="1" t="s">
        <v>559</v>
      </c>
      <c r="BQ85" s="233"/>
      <c r="BR85" s="234"/>
    </row>
    <row r="86" spans="1:70">
      <c r="A86" s="219" t="s">
        <v>451</v>
      </c>
      <c r="B86" s="106" t="s">
        <v>267</v>
      </c>
      <c r="C86" s="66" t="s">
        <v>175</v>
      </c>
      <c r="D86" s="284"/>
      <c r="E86" s="77" t="s">
        <v>225</v>
      </c>
      <c r="F86" s="282"/>
      <c r="G86" s="71" t="s">
        <v>560</v>
      </c>
      <c r="H86" s="70" t="s">
        <v>561</v>
      </c>
      <c r="I86" s="70" t="s">
        <v>240</v>
      </c>
      <c r="J86" s="71" t="s">
        <v>367</v>
      </c>
      <c r="K86" s="70" t="s">
        <v>368</v>
      </c>
      <c r="L86" s="69" t="s">
        <v>213</v>
      </c>
      <c r="M86" s="180" t="s">
        <v>562</v>
      </c>
      <c r="N86" s="68">
        <v>2.94</v>
      </c>
      <c r="O86" s="68">
        <v>3.65</v>
      </c>
      <c r="P86" s="144">
        <v>0</v>
      </c>
      <c r="Q86" s="144">
        <v>3.65</v>
      </c>
      <c r="R86" s="144">
        <v>3.65</v>
      </c>
      <c r="S86" s="144">
        <v>3.65</v>
      </c>
      <c r="T86" s="144">
        <v>3.65</v>
      </c>
      <c r="U86" s="144">
        <v>3.65</v>
      </c>
      <c r="V86" s="144">
        <v>3.65</v>
      </c>
      <c r="W86" s="144">
        <v>3.65</v>
      </c>
      <c r="X86" s="144">
        <v>3.35</v>
      </c>
      <c r="Y86" s="144">
        <v>3.35</v>
      </c>
      <c r="Z86" s="144">
        <v>3.35</v>
      </c>
      <c r="AA86" s="58">
        <v>3.35</v>
      </c>
      <c r="AB86" s="68">
        <v>0.67</v>
      </c>
      <c r="AC86" s="10">
        <v>0</v>
      </c>
      <c r="AD86" s="10">
        <v>0.67</v>
      </c>
      <c r="AE86" s="10">
        <v>0.67</v>
      </c>
      <c r="AF86" s="10">
        <v>0.67</v>
      </c>
      <c r="AG86" s="10">
        <v>0.67</v>
      </c>
      <c r="AH86" s="10">
        <v>0.67</v>
      </c>
      <c r="AI86" s="10">
        <v>0.67</v>
      </c>
      <c r="AJ86" s="10">
        <v>0.67</v>
      </c>
      <c r="AK86" s="10">
        <v>0.41</v>
      </c>
      <c r="AL86" s="10">
        <v>0.41</v>
      </c>
      <c r="AM86" s="10">
        <v>0.41</v>
      </c>
      <c r="AN86" s="149">
        <v>0.41</v>
      </c>
      <c r="AO86" s="5">
        <v>0</v>
      </c>
      <c r="AP86" s="118">
        <f t="shared" si="1"/>
        <v>0</v>
      </c>
      <c r="AQ86" s="5">
        <v>33886</v>
      </c>
      <c r="AR86" s="118">
        <f t="shared" si="32"/>
        <v>22703.620000000003</v>
      </c>
      <c r="AS86" s="5">
        <v>51661</v>
      </c>
      <c r="AT86" s="127">
        <f t="shared" si="33"/>
        <v>34612.870000000003</v>
      </c>
      <c r="AU86" s="5">
        <v>50820</v>
      </c>
      <c r="AV86" s="118">
        <f t="shared" si="34"/>
        <v>34049.4</v>
      </c>
      <c r="AW86" s="5">
        <v>115225</v>
      </c>
      <c r="AX86" s="118">
        <f t="shared" si="35"/>
        <v>77200.75</v>
      </c>
      <c r="AY86" s="5">
        <v>30084</v>
      </c>
      <c r="AZ86" s="127">
        <f t="shared" si="6"/>
        <v>20156.280000000002</v>
      </c>
      <c r="BA86" s="105">
        <v>96635</v>
      </c>
      <c r="BB86" s="118">
        <f t="shared" si="36"/>
        <v>64745.450000000004</v>
      </c>
      <c r="BC86" s="105">
        <v>58983</v>
      </c>
      <c r="BD86" s="118">
        <f t="shared" si="39"/>
        <v>39518.61</v>
      </c>
      <c r="BE86" s="5">
        <v>19480</v>
      </c>
      <c r="BF86" s="127">
        <f t="shared" si="9"/>
        <v>7986.7999999999993</v>
      </c>
      <c r="BG86" s="105">
        <v>0</v>
      </c>
      <c r="BH86" s="118">
        <f t="shared" si="13"/>
        <v>0</v>
      </c>
      <c r="BI86" s="5">
        <v>180</v>
      </c>
      <c r="BJ86" s="118">
        <f t="shared" si="38"/>
        <v>73.8</v>
      </c>
      <c r="BK86" s="5">
        <v>3180</v>
      </c>
      <c r="BL86" s="127">
        <f t="shared" si="12"/>
        <v>1303.8</v>
      </c>
      <c r="BM86" s="220" t="s">
        <v>563</v>
      </c>
      <c r="BO86" s="1" t="s">
        <v>539</v>
      </c>
      <c r="BP86" s="1" t="s">
        <v>564</v>
      </c>
      <c r="BQ86" s="233"/>
      <c r="BR86" s="234"/>
    </row>
    <row r="87" spans="1:70">
      <c r="A87" s="219" t="s">
        <v>451</v>
      </c>
      <c r="B87" s="106" t="s">
        <v>267</v>
      </c>
      <c r="C87" s="66" t="s">
        <v>175</v>
      </c>
      <c r="D87" s="284"/>
      <c r="E87" s="77" t="s">
        <v>225</v>
      </c>
      <c r="F87" s="282"/>
      <c r="G87" s="71" t="s">
        <v>560</v>
      </c>
      <c r="H87" s="70" t="s">
        <v>561</v>
      </c>
      <c r="I87" s="70" t="s">
        <v>240</v>
      </c>
      <c r="J87" s="71" t="s">
        <v>367</v>
      </c>
      <c r="K87" s="70" t="s">
        <v>368</v>
      </c>
      <c r="L87" s="69" t="s">
        <v>213</v>
      </c>
      <c r="M87" s="180" t="s">
        <v>562</v>
      </c>
      <c r="N87" s="68">
        <v>2.94</v>
      </c>
      <c r="O87" s="68">
        <v>3.65</v>
      </c>
      <c r="P87" s="144">
        <v>0</v>
      </c>
      <c r="Q87" s="144">
        <v>3.65</v>
      </c>
      <c r="R87" s="144">
        <v>3.65</v>
      </c>
      <c r="S87" s="144">
        <v>3.65</v>
      </c>
      <c r="T87" s="144">
        <v>3.65</v>
      </c>
      <c r="U87" s="144">
        <v>3.65</v>
      </c>
      <c r="V87" s="144">
        <v>3.65</v>
      </c>
      <c r="W87" s="144">
        <v>3.65</v>
      </c>
      <c r="X87" s="144">
        <v>3.35</v>
      </c>
      <c r="Y87" s="144">
        <v>3.35</v>
      </c>
      <c r="Z87" s="144">
        <v>3.35</v>
      </c>
      <c r="AA87" s="58">
        <v>3.35</v>
      </c>
      <c r="AB87" s="68">
        <v>0.67</v>
      </c>
      <c r="AC87" s="10">
        <v>0</v>
      </c>
      <c r="AD87" s="10">
        <v>0.67</v>
      </c>
      <c r="AE87" s="10">
        <v>0.67</v>
      </c>
      <c r="AF87" s="10">
        <v>0.67</v>
      </c>
      <c r="AG87" s="10">
        <v>0.67</v>
      </c>
      <c r="AH87" s="10">
        <v>0.67</v>
      </c>
      <c r="AI87" s="10">
        <v>0.67</v>
      </c>
      <c r="AJ87" s="10">
        <v>0.67</v>
      </c>
      <c r="AK87" s="10">
        <v>0.41</v>
      </c>
      <c r="AL87" s="10">
        <v>0.41</v>
      </c>
      <c r="AM87" s="10">
        <v>0.41</v>
      </c>
      <c r="AN87" s="149">
        <v>0.41</v>
      </c>
      <c r="AP87" s="118">
        <f t="shared" si="1"/>
        <v>0</v>
      </c>
      <c r="AR87" s="118">
        <f t="shared" si="32"/>
        <v>0</v>
      </c>
      <c r="AT87" s="127">
        <f t="shared" si="33"/>
        <v>0</v>
      </c>
      <c r="AU87" s="5"/>
      <c r="AV87" s="118">
        <f t="shared" si="34"/>
        <v>0</v>
      </c>
      <c r="AW87" s="5"/>
      <c r="AX87" s="118">
        <f t="shared" si="35"/>
        <v>0</v>
      </c>
      <c r="AY87" s="5"/>
      <c r="AZ87" s="127">
        <f t="shared" si="6"/>
        <v>0</v>
      </c>
      <c r="BA87" s="105">
        <v>74660</v>
      </c>
      <c r="BB87" s="118">
        <f t="shared" si="36"/>
        <v>50022.200000000004</v>
      </c>
      <c r="BC87" s="105">
        <v>55980</v>
      </c>
      <c r="BD87" s="118">
        <f t="shared" si="39"/>
        <v>37506.600000000006</v>
      </c>
      <c r="BE87" s="5">
        <v>22560</v>
      </c>
      <c r="BF87" s="127">
        <f t="shared" si="9"/>
        <v>9249.5999999999985</v>
      </c>
      <c r="BG87" s="105">
        <v>49500</v>
      </c>
      <c r="BH87" s="118">
        <f t="shared" si="13"/>
        <v>20295</v>
      </c>
      <c r="BI87" s="5">
        <v>52977</v>
      </c>
      <c r="BJ87" s="118">
        <f t="shared" si="38"/>
        <v>21720.57</v>
      </c>
      <c r="BK87" s="5">
        <v>52620</v>
      </c>
      <c r="BL87" s="127">
        <f t="shared" si="12"/>
        <v>21574.199999999997</v>
      </c>
      <c r="BM87" s="220" t="s">
        <v>565</v>
      </c>
      <c r="BO87" s="1" t="s">
        <v>539</v>
      </c>
      <c r="BP87" s="1" t="s">
        <v>566</v>
      </c>
      <c r="BQ87" s="233"/>
      <c r="BR87" s="234"/>
    </row>
    <row r="88" spans="1:70">
      <c r="A88" s="219" t="s">
        <v>451</v>
      </c>
      <c r="B88" s="106"/>
      <c r="C88" s="66" t="s">
        <v>175</v>
      </c>
      <c r="D88" s="285"/>
      <c r="E88" s="143" t="s">
        <v>225</v>
      </c>
      <c r="F88" s="282"/>
      <c r="G88" s="72"/>
      <c r="H88" s="75"/>
      <c r="I88" s="75"/>
      <c r="J88" s="72"/>
      <c r="K88" s="75"/>
      <c r="L88" s="74"/>
      <c r="M88" s="52"/>
      <c r="N88" s="52"/>
      <c r="O88" s="52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49"/>
      <c r="AB88" s="52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150"/>
      <c r="AO88" s="23"/>
      <c r="AP88" s="184">
        <f t="shared" si="1"/>
        <v>0</v>
      </c>
      <c r="AQ88" s="23"/>
      <c r="AR88" s="184">
        <f t="shared" si="32"/>
        <v>0</v>
      </c>
      <c r="AS88" s="23">
        <v>0</v>
      </c>
      <c r="AT88" s="185">
        <f t="shared" si="33"/>
        <v>0</v>
      </c>
      <c r="AU88" s="23">
        <v>0</v>
      </c>
      <c r="AV88" s="184">
        <f t="shared" si="34"/>
        <v>0</v>
      </c>
      <c r="AW88" s="23">
        <v>0</v>
      </c>
      <c r="AX88" s="184">
        <f t="shared" si="35"/>
        <v>0</v>
      </c>
      <c r="AY88" s="23"/>
      <c r="AZ88" s="185">
        <f t="shared" si="6"/>
        <v>0</v>
      </c>
      <c r="BA88" s="50"/>
      <c r="BB88" s="184">
        <f t="shared" si="36"/>
        <v>0</v>
      </c>
      <c r="BC88" s="50"/>
      <c r="BD88" s="184">
        <f t="shared" si="39"/>
        <v>0</v>
      </c>
      <c r="BE88" s="23"/>
      <c r="BF88" s="185">
        <f t="shared" si="9"/>
        <v>0</v>
      </c>
      <c r="BG88" s="50"/>
      <c r="BH88" s="184">
        <f t="shared" si="13"/>
        <v>0</v>
      </c>
      <c r="BI88" s="23"/>
      <c r="BJ88" s="184">
        <f t="shared" si="11"/>
        <v>0</v>
      </c>
      <c r="BK88" s="23"/>
      <c r="BL88" s="185">
        <f t="shared" si="12"/>
        <v>0</v>
      </c>
      <c r="BP88" s="1" t="s">
        <v>208</v>
      </c>
      <c r="BQ88" s="233"/>
      <c r="BR88" s="234"/>
    </row>
    <row r="89" spans="1:70">
      <c r="A89" s="219" t="s">
        <v>451</v>
      </c>
      <c r="B89" s="106" t="s">
        <v>244</v>
      </c>
      <c r="C89" s="66" t="s">
        <v>175</v>
      </c>
      <c r="D89" s="284" t="s">
        <v>245</v>
      </c>
      <c r="E89" s="77" t="s">
        <v>253</v>
      </c>
      <c r="F89" s="282" t="s">
        <v>245</v>
      </c>
      <c r="G89" s="71" t="s">
        <v>202</v>
      </c>
      <c r="H89" s="70" t="s">
        <v>261</v>
      </c>
      <c r="I89" s="70" t="s">
        <v>381</v>
      </c>
      <c r="J89" s="71" t="s">
        <v>567</v>
      </c>
      <c r="K89" s="70" t="s">
        <v>250</v>
      </c>
      <c r="L89" s="69" t="s">
        <v>257</v>
      </c>
      <c r="M89" s="180" t="s">
        <v>568</v>
      </c>
      <c r="N89" s="68">
        <v>11.73</v>
      </c>
      <c r="O89" s="58">
        <v>11.73</v>
      </c>
      <c r="P89" s="144">
        <v>11.73</v>
      </c>
      <c r="Q89" s="144">
        <v>11.73</v>
      </c>
      <c r="R89" s="144">
        <v>11.73</v>
      </c>
      <c r="S89" s="144">
        <v>11.73</v>
      </c>
      <c r="T89" s="144">
        <v>11.73</v>
      </c>
      <c r="U89" s="144">
        <v>11.73</v>
      </c>
      <c r="V89" s="144">
        <v>11.73</v>
      </c>
      <c r="W89" s="144">
        <v>11.73</v>
      </c>
      <c r="X89" s="144">
        <v>11.73</v>
      </c>
      <c r="Y89" s="144">
        <v>11.73</v>
      </c>
      <c r="Z89" s="144">
        <v>11.73</v>
      </c>
      <c r="AA89" s="58">
        <v>11.73</v>
      </c>
      <c r="AB89" s="68">
        <v>0.56000000000000005</v>
      </c>
      <c r="AC89" s="144">
        <v>0.56000000000000005</v>
      </c>
      <c r="AD89" s="144">
        <v>0.56000000000000005</v>
      </c>
      <c r="AE89" s="144">
        <v>0.56000000000000005</v>
      </c>
      <c r="AF89" s="144">
        <v>0.56000000000000005</v>
      </c>
      <c r="AG89" s="144">
        <v>0.56000000000000005</v>
      </c>
      <c r="AH89" s="144">
        <v>0.56000000000000005</v>
      </c>
      <c r="AI89" s="144">
        <v>0.56000000000000005</v>
      </c>
      <c r="AJ89" s="144">
        <v>0.56000000000000005</v>
      </c>
      <c r="AK89" s="144">
        <v>0.56000000000000005</v>
      </c>
      <c r="AL89" s="144">
        <v>0.56000000000000005</v>
      </c>
      <c r="AM89" s="144">
        <v>0.56000000000000005</v>
      </c>
      <c r="AN89" s="153">
        <v>0.56000000000000005</v>
      </c>
      <c r="AO89" s="105">
        <v>0</v>
      </c>
      <c r="AP89" s="118">
        <f t="shared" si="1"/>
        <v>0</v>
      </c>
      <c r="AQ89" s="105">
        <v>0</v>
      </c>
      <c r="AR89" s="118">
        <f t="shared" si="2"/>
        <v>0</v>
      </c>
      <c r="AS89" s="204">
        <v>0</v>
      </c>
      <c r="AT89" s="127">
        <f t="shared" si="3"/>
        <v>0</v>
      </c>
      <c r="AU89" s="5">
        <v>0</v>
      </c>
      <c r="AV89" s="118">
        <f t="shared" si="4"/>
        <v>0</v>
      </c>
      <c r="AW89" s="105">
        <v>0</v>
      </c>
      <c r="AX89" s="118">
        <f t="shared" si="5"/>
        <v>0</v>
      </c>
      <c r="AY89" s="105">
        <v>0</v>
      </c>
      <c r="AZ89" s="127">
        <f t="shared" si="6"/>
        <v>0</v>
      </c>
      <c r="BA89" s="105">
        <v>1000</v>
      </c>
      <c r="BB89" s="118">
        <f t="shared" si="7"/>
        <v>560</v>
      </c>
      <c r="BC89" s="105">
        <v>0</v>
      </c>
      <c r="BD89" s="118">
        <f t="shared" si="8"/>
        <v>0</v>
      </c>
      <c r="BE89" s="5">
        <v>0</v>
      </c>
      <c r="BF89" s="127">
        <f t="shared" si="9"/>
        <v>0</v>
      </c>
      <c r="BG89" s="105">
        <v>0</v>
      </c>
      <c r="BH89" s="118">
        <f t="shared" si="13"/>
        <v>0</v>
      </c>
      <c r="BI89" s="5">
        <v>0</v>
      </c>
      <c r="BJ89" s="118">
        <f t="shared" si="11"/>
        <v>0</v>
      </c>
      <c r="BK89" s="5">
        <v>0</v>
      </c>
      <c r="BL89" s="127">
        <f t="shared" si="12"/>
        <v>0</v>
      </c>
      <c r="BM89" s="220" t="s">
        <v>569</v>
      </c>
      <c r="BO89" s="1" t="s">
        <v>570</v>
      </c>
      <c r="BP89" s="233" t="s">
        <v>571</v>
      </c>
      <c r="BQ89" s="233"/>
      <c r="BR89" s="234"/>
    </row>
    <row r="90" spans="1:70">
      <c r="A90" s="219" t="s">
        <v>451</v>
      </c>
      <c r="B90" s="106" t="s">
        <v>244</v>
      </c>
      <c r="C90" s="66" t="s">
        <v>175</v>
      </c>
      <c r="D90" s="284"/>
      <c r="E90" s="77" t="s">
        <v>253</v>
      </c>
      <c r="F90" s="282"/>
      <c r="G90" s="71" t="s">
        <v>202</v>
      </c>
      <c r="H90" s="70" t="s">
        <v>261</v>
      </c>
      <c r="I90" s="70" t="s">
        <v>381</v>
      </c>
      <c r="J90" s="71" t="s">
        <v>567</v>
      </c>
      <c r="K90" s="70" t="s">
        <v>250</v>
      </c>
      <c r="L90" s="69" t="s">
        <v>257</v>
      </c>
      <c r="M90" s="180" t="s">
        <v>568</v>
      </c>
      <c r="N90" s="68">
        <v>11.73</v>
      </c>
      <c r="O90" s="58">
        <v>11.73</v>
      </c>
      <c r="P90" s="144">
        <v>11.73</v>
      </c>
      <c r="Q90" s="144">
        <v>11.73</v>
      </c>
      <c r="R90" s="144">
        <v>11.73</v>
      </c>
      <c r="S90" s="144">
        <v>11.73</v>
      </c>
      <c r="T90" s="144">
        <v>11.73</v>
      </c>
      <c r="U90" s="144">
        <v>11.73</v>
      </c>
      <c r="V90" s="144">
        <v>11.73</v>
      </c>
      <c r="W90" s="144">
        <v>11.73</v>
      </c>
      <c r="X90" s="144">
        <v>11.73</v>
      </c>
      <c r="Y90" s="144">
        <v>11.73</v>
      </c>
      <c r="Z90" s="144">
        <v>11.73</v>
      </c>
      <c r="AA90" s="58">
        <v>11.73</v>
      </c>
      <c r="AB90" s="68">
        <v>0.56000000000000005</v>
      </c>
      <c r="AC90" s="144">
        <v>0.56000000000000005</v>
      </c>
      <c r="AD90" s="144">
        <v>0.56000000000000005</v>
      </c>
      <c r="AE90" s="144">
        <v>0.56000000000000005</v>
      </c>
      <c r="AF90" s="144">
        <v>0.56000000000000005</v>
      </c>
      <c r="AG90" s="144">
        <v>0.56000000000000005</v>
      </c>
      <c r="AH90" s="144">
        <v>0.56000000000000005</v>
      </c>
      <c r="AI90" s="144">
        <v>0.56000000000000005</v>
      </c>
      <c r="AJ90" s="144">
        <v>0.56000000000000005</v>
      </c>
      <c r="AK90" s="144">
        <v>0.56000000000000005</v>
      </c>
      <c r="AL90" s="144">
        <v>0.56000000000000005</v>
      </c>
      <c r="AM90" s="144">
        <v>0.56000000000000005</v>
      </c>
      <c r="AN90" s="153">
        <v>0.56000000000000005</v>
      </c>
      <c r="AO90" s="105">
        <v>0</v>
      </c>
      <c r="AP90" s="118">
        <f t="shared" ref="AP90" si="40">AC90*AO90</f>
        <v>0</v>
      </c>
      <c r="AQ90" s="105">
        <v>0</v>
      </c>
      <c r="AR90" s="118">
        <f t="shared" ref="AR90" si="41">AD90*AQ90</f>
        <v>0</v>
      </c>
      <c r="AS90" s="204">
        <v>0</v>
      </c>
      <c r="AT90" s="127">
        <f t="shared" ref="AT90" si="42">AE90*AS90</f>
        <v>0</v>
      </c>
      <c r="AU90" s="5">
        <v>0</v>
      </c>
      <c r="AV90" s="118">
        <f t="shared" ref="AV90" si="43">AF90*AU90</f>
        <v>0</v>
      </c>
      <c r="AW90" s="105">
        <v>0</v>
      </c>
      <c r="AX90" s="118">
        <f t="shared" ref="AX90" si="44">AG90*AW90</f>
        <v>0</v>
      </c>
      <c r="AY90" s="105">
        <v>0</v>
      </c>
      <c r="AZ90" s="127">
        <f t="shared" ref="AZ90" si="45">AH90*AY90</f>
        <v>0</v>
      </c>
      <c r="BA90" s="105">
        <v>0</v>
      </c>
      <c r="BB90" s="118">
        <f t="shared" si="7"/>
        <v>0</v>
      </c>
      <c r="BC90" s="105">
        <v>0</v>
      </c>
      <c r="BD90" s="118">
        <f t="shared" si="8"/>
        <v>0</v>
      </c>
      <c r="BE90" s="5">
        <v>0</v>
      </c>
      <c r="BF90" s="127">
        <f t="shared" ref="BF90" si="46">AK90*BE90</f>
        <v>0</v>
      </c>
      <c r="BG90" s="105">
        <v>0</v>
      </c>
      <c r="BH90" s="118">
        <f t="shared" si="13"/>
        <v>0</v>
      </c>
      <c r="BI90" s="5">
        <v>0</v>
      </c>
      <c r="BJ90" s="118">
        <f t="shared" si="11"/>
        <v>0</v>
      </c>
      <c r="BK90" s="5">
        <v>0</v>
      </c>
      <c r="BL90" s="127">
        <f t="shared" ref="BL90" si="47">AN90*BK90</f>
        <v>0</v>
      </c>
      <c r="BM90" s="220" t="s">
        <v>569</v>
      </c>
      <c r="BO90" s="1" t="s">
        <v>570</v>
      </c>
      <c r="BP90" s="233" t="s">
        <v>572</v>
      </c>
      <c r="BQ90" s="233"/>
      <c r="BR90" s="234"/>
    </row>
    <row r="91" spans="1:70">
      <c r="A91" s="219" t="s">
        <v>451</v>
      </c>
      <c r="B91" s="106" t="s">
        <v>244</v>
      </c>
      <c r="C91" s="66" t="s">
        <v>175</v>
      </c>
      <c r="D91" s="284"/>
      <c r="E91" s="77" t="s">
        <v>253</v>
      </c>
      <c r="F91" s="282"/>
      <c r="G91" s="71" t="s">
        <v>202</v>
      </c>
      <c r="H91" s="70" t="s">
        <v>261</v>
      </c>
      <c r="I91" s="70" t="s">
        <v>180</v>
      </c>
      <c r="J91" s="71" t="s">
        <v>567</v>
      </c>
      <c r="K91" s="70" t="s">
        <v>250</v>
      </c>
      <c r="L91" s="69" t="s">
        <v>257</v>
      </c>
      <c r="M91" s="180" t="s">
        <v>568</v>
      </c>
      <c r="N91" s="68">
        <v>11.73</v>
      </c>
      <c r="O91" s="58">
        <v>11.73</v>
      </c>
      <c r="P91" s="144">
        <v>11.73</v>
      </c>
      <c r="Q91" s="144">
        <v>11.73</v>
      </c>
      <c r="R91" s="144">
        <v>11.73</v>
      </c>
      <c r="S91" s="144">
        <v>11.73</v>
      </c>
      <c r="T91" s="144">
        <v>11.73</v>
      </c>
      <c r="U91" s="144">
        <v>11.73</v>
      </c>
      <c r="V91" s="144">
        <v>11.73</v>
      </c>
      <c r="W91" s="144">
        <v>11.73</v>
      </c>
      <c r="X91" s="144">
        <v>11.73</v>
      </c>
      <c r="Y91" s="144">
        <v>11.73</v>
      </c>
      <c r="Z91" s="144">
        <v>11.73</v>
      </c>
      <c r="AA91" s="58">
        <v>11.73</v>
      </c>
      <c r="AB91" s="68">
        <v>0.56000000000000005</v>
      </c>
      <c r="AC91" s="144">
        <v>0.56000000000000005</v>
      </c>
      <c r="AD91" s="144">
        <v>0.56000000000000005</v>
      </c>
      <c r="AE91" s="144">
        <v>0.56000000000000005</v>
      </c>
      <c r="AF91" s="144">
        <v>0.56000000000000005</v>
      </c>
      <c r="AG91" s="144">
        <v>0.56000000000000005</v>
      </c>
      <c r="AH91" s="144">
        <v>0.56000000000000005</v>
      </c>
      <c r="AI91" s="144">
        <v>0.56000000000000005</v>
      </c>
      <c r="AJ91" s="144">
        <v>0.56000000000000005</v>
      </c>
      <c r="AK91" s="144">
        <v>0.56000000000000005</v>
      </c>
      <c r="AL91" s="144">
        <v>0.56000000000000005</v>
      </c>
      <c r="AM91" s="144">
        <v>0.56000000000000005</v>
      </c>
      <c r="AN91" s="153">
        <v>0.56000000000000005</v>
      </c>
      <c r="AO91" s="105">
        <v>0</v>
      </c>
      <c r="AP91" s="118">
        <f t="shared" si="1"/>
        <v>0</v>
      </c>
      <c r="AQ91" s="105">
        <v>0</v>
      </c>
      <c r="AR91" s="118">
        <f t="shared" si="2"/>
        <v>0</v>
      </c>
      <c r="AS91" s="204">
        <v>1000</v>
      </c>
      <c r="AT91" s="127">
        <f t="shared" si="3"/>
        <v>560</v>
      </c>
      <c r="AU91" s="5">
        <v>0</v>
      </c>
      <c r="AV91" s="118">
        <f t="shared" si="4"/>
        <v>0</v>
      </c>
      <c r="AW91" s="105">
        <v>0</v>
      </c>
      <c r="AX91" s="118">
        <f t="shared" si="5"/>
        <v>0</v>
      </c>
      <c r="AY91" s="105">
        <v>0</v>
      </c>
      <c r="AZ91" s="127">
        <f t="shared" si="6"/>
        <v>0</v>
      </c>
      <c r="BA91" s="105">
        <v>0</v>
      </c>
      <c r="BB91" s="118">
        <f t="shared" si="7"/>
        <v>0</v>
      </c>
      <c r="BC91" s="105">
        <v>0</v>
      </c>
      <c r="BD91" s="118">
        <f t="shared" si="8"/>
        <v>0</v>
      </c>
      <c r="BE91" s="5">
        <v>0</v>
      </c>
      <c r="BF91" s="127">
        <f t="shared" si="9"/>
        <v>0</v>
      </c>
      <c r="BG91" s="105">
        <v>0</v>
      </c>
      <c r="BH91" s="118">
        <f t="shared" si="13"/>
        <v>0</v>
      </c>
      <c r="BI91" s="5">
        <v>0</v>
      </c>
      <c r="BJ91" s="118">
        <f t="shared" si="11"/>
        <v>0</v>
      </c>
      <c r="BK91" s="5">
        <v>0</v>
      </c>
      <c r="BL91" s="127">
        <f t="shared" si="12"/>
        <v>0</v>
      </c>
      <c r="BM91" s="220" t="s">
        <v>569</v>
      </c>
      <c r="BO91" s="1" t="s">
        <v>573</v>
      </c>
      <c r="BP91" s="233" t="s">
        <v>574</v>
      </c>
      <c r="BQ91" s="233"/>
      <c r="BR91" s="234"/>
    </row>
    <row r="92" spans="1:70">
      <c r="A92" s="219" t="s">
        <v>451</v>
      </c>
      <c r="B92" s="106" t="s">
        <v>244</v>
      </c>
      <c r="C92" s="66" t="s">
        <v>175</v>
      </c>
      <c r="D92" s="284"/>
      <c r="E92" s="77" t="s">
        <v>253</v>
      </c>
      <c r="F92" s="282"/>
      <c r="G92" s="71" t="s">
        <v>202</v>
      </c>
      <c r="H92" s="70" t="s">
        <v>261</v>
      </c>
      <c r="I92" s="70" t="s">
        <v>180</v>
      </c>
      <c r="J92" s="71" t="s">
        <v>567</v>
      </c>
      <c r="K92" s="70" t="s">
        <v>250</v>
      </c>
      <c r="L92" s="69" t="s">
        <v>257</v>
      </c>
      <c r="M92" s="180" t="s">
        <v>568</v>
      </c>
      <c r="N92" s="68">
        <v>11.73</v>
      </c>
      <c r="O92" s="58">
        <v>11.73</v>
      </c>
      <c r="P92" s="144">
        <v>11.73</v>
      </c>
      <c r="Q92" s="144">
        <v>11.73</v>
      </c>
      <c r="R92" s="144">
        <v>11.73</v>
      </c>
      <c r="S92" s="144">
        <v>11.73</v>
      </c>
      <c r="T92" s="144">
        <v>11.73</v>
      </c>
      <c r="U92" s="144">
        <v>11.73</v>
      </c>
      <c r="V92" s="144">
        <v>11.73</v>
      </c>
      <c r="W92" s="144">
        <v>11.73</v>
      </c>
      <c r="X92" s="144">
        <v>11.73</v>
      </c>
      <c r="Y92" s="144">
        <v>11.73</v>
      </c>
      <c r="Z92" s="144">
        <v>11.73</v>
      </c>
      <c r="AA92" s="58">
        <v>11.73</v>
      </c>
      <c r="AB92" s="68">
        <v>0.56000000000000005</v>
      </c>
      <c r="AC92" s="144">
        <v>0.56000000000000005</v>
      </c>
      <c r="AD92" s="144">
        <v>0.56000000000000005</v>
      </c>
      <c r="AE92" s="144">
        <v>0.56000000000000005</v>
      </c>
      <c r="AF92" s="144">
        <v>0.56000000000000005</v>
      </c>
      <c r="AG92" s="144">
        <v>0.56000000000000005</v>
      </c>
      <c r="AH92" s="144">
        <v>0.56000000000000005</v>
      </c>
      <c r="AI92" s="144">
        <v>0.56000000000000005</v>
      </c>
      <c r="AJ92" s="144">
        <v>0.56000000000000005</v>
      </c>
      <c r="AK92" s="144">
        <v>0.56000000000000005</v>
      </c>
      <c r="AL92" s="144">
        <v>0.56000000000000005</v>
      </c>
      <c r="AM92" s="144">
        <v>0.56000000000000005</v>
      </c>
      <c r="AN92" s="153">
        <v>0.56000000000000005</v>
      </c>
      <c r="AO92" s="105">
        <v>0</v>
      </c>
      <c r="AP92" s="118">
        <f t="shared" si="1"/>
        <v>0</v>
      </c>
      <c r="AQ92" s="105">
        <v>0</v>
      </c>
      <c r="AR92" s="118">
        <f t="shared" si="2"/>
        <v>0</v>
      </c>
      <c r="AS92" s="204">
        <v>0</v>
      </c>
      <c r="AT92" s="127">
        <f t="shared" si="3"/>
        <v>0</v>
      </c>
      <c r="AU92" s="5">
        <v>0</v>
      </c>
      <c r="AV92" s="118">
        <f t="shared" si="4"/>
        <v>0</v>
      </c>
      <c r="AW92" s="105">
        <v>0</v>
      </c>
      <c r="AX92" s="118">
        <f t="shared" si="5"/>
        <v>0</v>
      </c>
      <c r="AY92" s="105">
        <v>0</v>
      </c>
      <c r="AZ92" s="127">
        <f t="shared" si="6"/>
        <v>0</v>
      </c>
      <c r="BA92" s="105">
        <v>0</v>
      </c>
      <c r="BB92" s="118">
        <f t="shared" si="7"/>
        <v>0</v>
      </c>
      <c r="BC92" s="105">
        <v>0</v>
      </c>
      <c r="BD92" s="118">
        <f t="shared" si="8"/>
        <v>0</v>
      </c>
      <c r="BE92" s="5">
        <v>0</v>
      </c>
      <c r="BF92" s="127">
        <f t="shared" si="9"/>
        <v>0</v>
      </c>
      <c r="BG92" s="105">
        <v>0</v>
      </c>
      <c r="BH92" s="118">
        <f t="shared" si="13"/>
        <v>0</v>
      </c>
      <c r="BI92" s="5">
        <v>0</v>
      </c>
      <c r="BJ92" s="118">
        <f t="shared" si="11"/>
        <v>0</v>
      </c>
      <c r="BK92" s="5">
        <v>0</v>
      </c>
      <c r="BL92" s="127">
        <f t="shared" si="12"/>
        <v>0</v>
      </c>
      <c r="BM92" s="220" t="s">
        <v>569</v>
      </c>
      <c r="BO92" s="1" t="s">
        <v>575</v>
      </c>
      <c r="BP92" s="233" t="s">
        <v>576</v>
      </c>
      <c r="BQ92" s="233"/>
      <c r="BR92" s="234"/>
    </row>
    <row r="93" spans="1:70">
      <c r="A93" s="219" t="s">
        <v>451</v>
      </c>
      <c r="B93" s="106" t="s">
        <v>244</v>
      </c>
      <c r="C93" s="66" t="s">
        <v>175</v>
      </c>
      <c r="D93" s="284"/>
      <c r="E93" s="77" t="s">
        <v>253</v>
      </c>
      <c r="F93" s="282"/>
      <c r="G93" s="71" t="s">
        <v>202</v>
      </c>
      <c r="H93" s="70" t="s">
        <v>261</v>
      </c>
      <c r="I93" s="70" t="s">
        <v>180</v>
      </c>
      <c r="J93" s="71" t="s">
        <v>567</v>
      </c>
      <c r="K93" s="70" t="s">
        <v>250</v>
      </c>
      <c r="L93" s="69" t="s">
        <v>257</v>
      </c>
      <c r="M93" s="180" t="s">
        <v>577</v>
      </c>
      <c r="N93" s="68">
        <v>11.73</v>
      </c>
      <c r="O93" s="58">
        <v>11.73</v>
      </c>
      <c r="P93" s="144">
        <v>11.73</v>
      </c>
      <c r="Q93" s="144">
        <v>11.73</v>
      </c>
      <c r="R93" s="144">
        <v>11.73</v>
      </c>
      <c r="S93" s="144">
        <v>11.73</v>
      </c>
      <c r="T93" s="144">
        <v>11.73</v>
      </c>
      <c r="U93" s="144">
        <v>11.73</v>
      </c>
      <c r="V93" s="144">
        <v>11.73</v>
      </c>
      <c r="W93" s="144">
        <v>11.73</v>
      </c>
      <c r="X93" s="144">
        <v>11.73</v>
      </c>
      <c r="Y93" s="144">
        <v>11.73</v>
      </c>
      <c r="Z93" s="144">
        <v>11.73</v>
      </c>
      <c r="AA93" s="58">
        <v>11.73</v>
      </c>
      <c r="AB93" s="68">
        <v>0.56000000000000005</v>
      </c>
      <c r="AC93" s="144">
        <v>0.56000000000000005</v>
      </c>
      <c r="AD93" s="144">
        <v>0.56000000000000005</v>
      </c>
      <c r="AE93" s="144">
        <v>0.56000000000000005</v>
      </c>
      <c r="AF93" s="144">
        <v>0.56000000000000005</v>
      </c>
      <c r="AG93" s="144">
        <v>0.56000000000000005</v>
      </c>
      <c r="AH93" s="144">
        <v>0.56000000000000005</v>
      </c>
      <c r="AI93" s="144">
        <v>0.56000000000000005</v>
      </c>
      <c r="AJ93" s="144">
        <v>0.56000000000000005</v>
      </c>
      <c r="AK93" s="144">
        <v>0.56000000000000005</v>
      </c>
      <c r="AL93" s="144">
        <v>0.56000000000000005</v>
      </c>
      <c r="AM93" s="144">
        <v>0.56000000000000005</v>
      </c>
      <c r="AN93" s="153">
        <v>0.56000000000000005</v>
      </c>
      <c r="AO93" s="105">
        <v>0</v>
      </c>
      <c r="AP93" s="118">
        <f t="shared" si="1"/>
        <v>0</v>
      </c>
      <c r="AQ93" s="105">
        <v>1000</v>
      </c>
      <c r="AR93" s="118">
        <f t="shared" si="2"/>
        <v>560</v>
      </c>
      <c r="AS93" s="204">
        <v>0</v>
      </c>
      <c r="AT93" s="127">
        <f t="shared" si="3"/>
        <v>0</v>
      </c>
      <c r="AU93" s="5">
        <v>1000</v>
      </c>
      <c r="AV93" s="118">
        <f t="shared" si="4"/>
        <v>560</v>
      </c>
      <c r="AW93" s="105">
        <v>2000</v>
      </c>
      <c r="AX93" s="118">
        <f t="shared" si="5"/>
        <v>1120</v>
      </c>
      <c r="AY93" s="105">
        <v>4000</v>
      </c>
      <c r="AZ93" s="127">
        <f t="shared" si="6"/>
        <v>2240</v>
      </c>
      <c r="BA93" s="105">
        <v>1000</v>
      </c>
      <c r="BB93" s="118">
        <f t="shared" si="7"/>
        <v>560</v>
      </c>
      <c r="BC93" s="105">
        <v>3300</v>
      </c>
      <c r="BD93" s="118">
        <f t="shared" si="8"/>
        <v>1848.0000000000002</v>
      </c>
      <c r="BE93" s="5">
        <v>3000</v>
      </c>
      <c r="BF93" s="127">
        <f t="shared" si="9"/>
        <v>1680.0000000000002</v>
      </c>
      <c r="BG93" s="105">
        <v>1000</v>
      </c>
      <c r="BH93" s="118">
        <f t="shared" si="13"/>
        <v>560</v>
      </c>
      <c r="BI93" s="5">
        <v>1100</v>
      </c>
      <c r="BJ93" s="118">
        <f t="shared" si="11"/>
        <v>616.00000000000011</v>
      </c>
      <c r="BK93" s="5">
        <v>1000</v>
      </c>
      <c r="BL93" s="127">
        <f t="shared" si="12"/>
        <v>560</v>
      </c>
      <c r="BM93" s="220" t="s">
        <v>569</v>
      </c>
      <c r="BO93" s="1" t="s">
        <v>578</v>
      </c>
      <c r="BP93" s="233" t="s">
        <v>579</v>
      </c>
      <c r="BQ93" s="233"/>
      <c r="BR93" s="234"/>
    </row>
    <row r="94" spans="1:70">
      <c r="A94" s="219" t="s">
        <v>451</v>
      </c>
      <c r="B94" s="106" t="s">
        <v>244</v>
      </c>
      <c r="C94" s="66" t="s">
        <v>175</v>
      </c>
      <c r="D94" s="284"/>
      <c r="E94" s="77" t="s">
        <v>253</v>
      </c>
      <c r="F94" s="282"/>
      <c r="G94" s="71" t="s">
        <v>202</v>
      </c>
      <c r="H94" s="70" t="s">
        <v>580</v>
      </c>
      <c r="I94" s="70" t="s">
        <v>381</v>
      </c>
      <c r="J94" s="71" t="s">
        <v>567</v>
      </c>
      <c r="K94" s="70" t="s">
        <v>250</v>
      </c>
      <c r="L94" s="69" t="s">
        <v>257</v>
      </c>
      <c r="M94" s="180" t="s">
        <v>568</v>
      </c>
      <c r="N94" s="68">
        <v>13.63</v>
      </c>
      <c r="O94" s="58">
        <v>13.63</v>
      </c>
      <c r="P94" s="144">
        <v>13.63</v>
      </c>
      <c r="Q94" s="144">
        <v>13.63</v>
      </c>
      <c r="R94" s="144">
        <v>13.63</v>
      </c>
      <c r="S94" s="144">
        <v>13.63</v>
      </c>
      <c r="T94" s="144">
        <v>13.63</v>
      </c>
      <c r="U94" s="144">
        <v>13.63</v>
      </c>
      <c r="V94" s="144">
        <v>13.63</v>
      </c>
      <c r="W94" s="144">
        <v>13.63</v>
      </c>
      <c r="X94" s="144">
        <v>13.63</v>
      </c>
      <c r="Y94" s="144">
        <v>13.63</v>
      </c>
      <c r="Z94" s="144">
        <v>13.63</v>
      </c>
      <c r="AA94" s="58">
        <v>13.63</v>
      </c>
      <c r="AB94" s="68">
        <v>0.56000000000000005</v>
      </c>
      <c r="AC94" s="144">
        <v>0.56000000000000005</v>
      </c>
      <c r="AD94" s="144">
        <v>0.56000000000000005</v>
      </c>
      <c r="AE94" s="144">
        <v>0.56000000000000005</v>
      </c>
      <c r="AF94" s="144">
        <v>0.56000000000000005</v>
      </c>
      <c r="AG94" s="144">
        <v>0.56000000000000005</v>
      </c>
      <c r="AH94" s="144">
        <v>0.56000000000000005</v>
      </c>
      <c r="AI94" s="144">
        <v>0.56000000000000005</v>
      </c>
      <c r="AJ94" s="144">
        <v>0.56000000000000005</v>
      </c>
      <c r="AK94" s="144">
        <v>0.56000000000000005</v>
      </c>
      <c r="AL94" s="144">
        <v>0.56000000000000005</v>
      </c>
      <c r="AM94" s="144">
        <v>0.56000000000000005</v>
      </c>
      <c r="AN94" s="153">
        <v>0.56000000000000005</v>
      </c>
      <c r="AO94" s="105">
        <v>0</v>
      </c>
      <c r="AP94" s="118">
        <f t="shared" ref="AP94:AP157" si="48">AC94*AO94</f>
        <v>0</v>
      </c>
      <c r="AQ94" s="105">
        <v>0</v>
      </c>
      <c r="AR94" s="118">
        <f t="shared" si="2"/>
        <v>0</v>
      </c>
      <c r="AS94" s="105">
        <v>0</v>
      </c>
      <c r="AT94" s="127">
        <f t="shared" si="3"/>
        <v>0</v>
      </c>
      <c r="AU94" s="5">
        <v>0</v>
      </c>
      <c r="AV94" s="118">
        <f t="shared" si="4"/>
        <v>0</v>
      </c>
      <c r="AW94" s="105">
        <v>0</v>
      </c>
      <c r="AX94" s="118">
        <f t="shared" si="5"/>
        <v>0</v>
      </c>
      <c r="AY94" s="105">
        <v>0</v>
      </c>
      <c r="AZ94" s="127">
        <f t="shared" si="6"/>
        <v>0</v>
      </c>
      <c r="BA94" s="105">
        <v>0</v>
      </c>
      <c r="BB94" s="118">
        <f t="shared" si="7"/>
        <v>0</v>
      </c>
      <c r="BC94" s="105">
        <v>0</v>
      </c>
      <c r="BD94" s="118">
        <f t="shared" si="8"/>
        <v>0</v>
      </c>
      <c r="BE94" s="5">
        <v>0</v>
      </c>
      <c r="BF94" s="127">
        <f t="shared" si="9"/>
        <v>0</v>
      </c>
      <c r="BG94" s="105">
        <v>0</v>
      </c>
      <c r="BH94" s="118">
        <f t="shared" si="13"/>
        <v>0</v>
      </c>
      <c r="BI94" s="5">
        <v>0</v>
      </c>
      <c r="BJ94" s="118">
        <f t="shared" si="11"/>
        <v>0</v>
      </c>
      <c r="BK94" s="5">
        <v>0</v>
      </c>
      <c r="BL94" s="127">
        <f t="shared" ref="BL94:BL115" si="49">AN94*BK94</f>
        <v>0</v>
      </c>
      <c r="BM94" s="220" t="s">
        <v>581</v>
      </c>
      <c r="BO94" s="1" t="s">
        <v>573</v>
      </c>
      <c r="BP94" s="233" t="s">
        <v>582</v>
      </c>
      <c r="BQ94" s="233"/>
      <c r="BR94" s="234"/>
    </row>
    <row r="95" spans="1:70">
      <c r="A95" s="219" t="s">
        <v>451</v>
      </c>
      <c r="B95" s="106" t="s">
        <v>244</v>
      </c>
      <c r="C95" s="66" t="s">
        <v>175</v>
      </c>
      <c r="D95" s="284"/>
      <c r="E95" s="77" t="s">
        <v>253</v>
      </c>
      <c r="F95" s="282"/>
      <c r="G95" s="71" t="s">
        <v>202</v>
      </c>
      <c r="H95" s="70" t="s">
        <v>580</v>
      </c>
      <c r="I95" s="70" t="s">
        <v>381</v>
      </c>
      <c r="J95" s="71" t="s">
        <v>567</v>
      </c>
      <c r="K95" s="70" t="s">
        <v>250</v>
      </c>
      <c r="L95" s="69" t="s">
        <v>257</v>
      </c>
      <c r="M95" s="180" t="s">
        <v>568</v>
      </c>
      <c r="N95" s="68">
        <v>13.63</v>
      </c>
      <c r="O95" s="58">
        <v>13.63</v>
      </c>
      <c r="P95" s="144">
        <v>13.63</v>
      </c>
      <c r="Q95" s="144">
        <v>13.63</v>
      </c>
      <c r="R95" s="144">
        <v>13.63</v>
      </c>
      <c r="S95" s="144">
        <v>13.63</v>
      </c>
      <c r="T95" s="144">
        <v>13.63</v>
      </c>
      <c r="U95" s="144">
        <v>13.63</v>
      </c>
      <c r="V95" s="144">
        <v>13.63</v>
      </c>
      <c r="W95" s="144">
        <v>13.63</v>
      </c>
      <c r="X95" s="144">
        <v>13.63</v>
      </c>
      <c r="Y95" s="144">
        <v>13.63</v>
      </c>
      <c r="Z95" s="144">
        <v>13.63</v>
      </c>
      <c r="AA95" s="58">
        <v>13.63</v>
      </c>
      <c r="AB95" s="68">
        <v>0.56000000000000005</v>
      </c>
      <c r="AC95" s="144">
        <v>0.56000000000000005</v>
      </c>
      <c r="AD95" s="144">
        <v>0.56000000000000005</v>
      </c>
      <c r="AE95" s="144">
        <v>0.56000000000000005</v>
      </c>
      <c r="AF95" s="144">
        <v>0.56000000000000005</v>
      </c>
      <c r="AG95" s="144">
        <v>0.56000000000000005</v>
      </c>
      <c r="AH95" s="144">
        <v>0.56000000000000005</v>
      </c>
      <c r="AI95" s="144">
        <v>0.56000000000000005</v>
      </c>
      <c r="AJ95" s="144">
        <v>0.56000000000000005</v>
      </c>
      <c r="AK95" s="144">
        <v>0.56000000000000005</v>
      </c>
      <c r="AL95" s="144">
        <v>0.56000000000000005</v>
      </c>
      <c r="AM95" s="144">
        <v>0.56000000000000005</v>
      </c>
      <c r="AN95" s="153">
        <v>0.56000000000000005</v>
      </c>
      <c r="AO95" s="105">
        <v>0</v>
      </c>
      <c r="AP95" s="118">
        <f t="shared" si="48"/>
        <v>0</v>
      </c>
      <c r="AQ95" s="105">
        <v>0</v>
      </c>
      <c r="AR95" s="118">
        <f t="shared" si="2"/>
        <v>0</v>
      </c>
      <c r="AS95" s="105">
        <v>0</v>
      </c>
      <c r="AT95" s="127">
        <f t="shared" si="3"/>
        <v>0</v>
      </c>
      <c r="AU95" s="5">
        <v>0</v>
      </c>
      <c r="AV95" s="118">
        <f t="shared" si="4"/>
        <v>0</v>
      </c>
      <c r="AW95" s="105">
        <v>0</v>
      </c>
      <c r="AX95" s="118">
        <f t="shared" si="5"/>
        <v>0</v>
      </c>
      <c r="AY95" s="105">
        <v>0</v>
      </c>
      <c r="AZ95" s="127">
        <f t="shared" si="6"/>
        <v>0</v>
      </c>
      <c r="BA95" s="105">
        <v>0</v>
      </c>
      <c r="BB95" s="118">
        <f t="shared" si="7"/>
        <v>0</v>
      </c>
      <c r="BC95" s="105">
        <v>0</v>
      </c>
      <c r="BD95" s="118">
        <f t="shared" si="8"/>
        <v>0</v>
      </c>
      <c r="BE95" s="5">
        <v>0</v>
      </c>
      <c r="BF95" s="127">
        <f t="shared" si="9"/>
        <v>0</v>
      </c>
      <c r="BG95" s="105">
        <v>0</v>
      </c>
      <c r="BH95" s="118">
        <f t="shared" si="13"/>
        <v>0</v>
      </c>
      <c r="BI95" s="5">
        <v>0</v>
      </c>
      <c r="BJ95" s="118">
        <f t="shared" si="11"/>
        <v>0</v>
      </c>
      <c r="BK95" s="5">
        <v>0</v>
      </c>
      <c r="BL95" s="127">
        <f t="shared" si="49"/>
        <v>0</v>
      </c>
      <c r="BM95" s="220" t="s">
        <v>581</v>
      </c>
      <c r="BO95" s="1" t="s">
        <v>575</v>
      </c>
      <c r="BP95" s="233" t="s">
        <v>583</v>
      </c>
      <c r="BQ95" s="233"/>
      <c r="BR95" s="234"/>
    </row>
    <row r="96" spans="1:70">
      <c r="A96" s="219" t="s">
        <v>451</v>
      </c>
      <c r="B96" s="106" t="s">
        <v>244</v>
      </c>
      <c r="C96" s="66" t="s">
        <v>175</v>
      </c>
      <c r="D96" s="284"/>
      <c r="E96" s="77" t="s">
        <v>253</v>
      </c>
      <c r="F96" s="282"/>
      <c r="G96" s="71" t="s">
        <v>202</v>
      </c>
      <c r="H96" s="70" t="s">
        <v>580</v>
      </c>
      <c r="I96" s="70" t="s">
        <v>381</v>
      </c>
      <c r="J96" s="71" t="s">
        <v>567</v>
      </c>
      <c r="K96" s="70" t="s">
        <v>250</v>
      </c>
      <c r="L96" s="69" t="s">
        <v>257</v>
      </c>
      <c r="M96" s="180" t="s">
        <v>568</v>
      </c>
      <c r="N96" s="68">
        <v>13.63</v>
      </c>
      <c r="O96" s="58">
        <v>13.63</v>
      </c>
      <c r="P96" s="144">
        <v>13.63</v>
      </c>
      <c r="Q96" s="144">
        <v>13.63</v>
      </c>
      <c r="R96" s="144">
        <v>13.63</v>
      </c>
      <c r="S96" s="144">
        <v>13.63</v>
      </c>
      <c r="T96" s="144">
        <v>13.63</v>
      </c>
      <c r="U96" s="144">
        <v>13.63</v>
      </c>
      <c r="V96" s="144">
        <v>13.63</v>
      </c>
      <c r="W96" s="144">
        <v>13.63</v>
      </c>
      <c r="X96" s="144">
        <v>13.63</v>
      </c>
      <c r="Y96" s="144">
        <v>13.63</v>
      </c>
      <c r="Z96" s="144">
        <v>13.63</v>
      </c>
      <c r="AA96" s="58">
        <v>13.63</v>
      </c>
      <c r="AB96" s="68">
        <v>0.56000000000000005</v>
      </c>
      <c r="AC96" s="144">
        <v>0.56000000000000005</v>
      </c>
      <c r="AD96" s="144">
        <v>0.56000000000000005</v>
      </c>
      <c r="AE96" s="144">
        <v>0.56000000000000005</v>
      </c>
      <c r="AF96" s="144">
        <v>0.56000000000000005</v>
      </c>
      <c r="AG96" s="144">
        <v>0.56000000000000005</v>
      </c>
      <c r="AH96" s="144">
        <v>0.56000000000000005</v>
      </c>
      <c r="AI96" s="144">
        <v>0.56000000000000005</v>
      </c>
      <c r="AJ96" s="144">
        <v>0.56000000000000005</v>
      </c>
      <c r="AK96" s="144">
        <v>0.56000000000000005</v>
      </c>
      <c r="AL96" s="144">
        <v>0.56000000000000005</v>
      </c>
      <c r="AM96" s="144">
        <v>0.56000000000000005</v>
      </c>
      <c r="AN96" s="153">
        <v>0.56000000000000005</v>
      </c>
      <c r="AO96" s="105">
        <v>0</v>
      </c>
      <c r="AP96" s="118">
        <f t="shared" si="48"/>
        <v>0</v>
      </c>
      <c r="AQ96" s="105">
        <v>0</v>
      </c>
      <c r="AR96" s="118">
        <f t="shared" si="2"/>
        <v>0</v>
      </c>
      <c r="AS96" s="105">
        <v>0</v>
      </c>
      <c r="AT96" s="127">
        <f t="shared" si="3"/>
        <v>0</v>
      </c>
      <c r="AU96" s="5">
        <v>0</v>
      </c>
      <c r="AV96" s="118">
        <f t="shared" si="4"/>
        <v>0</v>
      </c>
      <c r="AW96" s="105">
        <v>0</v>
      </c>
      <c r="AX96" s="118">
        <f t="shared" si="5"/>
        <v>0</v>
      </c>
      <c r="AY96" s="105">
        <v>0</v>
      </c>
      <c r="AZ96" s="127">
        <f t="shared" si="6"/>
        <v>0</v>
      </c>
      <c r="BA96" s="105">
        <v>0</v>
      </c>
      <c r="BB96" s="118">
        <f t="shared" si="7"/>
        <v>0</v>
      </c>
      <c r="BC96" s="105">
        <v>0</v>
      </c>
      <c r="BD96" s="118">
        <f t="shared" si="8"/>
        <v>0</v>
      </c>
      <c r="BE96" s="5">
        <v>0</v>
      </c>
      <c r="BF96" s="127">
        <f t="shared" si="9"/>
        <v>0</v>
      </c>
      <c r="BG96" s="105">
        <v>0</v>
      </c>
      <c r="BH96" s="118">
        <f t="shared" si="13"/>
        <v>0</v>
      </c>
      <c r="BI96" s="5">
        <v>0</v>
      </c>
      <c r="BJ96" s="118">
        <f t="shared" si="11"/>
        <v>0</v>
      </c>
      <c r="BK96" s="5">
        <v>0</v>
      </c>
      <c r="BL96" s="127">
        <f t="shared" si="49"/>
        <v>0</v>
      </c>
      <c r="BM96" s="220" t="s">
        <v>581</v>
      </c>
      <c r="BO96" s="1" t="s">
        <v>570</v>
      </c>
      <c r="BP96" s="233" t="s">
        <v>584</v>
      </c>
      <c r="BQ96" s="233"/>
      <c r="BR96" s="234"/>
    </row>
    <row r="97" spans="1:70">
      <c r="A97" s="219" t="s">
        <v>451</v>
      </c>
      <c r="B97" s="106" t="s">
        <v>244</v>
      </c>
      <c r="C97" s="66" t="s">
        <v>175</v>
      </c>
      <c r="D97" s="284"/>
      <c r="E97" s="77" t="s">
        <v>253</v>
      </c>
      <c r="F97" s="282"/>
      <c r="G97" s="71" t="s">
        <v>202</v>
      </c>
      <c r="H97" s="70" t="s">
        <v>580</v>
      </c>
      <c r="I97" s="70" t="s">
        <v>381</v>
      </c>
      <c r="J97" s="71" t="s">
        <v>567</v>
      </c>
      <c r="K97" s="70" t="s">
        <v>250</v>
      </c>
      <c r="L97" s="69" t="s">
        <v>257</v>
      </c>
      <c r="M97" s="180" t="s">
        <v>568</v>
      </c>
      <c r="N97" s="68">
        <v>13.63</v>
      </c>
      <c r="O97" s="58">
        <v>13.63</v>
      </c>
      <c r="P97" s="144">
        <v>13.63</v>
      </c>
      <c r="Q97" s="144">
        <v>13.63</v>
      </c>
      <c r="R97" s="144">
        <v>13.63</v>
      </c>
      <c r="S97" s="144">
        <v>13.63</v>
      </c>
      <c r="T97" s="144">
        <v>13.63</v>
      </c>
      <c r="U97" s="144">
        <v>13.63</v>
      </c>
      <c r="V97" s="144">
        <v>13.63</v>
      </c>
      <c r="W97" s="144">
        <v>13.63</v>
      </c>
      <c r="X97" s="144">
        <v>13.63</v>
      </c>
      <c r="Y97" s="144">
        <v>13.63</v>
      </c>
      <c r="Z97" s="144">
        <v>13.63</v>
      </c>
      <c r="AA97" s="58">
        <v>13.63</v>
      </c>
      <c r="AB97" s="68">
        <v>0.56000000000000005</v>
      </c>
      <c r="AC97" s="144">
        <v>0.56000000000000005</v>
      </c>
      <c r="AD97" s="144">
        <v>0.56000000000000005</v>
      </c>
      <c r="AE97" s="144">
        <v>0.56000000000000005</v>
      </c>
      <c r="AF97" s="144">
        <v>0.56000000000000005</v>
      </c>
      <c r="AG97" s="144">
        <v>0.56000000000000005</v>
      </c>
      <c r="AH97" s="144">
        <v>0.56000000000000005</v>
      </c>
      <c r="AI97" s="144">
        <v>0.56000000000000005</v>
      </c>
      <c r="AJ97" s="144">
        <v>0.56000000000000005</v>
      </c>
      <c r="AK97" s="144">
        <v>0.56000000000000005</v>
      </c>
      <c r="AL97" s="144">
        <v>0.56000000000000005</v>
      </c>
      <c r="AM97" s="144">
        <v>0.56000000000000005</v>
      </c>
      <c r="AN97" s="153">
        <v>0.56000000000000005</v>
      </c>
      <c r="AO97" s="105">
        <v>0</v>
      </c>
      <c r="AP97" s="118">
        <f t="shared" si="48"/>
        <v>0</v>
      </c>
      <c r="AQ97" s="105">
        <v>0</v>
      </c>
      <c r="AR97" s="118">
        <f t="shared" si="2"/>
        <v>0</v>
      </c>
      <c r="AS97" s="105">
        <v>0</v>
      </c>
      <c r="AT97" s="127">
        <f t="shared" si="3"/>
        <v>0</v>
      </c>
      <c r="AU97" s="5">
        <v>0</v>
      </c>
      <c r="AV97" s="118">
        <f t="shared" si="4"/>
        <v>0</v>
      </c>
      <c r="AW97" s="105">
        <v>0</v>
      </c>
      <c r="AX97" s="118">
        <f t="shared" si="5"/>
        <v>0</v>
      </c>
      <c r="AY97" s="105">
        <v>0</v>
      </c>
      <c r="AZ97" s="127">
        <f t="shared" si="6"/>
        <v>0</v>
      </c>
      <c r="BA97" s="105">
        <v>0</v>
      </c>
      <c r="BB97" s="118">
        <f t="shared" si="7"/>
        <v>0</v>
      </c>
      <c r="BC97" s="105">
        <v>0</v>
      </c>
      <c r="BD97" s="118">
        <f t="shared" si="8"/>
        <v>0</v>
      </c>
      <c r="BE97" s="5">
        <v>0</v>
      </c>
      <c r="BF97" s="127">
        <f t="shared" si="9"/>
        <v>0</v>
      </c>
      <c r="BG97" s="105">
        <v>0</v>
      </c>
      <c r="BH97" s="118">
        <f t="shared" si="13"/>
        <v>0</v>
      </c>
      <c r="BI97" s="5">
        <v>0</v>
      </c>
      <c r="BJ97" s="118">
        <f t="shared" si="11"/>
        <v>0</v>
      </c>
      <c r="BK97" s="5">
        <v>0</v>
      </c>
      <c r="BL97" s="127">
        <f t="shared" si="49"/>
        <v>0</v>
      </c>
      <c r="BM97" s="220" t="s">
        <v>581</v>
      </c>
      <c r="BO97" s="1" t="s">
        <v>570</v>
      </c>
      <c r="BP97" s="233" t="s">
        <v>585</v>
      </c>
      <c r="BQ97" s="233"/>
      <c r="BR97" s="234"/>
    </row>
    <row r="98" spans="1:70">
      <c r="A98" s="219" t="s">
        <v>451</v>
      </c>
      <c r="B98" s="106" t="s">
        <v>244</v>
      </c>
      <c r="C98" s="66" t="s">
        <v>175</v>
      </c>
      <c r="D98" s="284"/>
      <c r="E98" s="77" t="s">
        <v>253</v>
      </c>
      <c r="F98" s="282"/>
      <c r="G98" s="71" t="s">
        <v>202</v>
      </c>
      <c r="H98" s="70" t="s">
        <v>580</v>
      </c>
      <c r="I98" s="70" t="s">
        <v>381</v>
      </c>
      <c r="J98" s="71" t="s">
        <v>567</v>
      </c>
      <c r="K98" s="70" t="s">
        <v>250</v>
      </c>
      <c r="L98" s="69" t="s">
        <v>257</v>
      </c>
      <c r="M98" s="180" t="s">
        <v>568</v>
      </c>
      <c r="N98" s="68">
        <v>13.63</v>
      </c>
      <c r="O98" s="58">
        <v>13.63</v>
      </c>
      <c r="P98" s="144">
        <v>13.63</v>
      </c>
      <c r="Q98" s="144">
        <v>13.63</v>
      </c>
      <c r="R98" s="144">
        <v>13.63</v>
      </c>
      <c r="S98" s="144">
        <v>13.63</v>
      </c>
      <c r="T98" s="144">
        <v>13.63</v>
      </c>
      <c r="U98" s="144">
        <v>13.63</v>
      </c>
      <c r="V98" s="144">
        <v>13.63</v>
      </c>
      <c r="W98" s="144">
        <v>13.63</v>
      </c>
      <c r="X98" s="144">
        <v>13.63</v>
      </c>
      <c r="Y98" s="144">
        <v>13.63</v>
      </c>
      <c r="Z98" s="144">
        <v>13.63</v>
      </c>
      <c r="AA98" s="58">
        <v>13.63</v>
      </c>
      <c r="AB98" s="68">
        <v>0.56000000000000005</v>
      </c>
      <c r="AC98" s="144">
        <v>0.56000000000000005</v>
      </c>
      <c r="AD98" s="144">
        <v>0.56000000000000005</v>
      </c>
      <c r="AE98" s="144">
        <v>0.56000000000000005</v>
      </c>
      <c r="AF98" s="144">
        <v>0.56000000000000005</v>
      </c>
      <c r="AG98" s="144">
        <v>0.56000000000000005</v>
      </c>
      <c r="AH98" s="144">
        <v>0.56000000000000005</v>
      </c>
      <c r="AI98" s="144">
        <v>0.56000000000000005</v>
      </c>
      <c r="AJ98" s="144">
        <v>0.56000000000000005</v>
      </c>
      <c r="AK98" s="144">
        <v>0.56000000000000005</v>
      </c>
      <c r="AL98" s="144">
        <v>0.56000000000000005</v>
      </c>
      <c r="AM98" s="144">
        <v>0.56000000000000005</v>
      </c>
      <c r="AN98" s="153">
        <v>0.56000000000000005</v>
      </c>
      <c r="AO98" s="105">
        <v>0</v>
      </c>
      <c r="AP98" s="118">
        <f t="shared" si="48"/>
        <v>0</v>
      </c>
      <c r="AQ98" s="105">
        <v>0</v>
      </c>
      <c r="AR98" s="118">
        <f t="shared" si="2"/>
        <v>0</v>
      </c>
      <c r="AS98" s="105">
        <v>0</v>
      </c>
      <c r="AT98" s="127">
        <f t="shared" si="3"/>
        <v>0</v>
      </c>
      <c r="AU98" s="5">
        <v>0</v>
      </c>
      <c r="AV98" s="118">
        <f t="shared" si="4"/>
        <v>0</v>
      </c>
      <c r="AW98" s="105">
        <v>0</v>
      </c>
      <c r="AX98" s="118">
        <f t="shared" si="5"/>
        <v>0</v>
      </c>
      <c r="AY98" s="105">
        <v>0</v>
      </c>
      <c r="AZ98" s="127">
        <f t="shared" si="6"/>
        <v>0</v>
      </c>
      <c r="BA98" s="105">
        <v>0</v>
      </c>
      <c r="BB98" s="118">
        <f t="shared" si="7"/>
        <v>0</v>
      </c>
      <c r="BC98" s="105">
        <v>0</v>
      </c>
      <c r="BD98" s="118">
        <f t="shared" si="8"/>
        <v>0</v>
      </c>
      <c r="BE98" s="5">
        <v>0</v>
      </c>
      <c r="BF98" s="127">
        <f t="shared" si="9"/>
        <v>0</v>
      </c>
      <c r="BG98" s="105">
        <v>0</v>
      </c>
      <c r="BH98" s="118">
        <f t="shared" si="13"/>
        <v>0</v>
      </c>
      <c r="BI98" s="5">
        <v>0</v>
      </c>
      <c r="BJ98" s="118">
        <f t="shared" si="11"/>
        <v>0</v>
      </c>
      <c r="BK98" s="5">
        <v>0</v>
      </c>
      <c r="BL98" s="127">
        <f t="shared" si="49"/>
        <v>0</v>
      </c>
      <c r="BM98" s="220" t="s">
        <v>581</v>
      </c>
      <c r="BO98" s="1" t="s">
        <v>570</v>
      </c>
      <c r="BP98" s="233" t="s">
        <v>586</v>
      </c>
      <c r="BQ98" s="233"/>
      <c r="BR98" s="234"/>
    </row>
    <row r="99" spans="1:70">
      <c r="A99" s="219" t="s">
        <v>451</v>
      </c>
      <c r="B99" s="106" t="s">
        <v>244</v>
      </c>
      <c r="C99" s="66" t="s">
        <v>175</v>
      </c>
      <c r="D99" s="284"/>
      <c r="E99" s="77" t="s">
        <v>253</v>
      </c>
      <c r="F99" s="282"/>
      <c r="G99" s="71" t="s">
        <v>202</v>
      </c>
      <c r="H99" s="70" t="s">
        <v>580</v>
      </c>
      <c r="I99" s="70" t="s">
        <v>381</v>
      </c>
      <c r="J99" s="71" t="s">
        <v>567</v>
      </c>
      <c r="K99" s="70" t="s">
        <v>250</v>
      </c>
      <c r="L99" s="69" t="s">
        <v>257</v>
      </c>
      <c r="M99" s="180" t="s">
        <v>568</v>
      </c>
      <c r="N99" s="68">
        <v>13.63</v>
      </c>
      <c r="O99" s="58">
        <v>13.63</v>
      </c>
      <c r="P99" s="144">
        <v>13.63</v>
      </c>
      <c r="Q99" s="144">
        <v>13.63</v>
      </c>
      <c r="R99" s="144">
        <v>13.63</v>
      </c>
      <c r="S99" s="144">
        <v>13.63</v>
      </c>
      <c r="T99" s="144">
        <v>13.63</v>
      </c>
      <c r="U99" s="144">
        <v>13.63</v>
      </c>
      <c r="V99" s="144">
        <v>13.63</v>
      </c>
      <c r="W99" s="144">
        <v>13.63</v>
      </c>
      <c r="X99" s="144">
        <v>13.63</v>
      </c>
      <c r="Y99" s="144">
        <v>13.63</v>
      </c>
      <c r="Z99" s="144">
        <v>13.63</v>
      </c>
      <c r="AA99" s="58">
        <v>13.63</v>
      </c>
      <c r="AB99" s="68">
        <v>0.56000000000000005</v>
      </c>
      <c r="AC99" s="144">
        <v>0.56000000000000005</v>
      </c>
      <c r="AD99" s="144">
        <v>0.56000000000000005</v>
      </c>
      <c r="AE99" s="144">
        <v>0.56000000000000005</v>
      </c>
      <c r="AF99" s="144">
        <v>0.56000000000000005</v>
      </c>
      <c r="AG99" s="144">
        <v>0.56000000000000005</v>
      </c>
      <c r="AH99" s="144">
        <v>0.56000000000000005</v>
      </c>
      <c r="AI99" s="144">
        <v>0.56000000000000005</v>
      </c>
      <c r="AJ99" s="144">
        <v>0.56000000000000005</v>
      </c>
      <c r="AK99" s="144">
        <v>0.56000000000000005</v>
      </c>
      <c r="AL99" s="144">
        <v>0.56000000000000005</v>
      </c>
      <c r="AM99" s="144">
        <v>0.56000000000000005</v>
      </c>
      <c r="AN99" s="153">
        <v>0.56000000000000005</v>
      </c>
      <c r="AO99" s="105">
        <v>0</v>
      </c>
      <c r="AP99" s="118">
        <f t="shared" si="48"/>
        <v>0</v>
      </c>
      <c r="AQ99" s="105">
        <v>0</v>
      </c>
      <c r="AR99" s="118">
        <f t="shared" si="2"/>
        <v>0</v>
      </c>
      <c r="AS99" s="105">
        <v>0</v>
      </c>
      <c r="AT99" s="127">
        <f t="shared" si="3"/>
        <v>0</v>
      </c>
      <c r="AU99" s="5">
        <v>0</v>
      </c>
      <c r="AV99" s="118">
        <f t="shared" si="4"/>
        <v>0</v>
      </c>
      <c r="AW99" s="105">
        <v>0</v>
      </c>
      <c r="AX99" s="118">
        <f t="shared" si="5"/>
        <v>0</v>
      </c>
      <c r="AY99" s="105">
        <v>0</v>
      </c>
      <c r="AZ99" s="127">
        <f t="shared" si="6"/>
        <v>0</v>
      </c>
      <c r="BA99" s="105">
        <v>0</v>
      </c>
      <c r="BB99" s="118">
        <f t="shared" si="7"/>
        <v>0</v>
      </c>
      <c r="BC99" s="105">
        <v>0</v>
      </c>
      <c r="BD99" s="118">
        <f t="shared" si="8"/>
        <v>0</v>
      </c>
      <c r="BE99" s="5">
        <v>0</v>
      </c>
      <c r="BF99" s="127">
        <f t="shared" si="9"/>
        <v>0</v>
      </c>
      <c r="BG99" s="105">
        <v>0</v>
      </c>
      <c r="BH99" s="118">
        <f t="shared" si="13"/>
        <v>0</v>
      </c>
      <c r="BI99" s="5">
        <v>0</v>
      </c>
      <c r="BJ99" s="118">
        <f t="shared" si="11"/>
        <v>0</v>
      </c>
      <c r="BK99" s="5">
        <v>0</v>
      </c>
      <c r="BL99" s="127">
        <f t="shared" si="49"/>
        <v>0</v>
      </c>
      <c r="BM99" s="220" t="s">
        <v>581</v>
      </c>
      <c r="BO99" s="1" t="s">
        <v>570</v>
      </c>
      <c r="BP99" s="233" t="s">
        <v>587</v>
      </c>
      <c r="BQ99" s="233"/>
      <c r="BR99" s="234"/>
    </row>
    <row r="100" spans="1:70">
      <c r="A100" s="219" t="s">
        <v>451</v>
      </c>
      <c r="B100" s="106" t="s">
        <v>244</v>
      </c>
      <c r="C100" s="66" t="s">
        <v>175</v>
      </c>
      <c r="D100" s="284"/>
      <c r="E100" s="77" t="s">
        <v>253</v>
      </c>
      <c r="F100" s="282"/>
      <c r="G100" s="71" t="s">
        <v>202</v>
      </c>
      <c r="H100" s="70" t="s">
        <v>580</v>
      </c>
      <c r="I100" s="70" t="s">
        <v>381</v>
      </c>
      <c r="J100" s="71" t="s">
        <v>567</v>
      </c>
      <c r="K100" s="70" t="s">
        <v>250</v>
      </c>
      <c r="L100" s="69" t="s">
        <v>257</v>
      </c>
      <c r="M100" s="180" t="s">
        <v>568</v>
      </c>
      <c r="N100" s="68">
        <v>13.63</v>
      </c>
      <c r="O100" s="58">
        <v>13.63</v>
      </c>
      <c r="P100" s="144">
        <v>13.63</v>
      </c>
      <c r="Q100" s="144">
        <v>13.63</v>
      </c>
      <c r="R100" s="144">
        <v>13.63</v>
      </c>
      <c r="S100" s="144">
        <v>13.63</v>
      </c>
      <c r="T100" s="144">
        <v>13.63</v>
      </c>
      <c r="U100" s="144">
        <v>13.63</v>
      </c>
      <c r="V100" s="144">
        <v>13.63</v>
      </c>
      <c r="W100" s="144">
        <v>13.63</v>
      </c>
      <c r="X100" s="144">
        <v>13.63</v>
      </c>
      <c r="Y100" s="144">
        <v>13.63</v>
      </c>
      <c r="Z100" s="144">
        <v>13.63</v>
      </c>
      <c r="AA100" s="58">
        <v>13.63</v>
      </c>
      <c r="AB100" s="68">
        <v>0.56000000000000005</v>
      </c>
      <c r="AC100" s="144">
        <v>0.56000000000000005</v>
      </c>
      <c r="AD100" s="144">
        <v>0.56000000000000005</v>
      </c>
      <c r="AE100" s="144">
        <v>0.56000000000000005</v>
      </c>
      <c r="AF100" s="144">
        <v>0.56000000000000005</v>
      </c>
      <c r="AG100" s="144">
        <v>0.56000000000000005</v>
      </c>
      <c r="AH100" s="144">
        <v>0.56000000000000005</v>
      </c>
      <c r="AI100" s="144">
        <v>0.56000000000000005</v>
      </c>
      <c r="AJ100" s="144">
        <v>0.56000000000000005</v>
      </c>
      <c r="AK100" s="144">
        <v>0.56000000000000005</v>
      </c>
      <c r="AL100" s="144">
        <v>0.56000000000000005</v>
      </c>
      <c r="AM100" s="144">
        <v>0.56000000000000005</v>
      </c>
      <c r="AN100" s="153">
        <v>0.56000000000000005</v>
      </c>
      <c r="AO100" s="105">
        <v>0</v>
      </c>
      <c r="AP100" s="118">
        <f t="shared" si="48"/>
        <v>0</v>
      </c>
      <c r="AQ100" s="105">
        <v>0</v>
      </c>
      <c r="AR100" s="118">
        <f t="shared" si="2"/>
        <v>0</v>
      </c>
      <c r="AS100" s="105">
        <v>0</v>
      </c>
      <c r="AT100" s="127">
        <f t="shared" si="3"/>
        <v>0</v>
      </c>
      <c r="AU100" s="5">
        <v>0</v>
      </c>
      <c r="AV100" s="118">
        <f t="shared" si="4"/>
        <v>0</v>
      </c>
      <c r="AW100" s="105">
        <v>0</v>
      </c>
      <c r="AX100" s="118">
        <f t="shared" si="5"/>
        <v>0</v>
      </c>
      <c r="AY100" s="105">
        <v>0</v>
      </c>
      <c r="AZ100" s="127">
        <f t="shared" si="6"/>
        <v>0</v>
      </c>
      <c r="BA100" s="105">
        <v>0</v>
      </c>
      <c r="BB100" s="118">
        <f t="shared" si="7"/>
        <v>0</v>
      </c>
      <c r="BC100" s="105">
        <v>0</v>
      </c>
      <c r="BD100" s="118">
        <f t="shared" si="8"/>
        <v>0</v>
      </c>
      <c r="BE100" s="5">
        <v>1000</v>
      </c>
      <c r="BF100" s="127">
        <f t="shared" si="9"/>
        <v>560</v>
      </c>
      <c r="BG100" s="105">
        <v>0</v>
      </c>
      <c r="BH100" s="118">
        <f t="shared" ref="BH100:BH163" si="50">AL100*BG100</f>
        <v>0</v>
      </c>
      <c r="BI100" s="5">
        <v>0</v>
      </c>
      <c r="BJ100" s="118">
        <f t="shared" si="11"/>
        <v>0</v>
      </c>
      <c r="BK100" s="5">
        <v>0</v>
      </c>
      <c r="BL100" s="127">
        <f t="shared" si="49"/>
        <v>0</v>
      </c>
      <c r="BM100" s="220" t="s">
        <v>581</v>
      </c>
      <c r="BO100" s="1" t="s">
        <v>570</v>
      </c>
      <c r="BP100" s="233" t="s">
        <v>588</v>
      </c>
      <c r="BQ100" s="233"/>
      <c r="BR100" s="234"/>
    </row>
    <row r="101" spans="1:70">
      <c r="A101" s="219" t="s">
        <v>451</v>
      </c>
      <c r="B101" s="106" t="s">
        <v>244</v>
      </c>
      <c r="C101" s="66" t="s">
        <v>175</v>
      </c>
      <c r="D101" s="284"/>
      <c r="E101" s="77" t="s">
        <v>253</v>
      </c>
      <c r="F101" s="282"/>
      <c r="G101" s="71" t="s">
        <v>202</v>
      </c>
      <c r="H101" s="70" t="s">
        <v>580</v>
      </c>
      <c r="I101" s="70" t="s">
        <v>381</v>
      </c>
      <c r="J101" s="71" t="s">
        <v>567</v>
      </c>
      <c r="K101" s="70" t="s">
        <v>250</v>
      </c>
      <c r="L101" s="69" t="s">
        <v>257</v>
      </c>
      <c r="M101" s="180" t="s">
        <v>568</v>
      </c>
      <c r="N101" s="68">
        <v>13.63</v>
      </c>
      <c r="O101" s="58">
        <v>13.63</v>
      </c>
      <c r="P101" s="144">
        <v>13.63</v>
      </c>
      <c r="Q101" s="144">
        <v>13.63</v>
      </c>
      <c r="R101" s="144">
        <v>13.63</v>
      </c>
      <c r="S101" s="144">
        <v>13.63</v>
      </c>
      <c r="T101" s="144">
        <v>13.63</v>
      </c>
      <c r="U101" s="144">
        <v>13.63</v>
      </c>
      <c r="V101" s="144">
        <v>13.63</v>
      </c>
      <c r="W101" s="144">
        <v>13.63</v>
      </c>
      <c r="X101" s="144">
        <v>13.63</v>
      </c>
      <c r="Y101" s="144">
        <v>13.63</v>
      </c>
      <c r="Z101" s="144">
        <v>13.63</v>
      </c>
      <c r="AA101" s="58">
        <v>13.63</v>
      </c>
      <c r="AB101" s="68">
        <v>0.56000000000000005</v>
      </c>
      <c r="AC101" s="144">
        <v>0.56000000000000005</v>
      </c>
      <c r="AD101" s="144">
        <v>0.56000000000000005</v>
      </c>
      <c r="AE101" s="144">
        <v>0.56000000000000005</v>
      </c>
      <c r="AF101" s="144">
        <v>0.56000000000000005</v>
      </c>
      <c r="AG101" s="144">
        <v>0.56000000000000005</v>
      </c>
      <c r="AH101" s="144">
        <v>0.56000000000000005</v>
      </c>
      <c r="AI101" s="144">
        <v>0.56000000000000005</v>
      </c>
      <c r="AJ101" s="144">
        <v>0.56000000000000005</v>
      </c>
      <c r="AK101" s="144">
        <v>0.56000000000000005</v>
      </c>
      <c r="AL101" s="144">
        <v>0.56000000000000005</v>
      </c>
      <c r="AM101" s="144">
        <v>0.56000000000000005</v>
      </c>
      <c r="AN101" s="153">
        <v>0.56000000000000005</v>
      </c>
      <c r="AO101" s="105">
        <v>0</v>
      </c>
      <c r="AP101" s="118">
        <f t="shared" si="48"/>
        <v>0</v>
      </c>
      <c r="AQ101" s="105">
        <v>0</v>
      </c>
      <c r="AR101" s="118">
        <f t="shared" si="2"/>
        <v>0</v>
      </c>
      <c r="AS101" s="105">
        <v>0</v>
      </c>
      <c r="AT101" s="127">
        <f t="shared" si="3"/>
        <v>0</v>
      </c>
      <c r="AU101" s="5">
        <v>0</v>
      </c>
      <c r="AV101" s="118">
        <f t="shared" si="4"/>
        <v>0</v>
      </c>
      <c r="AW101" s="105">
        <v>0</v>
      </c>
      <c r="AX101" s="118">
        <f t="shared" si="5"/>
        <v>0</v>
      </c>
      <c r="AY101" s="105">
        <v>0</v>
      </c>
      <c r="AZ101" s="127">
        <f t="shared" si="6"/>
        <v>0</v>
      </c>
      <c r="BA101" s="105">
        <v>0</v>
      </c>
      <c r="BB101" s="118">
        <f t="shared" si="7"/>
        <v>0</v>
      </c>
      <c r="BC101" s="105">
        <v>0</v>
      </c>
      <c r="BD101" s="118">
        <f t="shared" si="8"/>
        <v>0</v>
      </c>
      <c r="BE101" s="5">
        <v>0</v>
      </c>
      <c r="BF101" s="127">
        <f t="shared" si="9"/>
        <v>0</v>
      </c>
      <c r="BG101" s="105">
        <v>0</v>
      </c>
      <c r="BH101" s="118">
        <f t="shared" si="50"/>
        <v>0</v>
      </c>
      <c r="BI101" s="5">
        <v>0</v>
      </c>
      <c r="BJ101" s="118">
        <f t="shared" si="11"/>
        <v>0</v>
      </c>
      <c r="BK101" s="5">
        <v>0</v>
      </c>
      <c r="BL101" s="127">
        <f t="shared" si="49"/>
        <v>0</v>
      </c>
      <c r="BM101" s="220" t="s">
        <v>581</v>
      </c>
      <c r="BO101" s="1" t="s">
        <v>570</v>
      </c>
      <c r="BP101" s="233" t="s">
        <v>589</v>
      </c>
      <c r="BQ101" s="233"/>
      <c r="BR101" s="234"/>
    </row>
    <row r="102" spans="1:70">
      <c r="A102" s="219" t="s">
        <v>451</v>
      </c>
      <c r="B102" s="106" t="s">
        <v>244</v>
      </c>
      <c r="C102" s="66" t="s">
        <v>175</v>
      </c>
      <c r="D102" s="284"/>
      <c r="E102" s="77" t="s">
        <v>253</v>
      </c>
      <c r="F102" s="282"/>
      <c r="G102" s="71" t="s">
        <v>202</v>
      </c>
      <c r="H102" s="70" t="s">
        <v>580</v>
      </c>
      <c r="I102" s="70" t="s">
        <v>381</v>
      </c>
      <c r="J102" s="71" t="s">
        <v>567</v>
      </c>
      <c r="K102" s="70" t="s">
        <v>250</v>
      </c>
      <c r="L102" s="69" t="s">
        <v>257</v>
      </c>
      <c r="M102" s="180" t="s">
        <v>568</v>
      </c>
      <c r="N102" s="68">
        <v>13.63</v>
      </c>
      <c r="O102" s="58">
        <v>13.63</v>
      </c>
      <c r="P102" s="144">
        <v>13.63</v>
      </c>
      <c r="Q102" s="144">
        <v>13.63</v>
      </c>
      <c r="R102" s="144">
        <v>13.63</v>
      </c>
      <c r="S102" s="144">
        <v>13.63</v>
      </c>
      <c r="T102" s="144">
        <v>13.63</v>
      </c>
      <c r="U102" s="144">
        <v>13.63</v>
      </c>
      <c r="V102" s="144">
        <v>13.63</v>
      </c>
      <c r="W102" s="144">
        <v>13.63</v>
      </c>
      <c r="X102" s="144">
        <v>13.63</v>
      </c>
      <c r="Y102" s="144">
        <v>13.63</v>
      </c>
      <c r="Z102" s="144">
        <v>13.63</v>
      </c>
      <c r="AA102" s="58">
        <v>13.63</v>
      </c>
      <c r="AB102" s="68">
        <v>0.56000000000000005</v>
      </c>
      <c r="AC102" s="144">
        <v>0.56000000000000005</v>
      </c>
      <c r="AD102" s="144">
        <v>0.56000000000000005</v>
      </c>
      <c r="AE102" s="144">
        <v>0.56000000000000005</v>
      </c>
      <c r="AF102" s="144">
        <v>0.56000000000000005</v>
      </c>
      <c r="AG102" s="144">
        <v>0.56000000000000005</v>
      </c>
      <c r="AH102" s="144">
        <v>0.56000000000000005</v>
      </c>
      <c r="AI102" s="144">
        <v>0.56000000000000005</v>
      </c>
      <c r="AJ102" s="144">
        <v>0.56000000000000005</v>
      </c>
      <c r="AK102" s="144">
        <v>0.56000000000000005</v>
      </c>
      <c r="AL102" s="144">
        <v>0.56000000000000005</v>
      </c>
      <c r="AM102" s="144">
        <v>0.56000000000000005</v>
      </c>
      <c r="AN102" s="153">
        <v>0.56000000000000005</v>
      </c>
      <c r="AO102" s="105">
        <v>0</v>
      </c>
      <c r="AP102" s="118">
        <f t="shared" si="48"/>
        <v>0</v>
      </c>
      <c r="AQ102" s="105">
        <v>0</v>
      </c>
      <c r="AR102" s="118">
        <f t="shared" si="2"/>
        <v>0</v>
      </c>
      <c r="AS102" s="105">
        <v>0</v>
      </c>
      <c r="AT102" s="127">
        <f t="shared" si="3"/>
        <v>0</v>
      </c>
      <c r="AU102" s="5">
        <v>0</v>
      </c>
      <c r="AV102" s="118">
        <f t="shared" si="4"/>
        <v>0</v>
      </c>
      <c r="AW102" s="105">
        <v>0</v>
      </c>
      <c r="AX102" s="118">
        <f t="shared" si="5"/>
        <v>0</v>
      </c>
      <c r="AY102" s="105">
        <v>0</v>
      </c>
      <c r="AZ102" s="127">
        <f t="shared" si="6"/>
        <v>0</v>
      </c>
      <c r="BA102" s="105">
        <v>0</v>
      </c>
      <c r="BB102" s="118">
        <f t="shared" si="7"/>
        <v>0</v>
      </c>
      <c r="BC102" s="105">
        <v>0</v>
      </c>
      <c r="BD102" s="118">
        <f t="shared" si="8"/>
        <v>0</v>
      </c>
      <c r="BE102" s="5">
        <v>0</v>
      </c>
      <c r="BF102" s="127">
        <f t="shared" si="9"/>
        <v>0</v>
      </c>
      <c r="BG102" s="105">
        <v>0</v>
      </c>
      <c r="BH102" s="118">
        <f t="shared" si="50"/>
        <v>0</v>
      </c>
      <c r="BI102" s="5">
        <v>0</v>
      </c>
      <c r="BJ102" s="118">
        <f t="shared" si="11"/>
        <v>0</v>
      </c>
      <c r="BK102" s="5">
        <v>0</v>
      </c>
      <c r="BL102" s="127">
        <f t="shared" si="49"/>
        <v>0</v>
      </c>
      <c r="BM102" s="220" t="s">
        <v>581</v>
      </c>
      <c r="BO102" s="1" t="s">
        <v>570</v>
      </c>
      <c r="BP102" s="233" t="s">
        <v>590</v>
      </c>
      <c r="BQ102" s="233"/>
      <c r="BR102" s="234"/>
    </row>
    <row r="103" spans="1:70">
      <c r="A103" s="219" t="s">
        <v>451</v>
      </c>
      <c r="B103" s="106" t="s">
        <v>244</v>
      </c>
      <c r="C103" s="66" t="s">
        <v>175</v>
      </c>
      <c r="D103" s="284"/>
      <c r="E103" s="77" t="s">
        <v>253</v>
      </c>
      <c r="F103" s="282"/>
      <c r="G103" s="71" t="s">
        <v>202</v>
      </c>
      <c r="H103" s="70" t="s">
        <v>580</v>
      </c>
      <c r="I103" s="70" t="s">
        <v>381</v>
      </c>
      <c r="J103" s="71" t="s">
        <v>567</v>
      </c>
      <c r="K103" s="70" t="s">
        <v>250</v>
      </c>
      <c r="L103" s="69" t="s">
        <v>257</v>
      </c>
      <c r="M103" s="180" t="s">
        <v>568</v>
      </c>
      <c r="N103" s="68">
        <v>13.63</v>
      </c>
      <c r="O103" s="58">
        <v>13.63</v>
      </c>
      <c r="P103" s="144">
        <v>13.63</v>
      </c>
      <c r="Q103" s="144">
        <v>13.63</v>
      </c>
      <c r="R103" s="144">
        <v>13.63</v>
      </c>
      <c r="S103" s="144">
        <v>13.63</v>
      </c>
      <c r="T103" s="144">
        <v>13.63</v>
      </c>
      <c r="U103" s="144">
        <v>13.63</v>
      </c>
      <c r="V103" s="144">
        <v>13.63</v>
      </c>
      <c r="W103" s="144">
        <v>13.63</v>
      </c>
      <c r="X103" s="144">
        <v>13.63</v>
      </c>
      <c r="Y103" s="144">
        <v>13.63</v>
      </c>
      <c r="Z103" s="144">
        <v>13.63</v>
      </c>
      <c r="AA103" s="58">
        <v>13.63</v>
      </c>
      <c r="AB103" s="68">
        <v>0.56000000000000005</v>
      </c>
      <c r="AC103" s="144">
        <v>0.56000000000000005</v>
      </c>
      <c r="AD103" s="144">
        <v>0.56000000000000005</v>
      </c>
      <c r="AE103" s="144">
        <v>0.56000000000000005</v>
      </c>
      <c r="AF103" s="144">
        <v>0.56000000000000005</v>
      </c>
      <c r="AG103" s="144">
        <v>0.56000000000000005</v>
      </c>
      <c r="AH103" s="144">
        <v>0.56000000000000005</v>
      </c>
      <c r="AI103" s="144">
        <v>0.56000000000000005</v>
      </c>
      <c r="AJ103" s="144">
        <v>0.56000000000000005</v>
      </c>
      <c r="AK103" s="144">
        <v>0.56000000000000005</v>
      </c>
      <c r="AL103" s="144">
        <v>0.56000000000000005</v>
      </c>
      <c r="AM103" s="144">
        <v>0.56000000000000005</v>
      </c>
      <c r="AN103" s="153">
        <v>0.56000000000000005</v>
      </c>
      <c r="AO103" s="105">
        <v>0</v>
      </c>
      <c r="AP103" s="118">
        <f t="shared" si="48"/>
        <v>0</v>
      </c>
      <c r="AQ103" s="105">
        <v>0</v>
      </c>
      <c r="AR103" s="118">
        <f t="shared" si="2"/>
        <v>0</v>
      </c>
      <c r="AS103" s="105">
        <v>0</v>
      </c>
      <c r="AT103" s="127">
        <f t="shared" si="3"/>
        <v>0</v>
      </c>
      <c r="AU103" s="5">
        <v>0</v>
      </c>
      <c r="AV103" s="118">
        <f t="shared" si="4"/>
        <v>0</v>
      </c>
      <c r="AW103" s="105">
        <v>0</v>
      </c>
      <c r="AX103" s="118">
        <f t="shared" si="5"/>
        <v>0</v>
      </c>
      <c r="AY103" s="105">
        <v>0</v>
      </c>
      <c r="AZ103" s="127">
        <f t="shared" si="6"/>
        <v>0</v>
      </c>
      <c r="BA103" s="105">
        <v>0</v>
      </c>
      <c r="BB103" s="118">
        <f t="shared" si="7"/>
        <v>0</v>
      </c>
      <c r="BC103" s="105">
        <v>0</v>
      </c>
      <c r="BD103" s="118">
        <f t="shared" si="8"/>
        <v>0</v>
      </c>
      <c r="BE103" s="5">
        <v>0</v>
      </c>
      <c r="BF103" s="127">
        <f t="shared" si="9"/>
        <v>0</v>
      </c>
      <c r="BG103" s="105">
        <v>0</v>
      </c>
      <c r="BH103" s="118">
        <f t="shared" si="50"/>
        <v>0</v>
      </c>
      <c r="BI103" s="5">
        <v>0</v>
      </c>
      <c r="BJ103" s="118">
        <f t="shared" si="11"/>
        <v>0</v>
      </c>
      <c r="BK103" s="5">
        <v>0</v>
      </c>
      <c r="BL103" s="127">
        <f t="shared" si="49"/>
        <v>0</v>
      </c>
      <c r="BM103" s="220" t="s">
        <v>581</v>
      </c>
      <c r="BO103" s="1" t="s">
        <v>570</v>
      </c>
      <c r="BP103" s="233" t="s">
        <v>591</v>
      </c>
      <c r="BQ103" s="233"/>
      <c r="BR103" s="234"/>
    </row>
    <row r="104" spans="1:70">
      <c r="A104" s="219" t="s">
        <v>451</v>
      </c>
      <c r="B104" s="106" t="s">
        <v>244</v>
      </c>
      <c r="C104" s="66" t="s">
        <v>175</v>
      </c>
      <c r="D104" s="284"/>
      <c r="E104" s="77" t="s">
        <v>253</v>
      </c>
      <c r="F104" s="282"/>
      <c r="G104" s="71" t="s">
        <v>202</v>
      </c>
      <c r="H104" s="70" t="s">
        <v>580</v>
      </c>
      <c r="I104" s="70" t="s">
        <v>381</v>
      </c>
      <c r="J104" s="71" t="s">
        <v>567</v>
      </c>
      <c r="K104" s="70" t="s">
        <v>250</v>
      </c>
      <c r="L104" s="69" t="s">
        <v>257</v>
      </c>
      <c r="M104" s="180" t="s">
        <v>577</v>
      </c>
      <c r="N104" s="68">
        <v>13.63</v>
      </c>
      <c r="O104" s="58">
        <v>13.63</v>
      </c>
      <c r="P104" s="144">
        <v>13.63</v>
      </c>
      <c r="Q104" s="144">
        <v>13.63</v>
      </c>
      <c r="R104" s="144">
        <v>13.63</v>
      </c>
      <c r="S104" s="144">
        <v>13.63</v>
      </c>
      <c r="T104" s="144">
        <v>13.63</v>
      </c>
      <c r="U104" s="144">
        <v>13.63</v>
      </c>
      <c r="V104" s="144">
        <v>13.63</v>
      </c>
      <c r="W104" s="144">
        <v>13.63</v>
      </c>
      <c r="X104" s="144">
        <v>13.63</v>
      </c>
      <c r="Y104" s="144">
        <v>13.63</v>
      </c>
      <c r="Z104" s="144">
        <v>13.63</v>
      </c>
      <c r="AA104" s="58">
        <v>13.63</v>
      </c>
      <c r="AB104" s="68">
        <v>0.56000000000000005</v>
      </c>
      <c r="AC104" s="144">
        <v>0.56000000000000005</v>
      </c>
      <c r="AD104" s="144">
        <v>0.56000000000000005</v>
      </c>
      <c r="AE104" s="144">
        <v>0.56000000000000005</v>
      </c>
      <c r="AF104" s="144">
        <v>0.56000000000000005</v>
      </c>
      <c r="AG104" s="144">
        <v>0.56000000000000005</v>
      </c>
      <c r="AH104" s="144">
        <v>0.56000000000000005</v>
      </c>
      <c r="AI104" s="144">
        <v>0.56000000000000005</v>
      </c>
      <c r="AJ104" s="144">
        <v>0.56000000000000005</v>
      </c>
      <c r="AK104" s="144">
        <v>0.56000000000000005</v>
      </c>
      <c r="AL104" s="144">
        <v>0.56000000000000005</v>
      </c>
      <c r="AM104" s="144">
        <v>0.56000000000000005</v>
      </c>
      <c r="AN104" s="153">
        <v>0.56000000000000005</v>
      </c>
      <c r="AO104" s="105">
        <v>0</v>
      </c>
      <c r="AP104" s="118">
        <f t="shared" si="48"/>
        <v>0</v>
      </c>
      <c r="AQ104" s="105">
        <v>0</v>
      </c>
      <c r="AR104" s="118">
        <f t="shared" si="2"/>
        <v>0</v>
      </c>
      <c r="AS104" s="105">
        <v>0</v>
      </c>
      <c r="AT104" s="127">
        <f t="shared" si="3"/>
        <v>0</v>
      </c>
      <c r="AU104" s="5">
        <v>0</v>
      </c>
      <c r="AV104" s="118">
        <f t="shared" si="4"/>
        <v>0</v>
      </c>
      <c r="AW104" s="105">
        <v>0</v>
      </c>
      <c r="AX104" s="118">
        <f t="shared" si="5"/>
        <v>0</v>
      </c>
      <c r="AY104" s="105">
        <v>0</v>
      </c>
      <c r="AZ104" s="127">
        <f t="shared" si="6"/>
        <v>0</v>
      </c>
      <c r="BA104" s="105">
        <v>0</v>
      </c>
      <c r="BB104" s="118">
        <f t="shared" si="7"/>
        <v>0</v>
      </c>
      <c r="BC104" s="105">
        <v>1000</v>
      </c>
      <c r="BD104" s="118">
        <f t="shared" si="8"/>
        <v>560</v>
      </c>
      <c r="BE104" s="5">
        <v>2400</v>
      </c>
      <c r="BF104" s="127">
        <f t="shared" si="9"/>
        <v>1344.0000000000002</v>
      </c>
      <c r="BG104" s="105">
        <v>1000</v>
      </c>
      <c r="BH104" s="118">
        <f t="shared" si="50"/>
        <v>560</v>
      </c>
      <c r="BI104" s="5">
        <v>1000</v>
      </c>
      <c r="BJ104" s="118">
        <f t="shared" si="11"/>
        <v>560</v>
      </c>
      <c r="BK104" s="5">
        <v>0</v>
      </c>
      <c r="BL104" s="127">
        <f t="shared" si="49"/>
        <v>0</v>
      </c>
      <c r="BM104" s="220" t="s">
        <v>581</v>
      </c>
      <c r="BO104" s="1" t="s">
        <v>578</v>
      </c>
      <c r="BP104" s="233" t="s">
        <v>592</v>
      </c>
      <c r="BQ104" s="233"/>
      <c r="BR104" s="234"/>
    </row>
    <row r="105" spans="1:70">
      <c r="A105" s="219" t="s">
        <v>451</v>
      </c>
      <c r="B105" s="106" t="s">
        <v>244</v>
      </c>
      <c r="C105" s="66" t="s">
        <v>175</v>
      </c>
      <c r="D105" s="284"/>
      <c r="E105" s="77" t="s">
        <v>253</v>
      </c>
      <c r="F105" s="282"/>
      <c r="G105" s="71" t="s">
        <v>202</v>
      </c>
      <c r="H105" s="70" t="s">
        <v>580</v>
      </c>
      <c r="I105" s="70" t="s">
        <v>381</v>
      </c>
      <c r="J105" s="71" t="s">
        <v>567</v>
      </c>
      <c r="K105" s="70" t="s">
        <v>250</v>
      </c>
      <c r="L105" s="69" t="s">
        <v>257</v>
      </c>
      <c r="M105" s="180" t="s">
        <v>568</v>
      </c>
      <c r="N105" s="68">
        <v>13.63</v>
      </c>
      <c r="O105" s="58">
        <v>13.63</v>
      </c>
      <c r="P105" s="144">
        <v>13.63</v>
      </c>
      <c r="Q105" s="144">
        <v>13.63</v>
      </c>
      <c r="R105" s="144">
        <v>13.63</v>
      </c>
      <c r="S105" s="144">
        <v>13.63</v>
      </c>
      <c r="T105" s="144">
        <v>13.63</v>
      </c>
      <c r="U105" s="144">
        <v>13.63</v>
      </c>
      <c r="V105" s="144">
        <v>13.63</v>
      </c>
      <c r="W105" s="144">
        <v>13.63</v>
      </c>
      <c r="X105" s="144">
        <v>13.63</v>
      </c>
      <c r="Y105" s="144">
        <v>13.63</v>
      </c>
      <c r="Z105" s="144">
        <v>13.63</v>
      </c>
      <c r="AA105" s="58">
        <v>13.63</v>
      </c>
      <c r="AB105" s="68">
        <v>0.56000000000000005</v>
      </c>
      <c r="AC105" s="144">
        <v>0.56000000000000005</v>
      </c>
      <c r="AD105" s="144">
        <v>0.56000000000000005</v>
      </c>
      <c r="AE105" s="144">
        <v>0.56000000000000005</v>
      </c>
      <c r="AF105" s="144">
        <v>0.56000000000000005</v>
      </c>
      <c r="AG105" s="144">
        <v>0.56000000000000005</v>
      </c>
      <c r="AH105" s="144">
        <v>0.56000000000000005</v>
      </c>
      <c r="AI105" s="144">
        <v>0.56000000000000005</v>
      </c>
      <c r="AJ105" s="144">
        <v>0.56000000000000005</v>
      </c>
      <c r="AK105" s="144">
        <v>0.56000000000000005</v>
      </c>
      <c r="AL105" s="144">
        <v>0.56000000000000005</v>
      </c>
      <c r="AM105" s="144">
        <v>0.56000000000000005</v>
      </c>
      <c r="AN105" s="153">
        <v>0.56000000000000005</v>
      </c>
      <c r="AO105" s="105">
        <v>0</v>
      </c>
      <c r="AP105" s="118">
        <f t="shared" si="48"/>
        <v>0</v>
      </c>
      <c r="AQ105" s="105">
        <v>0</v>
      </c>
      <c r="AR105" s="118">
        <f t="shared" si="2"/>
        <v>0</v>
      </c>
      <c r="AS105" s="105">
        <v>0</v>
      </c>
      <c r="AT105" s="127">
        <f t="shared" si="3"/>
        <v>0</v>
      </c>
      <c r="AU105" s="5">
        <v>0</v>
      </c>
      <c r="AV105" s="118">
        <f t="shared" si="4"/>
        <v>0</v>
      </c>
      <c r="AW105" s="105">
        <v>0</v>
      </c>
      <c r="AX105" s="118">
        <f t="shared" si="5"/>
        <v>0</v>
      </c>
      <c r="AY105" s="105">
        <v>0</v>
      </c>
      <c r="AZ105" s="127">
        <f t="shared" si="6"/>
        <v>0</v>
      </c>
      <c r="BA105" s="105">
        <v>0</v>
      </c>
      <c r="BB105" s="118">
        <f t="shared" si="7"/>
        <v>0</v>
      </c>
      <c r="BC105" s="105">
        <v>0</v>
      </c>
      <c r="BD105" s="118">
        <f t="shared" si="8"/>
        <v>0</v>
      </c>
      <c r="BE105" s="5">
        <v>0</v>
      </c>
      <c r="BF105" s="127">
        <f t="shared" si="9"/>
        <v>0</v>
      </c>
      <c r="BG105" s="105">
        <v>0</v>
      </c>
      <c r="BH105" s="118">
        <f t="shared" si="50"/>
        <v>0</v>
      </c>
      <c r="BI105" s="5">
        <v>0</v>
      </c>
      <c r="BJ105" s="118">
        <f t="shared" si="11"/>
        <v>0</v>
      </c>
      <c r="BK105" s="5">
        <v>0</v>
      </c>
      <c r="BL105" s="127">
        <f t="shared" si="49"/>
        <v>0</v>
      </c>
      <c r="BM105" s="220" t="s">
        <v>581</v>
      </c>
      <c r="BO105" s="1" t="s">
        <v>573</v>
      </c>
      <c r="BP105" s="233" t="s">
        <v>593</v>
      </c>
      <c r="BQ105" s="233"/>
      <c r="BR105" s="234"/>
    </row>
    <row r="106" spans="1:70">
      <c r="A106" s="219" t="s">
        <v>451</v>
      </c>
      <c r="B106" s="106" t="s">
        <v>244</v>
      </c>
      <c r="C106" s="66" t="s">
        <v>175</v>
      </c>
      <c r="D106" s="284"/>
      <c r="E106" s="77" t="s">
        <v>253</v>
      </c>
      <c r="F106" s="282"/>
      <c r="G106" s="71" t="s">
        <v>202</v>
      </c>
      <c r="H106" s="70" t="s">
        <v>580</v>
      </c>
      <c r="I106" s="70" t="s">
        <v>381</v>
      </c>
      <c r="J106" s="71" t="s">
        <v>567</v>
      </c>
      <c r="K106" s="70" t="s">
        <v>250</v>
      </c>
      <c r="L106" s="69" t="s">
        <v>257</v>
      </c>
      <c r="M106" s="180" t="s">
        <v>568</v>
      </c>
      <c r="N106" s="68">
        <v>13.63</v>
      </c>
      <c r="O106" s="58">
        <v>13.63</v>
      </c>
      <c r="P106" s="144">
        <v>13.63</v>
      </c>
      <c r="Q106" s="144">
        <v>13.63</v>
      </c>
      <c r="R106" s="144">
        <v>13.63</v>
      </c>
      <c r="S106" s="144">
        <v>13.63</v>
      </c>
      <c r="T106" s="144">
        <v>13.63</v>
      </c>
      <c r="U106" s="144">
        <v>13.63</v>
      </c>
      <c r="V106" s="144">
        <v>13.63</v>
      </c>
      <c r="W106" s="144">
        <v>13.63</v>
      </c>
      <c r="X106" s="144">
        <v>13.63</v>
      </c>
      <c r="Y106" s="144">
        <v>13.63</v>
      </c>
      <c r="Z106" s="144">
        <v>13.63</v>
      </c>
      <c r="AA106" s="58">
        <v>13.63</v>
      </c>
      <c r="AB106" s="68">
        <v>0.56000000000000005</v>
      </c>
      <c r="AC106" s="144">
        <v>0.56000000000000005</v>
      </c>
      <c r="AD106" s="144">
        <v>0.56000000000000005</v>
      </c>
      <c r="AE106" s="144">
        <v>0.56000000000000005</v>
      </c>
      <c r="AF106" s="144">
        <v>0.56000000000000005</v>
      </c>
      <c r="AG106" s="144">
        <v>0.56000000000000005</v>
      </c>
      <c r="AH106" s="144">
        <v>0.56000000000000005</v>
      </c>
      <c r="AI106" s="144">
        <v>0.56000000000000005</v>
      </c>
      <c r="AJ106" s="144">
        <v>0.56000000000000005</v>
      </c>
      <c r="AK106" s="144">
        <v>0.56000000000000005</v>
      </c>
      <c r="AL106" s="144">
        <v>0.56000000000000005</v>
      </c>
      <c r="AM106" s="144">
        <v>0.56000000000000005</v>
      </c>
      <c r="AN106" s="153">
        <v>0.56000000000000005</v>
      </c>
      <c r="AO106" s="105">
        <v>0</v>
      </c>
      <c r="AP106" s="118">
        <f t="shared" si="48"/>
        <v>0</v>
      </c>
      <c r="AQ106" s="105">
        <v>0</v>
      </c>
      <c r="AR106" s="118">
        <f t="shared" si="2"/>
        <v>0</v>
      </c>
      <c r="AS106" s="105">
        <v>0</v>
      </c>
      <c r="AT106" s="127">
        <f t="shared" si="3"/>
        <v>0</v>
      </c>
      <c r="AU106" s="5">
        <v>0</v>
      </c>
      <c r="AV106" s="118">
        <f t="shared" si="4"/>
        <v>0</v>
      </c>
      <c r="AW106" s="105">
        <v>0</v>
      </c>
      <c r="AX106" s="118">
        <f t="shared" si="5"/>
        <v>0</v>
      </c>
      <c r="AY106" s="105">
        <v>0</v>
      </c>
      <c r="AZ106" s="127">
        <f t="shared" si="6"/>
        <v>0</v>
      </c>
      <c r="BA106" s="105">
        <v>0</v>
      </c>
      <c r="BB106" s="118">
        <f t="shared" si="7"/>
        <v>0</v>
      </c>
      <c r="BC106" s="105">
        <v>0</v>
      </c>
      <c r="BD106" s="118">
        <f t="shared" si="8"/>
        <v>0</v>
      </c>
      <c r="BE106" s="5">
        <v>0</v>
      </c>
      <c r="BF106" s="127">
        <f t="shared" si="9"/>
        <v>0</v>
      </c>
      <c r="BG106" s="105">
        <v>0</v>
      </c>
      <c r="BH106" s="118">
        <f t="shared" si="50"/>
        <v>0</v>
      </c>
      <c r="BI106" s="5">
        <v>0</v>
      </c>
      <c r="BJ106" s="118">
        <f t="shared" si="11"/>
        <v>0</v>
      </c>
      <c r="BK106" s="5">
        <v>0</v>
      </c>
      <c r="BL106" s="127">
        <f t="shared" si="49"/>
        <v>0</v>
      </c>
      <c r="BM106" s="220" t="s">
        <v>581</v>
      </c>
      <c r="BO106" s="1" t="s">
        <v>575</v>
      </c>
      <c r="BP106" s="233" t="s">
        <v>594</v>
      </c>
      <c r="BQ106" s="233"/>
      <c r="BR106" s="234"/>
    </row>
    <row r="107" spans="1:70">
      <c r="A107" s="219" t="s">
        <v>451</v>
      </c>
      <c r="B107" s="106" t="s">
        <v>244</v>
      </c>
      <c r="C107" s="66" t="s">
        <v>175</v>
      </c>
      <c r="D107" s="284"/>
      <c r="E107" s="77" t="s">
        <v>253</v>
      </c>
      <c r="F107" s="282"/>
      <c r="G107" s="71" t="s">
        <v>202</v>
      </c>
      <c r="H107" s="70" t="s">
        <v>580</v>
      </c>
      <c r="I107" s="70" t="s">
        <v>381</v>
      </c>
      <c r="J107" s="71" t="s">
        <v>567</v>
      </c>
      <c r="K107" s="70" t="s">
        <v>250</v>
      </c>
      <c r="L107" s="69" t="s">
        <v>257</v>
      </c>
      <c r="M107" s="180" t="s">
        <v>568</v>
      </c>
      <c r="N107" s="68">
        <v>13.63</v>
      </c>
      <c r="O107" s="58">
        <v>13.63</v>
      </c>
      <c r="P107" s="144">
        <v>13.63</v>
      </c>
      <c r="Q107" s="144">
        <v>13.63</v>
      </c>
      <c r="R107" s="144">
        <v>13.63</v>
      </c>
      <c r="S107" s="144">
        <v>13.63</v>
      </c>
      <c r="T107" s="144">
        <v>13.63</v>
      </c>
      <c r="U107" s="144">
        <v>13.63</v>
      </c>
      <c r="V107" s="144">
        <v>13.63</v>
      </c>
      <c r="W107" s="144">
        <v>13.63</v>
      </c>
      <c r="X107" s="144">
        <v>13.63</v>
      </c>
      <c r="Y107" s="144">
        <v>13.63</v>
      </c>
      <c r="Z107" s="144">
        <v>13.63</v>
      </c>
      <c r="AA107" s="58">
        <v>13.63</v>
      </c>
      <c r="AB107" s="68">
        <v>0.56000000000000005</v>
      </c>
      <c r="AC107" s="144">
        <v>0.56000000000000005</v>
      </c>
      <c r="AD107" s="144">
        <v>0.56000000000000005</v>
      </c>
      <c r="AE107" s="144">
        <v>0.56000000000000005</v>
      </c>
      <c r="AF107" s="144">
        <v>0.56000000000000005</v>
      </c>
      <c r="AG107" s="144">
        <v>0.56000000000000005</v>
      </c>
      <c r="AH107" s="144">
        <v>0.56000000000000005</v>
      </c>
      <c r="AI107" s="144">
        <v>0.56000000000000005</v>
      </c>
      <c r="AJ107" s="144">
        <v>0.56000000000000005</v>
      </c>
      <c r="AK107" s="144">
        <v>0.56000000000000005</v>
      </c>
      <c r="AL107" s="144">
        <v>0.56000000000000005</v>
      </c>
      <c r="AM107" s="144">
        <v>0.56000000000000005</v>
      </c>
      <c r="AN107" s="153">
        <v>0.56000000000000005</v>
      </c>
      <c r="AO107" s="105">
        <v>0</v>
      </c>
      <c r="AP107" s="118">
        <f t="shared" si="48"/>
        <v>0</v>
      </c>
      <c r="AQ107" s="105">
        <v>0</v>
      </c>
      <c r="AR107" s="118">
        <f t="shared" si="2"/>
        <v>0</v>
      </c>
      <c r="AS107" s="105">
        <v>0</v>
      </c>
      <c r="AT107" s="127">
        <f t="shared" si="3"/>
        <v>0</v>
      </c>
      <c r="AU107" s="5">
        <v>0</v>
      </c>
      <c r="AV107" s="118">
        <f t="shared" si="4"/>
        <v>0</v>
      </c>
      <c r="AW107" s="105">
        <v>0</v>
      </c>
      <c r="AX107" s="118">
        <f t="shared" si="5"/>
        <v>0</v>
      </c>
      <c r="AY107" s="105">
        <v>0</v>
      </c>
      <c r="AZ107" s="127">
        <f t="shared" si="6"/>
        <v>0</v>
      </c>
      <c r="BA107" s="105">
        <v>0</v>
      </c>
      <c r="BB107" s="118">
        <f t="shared" si="7"/>
        <v>0</v>
      </c>
      <c r="BC107" s="105">
        <v>0</v>
      </c>
      <c r="BD107" s="118">
        <f t="shared" si="8"/>
        <v>0</v>
      </c>
      <c r="BE107" s="5">
        <v>0</v>
      </c>
      <c r="BF107" s="127">
        <f t="shared" si="9"/>
        <v>0</v>
      </c>
      <c r="BG107" s="105">
        <v>0</v>
      </c>
      <c r="BH107" s="118">
        <f t="shared" si="50"/>
        <v>0</v>
      </c>
      <c r="BI107" s="5">
        <v>0</v>
      </c>
      <c r="BJ107" s="118">
        <f t="shared" si="11"/>
        <v>0</v>
      </c>
      <c r="BK107" s="5">
        <v>0</v>
      </c>
      <c r="BL107" s="127">
        <f t="shared" si="49"/>
        <v>0</v>
      </c>
      <c r="BM107" s="220" t="s">
        <v>581</v>
      </c>
      <c r="BO107" s="1" t="s">
        <v>570</v>
      </c>
      <c r="BP107" s="233" t="s">
        <v>595</v>
      </c>
      <c r="BQ107" s="233"/>
      <c r="BR107" s="234"/>
    </row>
    <row r="108" spans="1:70">
      <c r="A108" s="219" t="s">
        <v>451</v>
      </c>
      <c r="B108" s="106" t="s">
        <v>244</v>
      </c>
      <c r="C108" s="66" t="s">
        <v>175</v>
      </c>
      <c r="D108" s="284"/>
      <c r="E108" s="77" t="s">
        <v>253</v>
      </c>
      <c r="F108" s="282"/>
      <c r="G108" s="71" t="s">
        <v>202</v>
      </c>
      <c r="H108" s="70" t="s">
        <v>580</v>
      </c>
      <c r="I108" s="70" t="s">
        <v>381</v>
      </c>
      <c r="J108" s="71" t="s">
        <v>567</v>
      </c>
      <c r="K108" s="70" t="s">
        <v>250</v>
      </c>
      <c r="L108" s="69" t="s">
        <v>257</v>
      </c>
      <c r="M108" s="180" t="s">
        <v>568</v>
      </c>
      <c r="N108" s="68">
        <v>13.63</v>
      </c>
      <c r="O108" s="58">
        <v>13.63</v>
      </c>
      <c r="P108" s="144">
        <v>13.63</v>
      </c>
      <c r="Q108" s="144">
        <v>13.63</v>
      </c>
      <c r="R108" s="144">
        <v>13.63</v>
      </c>
      <c r="S108" s="144">
        <v>13.63</v>
      </c>
      <c r="T108" s="144">
        <v>13.63</v>
      </c>
      <c r="U108" s="144">
        <v>13.63</v>
      </c>
      <c r="V108" s="144">
        <v>13.63</v>
      </c>
      <c r="W108" s="144">
        <v>13.63</v>
      </c>
      <c r="X108" s="144">
        <v>13.63</v>
      </c>
      <c r="Y108" s="144">
        <v>13.63</v>
      </c>
      <c r="Z108" s="144">
        <v>13.63</v>
      </c>
      <c r="AA108" s="58">
        <v>13.63</v>
      </c>
      <c r="AB108" s="68">
        <v>0.56000000000000005</v>
      </c>
      <c r="AC108" s="144">
        <v>0.56000000000000005</v>
      </c>
      <c r="AD108" s="144">
        <v>0.56000000000000005</v>
      </c>
      <c r="AE108" s="144">
        <v>0.56000000000000005</v>
      </c>
      <c r="AF108" s="144">
        <v>0.56000000000000005</v>
      </c>
      <c r="AG108" s="144">
        <v>0.56000000000000005</v>
      </c>
      <c r="AH108" s="144">
        <v>0.56000000000000005</v>
      </c>
      <c r="AI108" s="144">
        <v>0.56000000000000005</v>
      </c>
      <c r="AJ108" s="144">
        <v>0.56000000000000005</v>
      </c>
      <c r="AK108" s="144">
        <v>0.56000000000000005</v>
      </c>
      <c r="AL108" s="144">
        <v>0.56000000000000005</v>
      </c>
      <c r="AM108" s="144">
        <v>0.56000000000000005</v>
      </c>
      <c r="AN108" s="153">
        <v>0.56000000000000005</v>
      </c>
      <c r="AO108" s="105">
        <v>0</v>
      </c>
      <c r="AP108" s="118">
        <f t="shared" si="48"/>
        <v>0</v>
      </c>
      <c r="AQ108" s="105">
        <v>0</v>
      </c>
      <c r="AR108" s="118">
        <f t="shared" si="2"/>
        <v>0</v>
      </c>
      <c r="AS108" s="105">
        <v>0</v>
      </c>
      <c r="AT108" s="127">
        <f t="shared" si="3"/>
        <v>0</v>
      </c>
      <c r="AU108" s="5">
        <v>0</v>
      </c>
      <c r="AV108" s="118">
        <f t="shared" si="4"/>
        <v>0</v>
      </c>
      <c r="AW108" s="105">
        <v>0</v>
      </c>
      <c r="AX108" s="118">
        <f t="shared" si="5"/>
        <v>0</v>
      </c>
      <c r="AY108" s="105">
        <v>0</v>
      </c>
      <c r="AZ108" s="127">
        <f t="shared" si="6"/>
        <v>0</v>
      </c>
      <c r="BA108" s="105">
        <v>0</v>
      </c>
      <c r="BB108" s="118">
        <f t="shared" si="7"/>
        <v>0</v>
      </c>
      <c r="BC108" s="105">
        <v>0</v>
      </c>
      <c r="BD108" s="118">
        <f t="shared" si="8"/>
        <v>0</v>
      </c>
      <c r="BE108" s="5">
        <v>0</v>
      </c>
      <c r="BF108" s="127">
        <f t="shared" si="9"/>
        <v>0</v>
      </c>
      <c r="BG108" s="105">
        <v>0</v>
      </c>
      <c r="BH108" s="118">
        <f t="shared" si="50"/>
        <v>0</v>
      </c>
      <c r="BI108" s="5">
        <v>0</v>
      </c>
      <c r="BJ108" s="118">
        <f t="shared" si="11"/>
        <v>0</v>
      </c>
      <c r="BK108" s="5">
        <v>0</v>
      </c>
      <c r="BL108" s="127">
        <f t="shared" si="49"/>
        <v>0</v>
      </c>
      <c r="BM108" s="220" t="s">
        <v>581</v>
      </c>
      <c r="BO108" s="1" t="s">
        <v>570</v>
      </c>
      <c r="BP108" s="233" t="s">
        <v>596</v>
      </c>
      <c r="BQ108" s="233"/>
      <c r="BR108" s="234"/>
    </row>
    <row r="109" spans="1:70">
      <c r="A109" s="219" t="s">
        <v>451</v>
      </c>
      <c r="B109" s="106" t="s">
        <v>244</v>
      </c>
      <c r="C109" s="66" t="s">
        <v>175</v>
      </c>
      <c r="D109" s="284"/>
      <c r="E109" s="77" t="s">
        <v>253</v>
      </c>
      <c r="F109" s="282"/>
      <c r="G109" s="71" t="s">
        <v>202</v>
      </c>
      <c r="H109" s="70" t="s">
        <v>580</v>
      </c>
      <c r="I109" s="70" t="s">
        <v>381</v>
      </c>
      <c r="J109" s="71" t="s">
        <v>567</v>
      </c>
      <c r="K109" s="70" t="s">
        <v>250</v>
      </c>
      <c r="L109" s="69" t="s">
        <v>257</v>
      </c>
      <c r="M109" s="180" t="s">
        <v>568</v>
      </c>
      <c r="N109" s="68">
        <v>13.63</v>
      </c>
      <c r="O109" s="58">
        <v>13.63</v>
      </c>
      <c r="P109" s="144">
        <v>13.63</v>
      </c>
      <c r="Q109" s="144">
        <v>13.63</v>
      </c>
      <c r="R109" s="144">
        <v>13.63</v>
      </c>
      <c r="S109" s="144">
        <v>13.63</v>
      </c>
      <c r="T109" s="144">
        <v>13.63</v>
      </c>
      <c r="U109" s="144">
        <v>13.63</v>
      </c>
      <c r="V109" s="144">
        <v>13.63</v>
      </c>
      <c r="W109" s="144">
        <v>13.63</v>
      </c>
      <c r="X109" s="144">
        <v>13.63</v>
      </c>
      <c r="Y109" s="144">
        <v>13.63</v>
      </c>
      <c r="Z109" s="144">
        <v>13.63</v>
      </c>
      <c r="AA109" s="58">
        <v>13.63</v>
      </c>
      <c r="AB109" s="68">
        <v>0.56000000000000005</v>
      </c>
      <c r="AC109" s="144">
        <v>0.56000000000000005</v>
      </c>
      <c r="AD109" s="144">
        <v>0.56000000000000005</v>
      </c>
      <c r="AE109" s="144">
        <v>0.56000000000000005</v>
      </c>
      <c r="AF109" s="144">
        <v>0.56000000000000005</v>
      </c>
      <c r="AG109" s="144">
        <v>0.56000000000000005</v>
      </c>
      <c r="AH109" s="144">
        <v>0.56000000000000005</v>
      </c>
      <c r="AI109" s="144">
        <v>0.56000000000000005</v>
      </c>
      <c r="AJ109" s="144">
        <v>0.56000000000000005</v>
      </c>
      <c r="AK109" s="144">
        <v>0.56000000000000005</v>
      </c>
      <c r="AL109" s="144">
        <v>0.56000000000000005</v>
      </c>
      <c r="AM109" s="144">
        <v>0.56000000000000005</v>
      </c>
      <c r="AN109" s="153">
        <v>0.56000000000000005</v>
      </c>
      <c r="AO109" s="105">
        <v>0</v>
      </c>
      <c r="AP109" s="118">
        <f t="shared" si="48"/>
        <v>0</v>
      </c>
      <c r="AQ109" s="105">
        <v>0</v>
      </c>
      <c r="AR109" s="118">
        <f t="shared" si="2"/>
        <v>0</v>
      </c>
      <c r="AS109" s="105">
        <v>0</v>
      </c>
      <c r="AT109" s="127">
        <f t="shared" si="3"/>
        <v>0</v>
      </c>
      <c r="AU109" s="5">
        <v>0</v>
      </c>
      <c r="AV109" s="118">
        <f t="shared" si="4"/>
        <v>0</v>
      </c>
      <c r="AW109" s="105">
        <v>0</v>
      </c>
      <c r="AX109" s="118">
        <f t="shared" si="5"/>
        <v>0</v>
      </c>
      <c r="AY109" s="105">
        <v>0</v>
      </c>
      <c r="AZ109" s="127">
        <f t="shared" si="6"/>
        <v>0</v>
      </c>
      <c r="BA109" s="105">
        <v>0</v>
      </c>
      <c r="BB109" s="118">
        <f t="shared" si="7"/>
        <v>0</v>
      </c>
      <c r="BC109" s="105">
        <v>0</v>
      </c>
      <c r="BD109" s="118">
        <f t="shared" si="8"/>
        <v>0</v>
      </c>
      <c r="BE109" s="5">
        <v>0</v>
      </c>
      <c r="BF109" s="127">
        <f t="shared" si="9"/>
        <v>0</v>
      </c>
      <c r="BG109" s="105">
        <v>0</v>
      </c>
      <c r="BH109" s="118">
        <f t="shared" si="50"/>
        <v>0</v>
      </c>
      <c r="BI109" s="5">
        <v>0</v>
      </c>
      <c r="BJ109" s="118">
        <f t="shared" si="11"/>
        <v>0</v>
      </c>
      <c r="BK109" s="5">
        <v>0</v>
      </c>
      <c r="BL109" s="127">
        <f t="shared" si="49"/>
        <v>0</v>
      </c>
      <c r="BM109" s="220" t="s">
        <v>581</v>
      </c>
      <c r="BO109" s="1" t="s">
        <v>570</v>
      </c>
      <c r="BP109" s="233" t="s">
        <v>597</v>
      </c>
      <c r="BQ109" s="233"/>
      <c r="BR109" s="234"/>
    </row>
    <row r="110" spans="1:70">
      <c r="A110" s="219" t="s">
        <v>451</v>
      </c>
      <c r="B110" s="106" t="s">
        <v>244</v>
      </c>
      <c r="C110" s="66" t="s">
        <v>175</v>
      </c>
      <c r="D110" s="284"/>
      <c r="E110" s="77" t="s">
        <v>253</v>
      </c>
      <c r="F110" s="282"/>
      <c r="G110" s="71" t="s">
        <v>202</v>
      </c>
      <c r="H110" s="70" t="s">
        <v>580</v>
      </c>
      <c r="I110" s="70" t="s">
        <v>381</v>
      </c>
      <c r="J110" s="71" t="s">
        <v>567</v>
      </c>
      <c r="K110" s="70" t="s">
        <v>250</v>
      </c>
      <c r="L110" s="69" t="s">
        <v>257</v>
      </c>
      <c r="M110" s="180" t="s">
        <v>568</v>
      </c>
      <c r="N110" s="68">
        <v>13.63</v>
      </c>
      <c r="O110" s="58">
        <v>13.63</v>
      </c>
      <c r="P110" s="144">
        <v>13.63</v>
      </c>
      <c r="Q110" s="144">
        <v>13.63</v>
      </c>
      <c r="R110" s="144">
        <v>13.63</v>
      </c>
      <c r="S110" s="144">
        <v>13.63</v>
      </c>
      <c r="T110" s="144">
        <v>13.63</v>
      </c>
      <c r="U110" s="144">
        <v>13.63</v>
      </c>
      <c r="V110" s="144">
        <v>13.63</v>
      </c>
      <c r="W110" s="144">
        <v>13.63</v>
      </c>
      <c r="X110" s="144">
        <v>13.63</v>
      </c>
      <c r="Y110" s="144">
        <v>13.63</v>
      </c>
      <c r="Z110" s="144">
        <v>13.63</v>
      </c>
      <c r="AA110" s="58">
        <v>13.63</v>
      </c>
      <c r="AB110" s="68">
        <v>0.56000000000000005</v>
      </c>
      <c r="AC110" s="144">
        <v>0.56000000000000005</v>
      </c>
      <c r="AD110" s="144">
        <v>0.56000000000000005</v>
      </c>
      <c r="AE110" s="144">
        <v>0.56000000000000005</v>
      </c>
      <c r="AF110" s="144">
        <v>0.56000000000000005</v>
      </c>
      <c r="AG110" s="144">
        <v>0.56000000000000005</v>
      </c>
      <c r="AH110" s="144">
        <v>0.56000000000000005</v>
      </c>
      <c r="AI110" s="144">
        <v>0.56000000000000005</v>
      </c>
      <c r="AJ110" s="144">
        <v>0.56000000000000005</v>
      </c>
      <c r="AK110" s="144">
        <v>0.56000000000000005</v>
      </c>
      <c r="AL110" s="144">
        <v>0.56000000000000005</v>
      </c>
      <c r="AM110" s="144">
        <v>0.56000000000000005</v>
      </c>
      <c r="AN110" s="153">
        <v>0.56000000000000005</v>
      </c>
      <c r="AO110" s="105">
        <v>0</v>
      </c>
      <c r="AP110" s="118">
        <f t="shared" si="48"/>
        <v>0</v>
      </c>
      <c r="AQ110" s="105">
        <v>0</v>
      </c>
      <c r="AR110" s="118">
        <f t="shared" si="2"/>
        <v>0</v>
      </c>
      <c r="AS110" s="105">
        <v>0</v>
      </c>
      <c r="AT110" s="127">
        <f t="shared" si="3"/>
        <v>0</v>
      </c>
      <c r="AU110" s="5">
        <v>0</v>
      </c>
      <c r="AV110" s="118">
        <f t="shared" si="4"/>
        <v>0</v>
      </c>
      <c r="AW110" s="105">
        <v>0</v>
      </c>
      <c r="AX110" s="118">
        <f t="shared" si="5"/>
        <v>0</v>
      </c>
      <c r="AY110" s="105">
        <v>0</v>
      </c>
      <c r="AZ110" s="127">
        <f t="shared" si="6"/>
        <v>0</v>
      </c>
      <c r="BA110" s="105">
        <v>0</v>
      </c>
      <c r="BB110" s="118">
        <f t="shared" si="7"/>
        <v>0</v>
      </c>
      <c r="BC110" s="105">
        <v>0</v>
      </c>
      <c r="BD110" s="118">
        <f t="shared" si="8"/>
        <v>0</v>
      </c>
      <c r="BE110" s="5">
        <v>0</v>
      </c>
      <c r="BF110" s="127">
        <f t="shared" si="9"/>
        <v>0</v>
      </c>
      <c r="BG110" s="105">
        <v>0</v>
      </c>
      <c r="BH110" s="118">
        <f t="shared" si="50"/>
        <v>0</v>
      </c>
      <c r="BI110" s="5">
        <v>0</v>
      </c>
      <c r="BJ110" s="118">
        <f t="shared" si="11"/>
        <v>0</v>
      </c>
      <c r="BK110" s="5">
        <v>0</v>
      </c>
      <c r="BL110" s="127">
        <f t="shared" si="49"/>
        <v>0</v>
      </c>
      <c r="BM110" s="220" t="s">
        <v>581</v>
      </c>
      <c r="BO110" s="1" t="s">
        <v>570</v>
      </c>
      <c r="BP110" s="233" t="s">
        <v>598</v>
      </c>
      <c r="BQ110" s="233"/>
      <c r="BR110" s="234"/>
    </row>
    <row r="111" spans="1:70">
      <c r="A111" s="219" t="s">
        <v>451</v>
      </c>
      <c r="B111" s="106" t="s">
        <v>244</v>
      </c>
      <c r="C111" s="66" t="s">
        <v>175</v>
      </c>
      <c r="D111" s="284"/>
      <c r="E111" s="77" t="s">
        <v>253</v>
      </c>
      <c r="F111" s="282"/>
      <c r="G111" s="71" t="s">
        <v>202</v>
      </c>
      <c r="H111" s="70" t="s">
        <v>580</v>
      </c>
      <c r="I111" s="70" t="s">
        <v>381</v>
      </c>
      <c r="J111" s="71" t="s">
        <v>567</v>
      </c>
      <c r="K111" s="70" t="s">
        <v>250</v>
      </c>
      <c r="L111" s="69" t="s">
        <v>257</v>
      </c>
      <c r="M111" s="180" t="s">
        <v>568</v>
      </c>
      <c r="N111" s="68">
        <v>13.63</v>
      </c>
      <c r="O111" s="58">
        <v>13.63</v>
      </c>
      <c r="P111" s="144">
        <v>13.63</v>
      </c>
      <c r="Q111" s="144">
        <v>13.63</v>
      </c>
      <c r="R111" s="144">
        <v>13.63</v>
      </c>
      <c r="S111" s="144">
        <v>13.63</v>
      </c>
      <c r="T111" s="144">
        <v>13.63</v>
      </c>
      <c r="U111" s="144">
        <v>13.63</v>
      </c>
      <c r="V111" s="144">
        <v>13.63</v>
      </c>
      <c r="W111" s="144">
        <v>13.63</v>
      </c>
      <c r="X111" s="144">
        <v>13.63</v>
      </c>
      <c r="Y111" s="144">
        <v>13.63</v>
      </c>
      <c r="Z111" s="144">
        <v>13.63</v>
      </c>
      <c r="AA111" s="58">
        <v>13.63</v>
      </c>
      <c r="AB111" s="68">
        <v>0.56000000000000005</v>
      </c>
      <c r="AC111" s="144">
        <v>0.56000000000000005</v>
      </c>
      <c r="AD111" s="144">
        <v>0.56000000000000005</v>
      </c>
      <c r="AE111" s="144">
        <v>0.56000000000000005</v>
      </c>
      <c r="AF111" s="144">
        <v>0.56000000000000005</v>
      </c>
      <c r="AG111" s="144">
        <v>0.56000000000000005</v>
      </c>
      <c r="AH111" s="144">
        <v>0.56000000000000005</v>
      </c>
      <c r="AI111" s="144">
        <v>0.56000000000000005</v>
      </c>
      <c r="AJ111" s="144">
        <v>0.56000000000000005</v>
      </c>
      <c r="AK111" s="144">
        <v>0.56000000000000005</v>
      </c>
      <c r="AL111" s="144">
        <v>0.56000000000000005</v>
      </c>
      <c r="AM111" s="144">
        <v>0.56000000000000005</v>
      </c>
      <c r="AN111" s="153">
        <v>0.56000000000000005</v>
      </c>
      <c r="AO111" s="105">
        <v>0</v>
      </c>
      <c r="AP111" s="118">
        <f t="shared" si="48"/>
        <v>0</v>
      </c>
      <c r="AQ111" s="105">
        <v>0</v>
      </c>
      <c r="AR111" s="118">
        <f t="shared" si="2"/>
        <v>0</v>
      </c>
      <c r="AS111" s="105">
        <v>0</v>
      </c>
      <c r="AT111" s="127">
        <f t="shared" si="3"/>
        <v>0</v>
      </c>
      <c r="AU111" s="5">
        <v>0</v>
      </c>
      <c r="AV111" s="118">
        <f t="shared" si="4"/>
        <v>0</v>
      </c>
      <c r="AW111" s="105">
        <v>0</v>
      </c>
      <c r="AX111" s="118">
        <f t="shared" si="5"/>
        <v>0</v>
      </c>
      <c r="AY111" s="105">
        <v>0</v>
      </c>
      <c r="AZ111" s="127">
        <f t="shared" si="6"/>
        <v>0</v>
      </c>
      <c r="BA111" s="105">
        <v>0</v>
      </c>
      <c r="BB111" s="118">
        <f t="shared" si="7"/>
        <v>0</v>
      </c>
      <c r="BC111" s="105">
        <v>0</v>
      </c>
      <c r="BD111" s="118">
        <f t="shared" si="8"/>
        <v>0</v>
      </c>
      <c r="BE111" s="5">
        <v>0</v>
      </c>
      <c r="BF111" s="127">
        <f t="shared" si="9"/>
        <v>0</v>
      </c>
      <c r="BG111" s="105">
        <v>0</v>
      </c>
      <c r="BH111" s="118">
        <f t="shared" si="50"/>
        <v>0</v>
      </c>
      <c r="BI111" s="5">
        <v>0</v>
      </c>
      <c r="BJ111" s="118">
        <f t="shared" si="11"/>
        <v>0</v>
      </c>
      <c r="BK111" s="5">
        <v>0</v>
      </c>
      <c r="BL111" s="127">
        <f t="shared" si="49"/>
        <v>0</v>
      </c>
      <c r="BM111" s="220" t="s">
        <v>581</v>
      </c>
      <c r="BO111" s="1" t="s">
        <v>570</v>
      </c>
      <c r="BP111" s="233" t="s">
        <v>599</v>
      </c>
      <c r="BQ111" s="233"/>
      <c r="BR111" s="234"/>
    </row>
    <row r="112" spans="1:70">
      <c r="A112" s="219" t="s">
        <v>451</v>
      </c>
      <c r="B112" s="106" t="s">
        <v>244</v>
      </c>
      <c r="C112" s="66" t="s">
        <v>175</v>
      </c>
      <c r="D112" s="284"/>
      <c r="E112" s="77" t="s">
        <v>253</v>
      </c>
      <c r="F112" s="282"/>
      <c r="G112" s="71" t="s">
        <v>202</v>
      </c>
      <c r="H112" s="70" t="s">
        <v>580</v>
      </c>
      <c r="I112" s="70" t="s">
        <v>381</v>
      </c>
      <c r="J112" s="71" t="s">
        <v>567</v>
      </c>
      <c r="K112" s="70" t="s">
        <v>250</v>
      </c>
      <c r="L112" s="69" t="s">
        <v>257</v>
      </c>
      <c r="M112" s="180" t="s">
        <v>568</v>
      </c>
      <c r="N112" s="68">
        <v>13.63</v>
      </c>
      <c r="O112" s="58">
        <v>13.63</v>
      </c>
      <c r="P112" s="144">
        <v>13.63</v>
      </c>
      <c r="Q112" s="144">
        <v>13.63</v>
      </c>
      <c r="R112" s="144">
        <v>13.63</v>
      </c>
      <c r="S112" s="144">
        <v>13.63</v>
      </c>
      <c r="T112" s="144">
        <v>13.63</v>
      </c>
      <c r="U112" s="144">
        <v>13.63</v>
      </c>
      <c r="V112" s="144">
        <v>13.63</v>
      </c>
      <c r="W112" s="144">
        <v>13.63</v>
      </c>
      <c r="X112" s="144">
        <v>13.63</v>
      </c>
      <c r="Y112" s="144">
        <v>13.63</v>
      </c>
      <c r="Z112" s="144">
        <v>13.63</v>
      </c>
      <c r="AA112" s="58">
        <v>13.63</v>
      </c>
      <c r="AB112" s="68">
        <v>0.56000000000000005</v>
      </c>
      <c r="AC112" s="144">
        <v>0.56000000000000005</v>
      </c>
      <c r="AD112" s="144">
        <v>0.56000000000000005</v>
      </c>
      <c r="AE112" s="144">
        <v>0.56000000000000005</v>
      </c>
      <c r="AF112" s="144">
        <v>0.56000000000000005</v>
      </c>
      <c r="AG112" s="144">
        <v>0.56000000000000005</v>
      </c>
      <c r="AH112" s="144">
        <v>0.56000000000000005</v>
      </c>
      <c r="AI112" s="144">
        <v>0.56000000000000005</v>
      </c>
      <c r="AJ112" s="144">
        <v>0.56000000000000005</v>
      </c>
      <c r="AK112" s="144">
        <v>0.56000000000000005</v>
      </c>
      <c r="AL112" s="144">
        <v>0.56000000000000005</v>
      </c>
      <c r="AM112" s="144">
        <v>0.56000000000000005</v>
      </c>
      <c r="AN112" s="153">
        <v>0.56000000000000005</v>
      </c>
      <c r="AO112" s="105">
        <v>0</v>
      </c>
      <c r="AP112" s="118">
        <f t="shared" si="48"/>
        <v>0</v>
      </c>
      <c r="AQ112" s="105">
        <v>0</v>
      </c>
      <c r="AR112" s="118">
        <f t="shared" si="2"/>
        <v>0</v>
      </c>
      <c r="AS112" s="105">
        <v>0</v>
      </c>
      <c r="AT112" s="127">
        <f t="shared" si="3"/>
        <v>0</v>
      </c>
      <c r="AU112" s="5">
        <v>0</v>
      </c>
      <c r="AV112" s="118">
        <f t="shared" si="4"/>
        <v>0</v>
      </c>
      <c r="AW112" s="105">
        <v>0</v>
      </c>
      <c r="AX112" s="118">
        <f t="shared" si="5"/>
        <v>0</v>
      </c>
      <c r="AY112" s="105">
        <v>0</v>
      </c>
      <c r="AZ112" s="127">
        <f t="shared" si="6"/>
        <v>0</v>
      </c>
      <c r="BA112" s="105">
        <v>0</v>
      </c>
      <c r="BB112" s="118">
        <f t="shared" si="7"/>
        <v>0</v>
      </c>
      <c r="BC112" s="105">
        <v>0</v>
      </c>
      <c r="BD112" s="118">
        <f t="shared" si="8"/>
        <v>0</v>
      </c>
      <c r="BE112" s="5">
        <v>0</v>
      </c>
      <c r="BF112" s="127">
        <f t="shared" si="9"/>
        <v>0</v>
      </c>
      <c r="BG112" s="105">
        <v>0</v>
      </c>
      <c r="BH112" s="118">
        <f t="shared" si="50"/>
        <v>0</v>
      </c>
      <c r="BI112" s="5">
        <v>0</v>
      </c>
      <c r="BJ112" s="118">
        <f t="shared" si="11"/>
        <v>0</v>
      </c>
      <c r="BK112" s="5">
        <v>0</v>
      </c>
      <c r="BL112" s="127">
        <f t="shared" si="49"/>
        <v>0</v>
      </c>
      <c r="BM112" s="220" t="s">
        <v>581</v>
      </c>
      <c r="BO112" s="1" t="s">
        <v>570</v>
      </c>
      <c r="BP112" s="233" t="s">
        <v>600</v>
      </c>
      <c r="BQ112" s="233"/>
      <c r="BR112" s="234"/>
    </row>
    <row r="113" spans="1:70">
      <c r="A113" s="219" t="s">
        <v>451</v>
      </c>
      <c r="B113" s="106" t="s">
        <v>244</v>
      </c>
      <c r="C113" s="66" t="s">
        <v>175</v>
      </c>
      <c r="D113" s="284"/>
      <c r="E113" s="77" t="s">
        <v>253</v>
      </c>
      <c r="F113" s="282"/>
      <c r="G113" s="71" t="s">
        <v>202</v>
      </c>
      <c r="H113" s="70" t="s">
        <v>580</v>
      </c>
      <c r="I113" s="70" t="s">
        <v>381</v>
      </c>
      <c r="J113" s="71" t="s">
        <v>567</v>
      </c>
      <c r="K113" s="70" t="s">
        <v>250</v>
      </c>
      <c r="L113" s="69" t="s">
        <v>257</v>
      </c>
      <c r="M113" s="180" t="s">
        <v>568</v>
      </c>
      <c r="N113" s="68">
        <v>13.63</v>
      </c>
      <c r="O113" s="58">
        <v>13.63</v>
      </c>
      <c r="P113" s="144">
        <v>13.63</v>
      </c>
      <c r="Q113" s="144">
        <v>13.63</v>
      </c>
      <c r="R113" s="144">
        <v>13.63</v>
      </c>
      <c r="S113" s="144">
        <v>13.63</v>
      </c>
      <c r="T113" s="144">
        <v>13.63</v>
      </c>
      <c r="U113" s="144">
        <v>13.63</v>
      </c>
      <c r="V113" s="144">
        <v>13.63</v>
      </c>
      <c r="W113" s="144">
        <v>13.63</v>
      </c>
      <c r="X113" s="144">
        <v>13.63</v>
      </c>
      <c r="Y113" s="144">
        <v>13.63</v>
      </c>
      <c r="Z113" s="144">
        <v>13.63</v>
      </c>
      <c r="AA113" s="58">
        <v>13.63</v>
      </c>
      <c r="AB113" s="68">
        <v>0.56000000000000005</v>
      </c>
      <c r="AC113" s="144">
        <v>0.56000000000000005</v>
      </c>
      <c r="AD113" s="144">
        <v>0.56000000000000005</v>
      </c>
      <c r="AE113" s="144">
        <v>0.56000000000000005</v>
      </c>
      <c r="AF113" s="144">
        <v>0.56000000000000005</v>
      </c>
      <c r="AG113" s="144">
        <v>0.56000000000000005</v>
      </c>
      <c r="AH113" s="144">
        <v>0.56000000000000005</v>
      </c>
      <c r="AI113" s="144">
        <v>0.56000000000000005</v>
      </c>
      <c r="AJ113" s="144">
        <v>0.56000000000000005</v>
      </c>
      <c r="AK113" s="144">
        <v>0.56000000000000005</v>
      </c>
      <c r="AL113" s="144">
        <v>0.56000000000000005</v>
      </c>
      <c r="AM113" s="144">
        <v>0.56000000000000005</v>
      </c>
      <c r="AN113" s="153">
        <v>0.56000000000000005</v>
      </c>
      <c r="AO113" s="105">
        <v>0</v>
      </c>
      <c r="AP113" s="118">
        <f t="shared" si="48"/>
        <v>0</v>
      </c>
      <c r="AQ113" s="105">
        <v>0</v>
      </c>
      <c r="AR113" s="118">
        <f t="shared" si="2"/>
        <v>0</v>
      </c>
      <c r="AS113" s="105">
        <v>0</v>
      </c>
      <c r="AT113" s="127">
        <f t="shared" si="3"/>
        <v>0</v>
      </c>
      <c r="AU113" s="5">
        <v>0</v>
      </c>
      <c r="AV113" s="118">
        <f t="shared" si="4"/>
        <v>0</v>
      </c>
      <c r="AW113" s="105">
        <v>0</v>
      </c>
      <c r="AX113" s="118">
        <f t="shared" si="5"/>
        <v>0</v>
      </c>
      <c r="AY113" s="105">
        <v>0</v>
      </c>
      <c r="AZ113" s="127">
        <f t="shared" si="6"/>
        <v>0</v>
      </c>
      <c r="BA113" s="105">
        <v>0</v>
      </c>
      <c r="BB113" s="118">
        <f t="shared" si="7"/>
        <v>0</v>
      </c>
      <c r="BC113" s="105">
        <v>0</v>
      </c>
      <c r="BD113" s="118">
        <f t="shared" si="8"/>
        <v>0</v>
      </c>
      <c r="BE113" s="5">
        <v>0</v>
      </c>
      <c r="BF113" s="127">
        <f t="shared" si="9"/>
        <v>0</v>
      </c>
      <c r="BG113" s="105">
        <v>0</v>
      </c>
      <c r="BH113" s="118">
        <f t="shared" si="50"/>
        <v>0</v>
      </c>
      <c r="BI113" s="5">
        <v>0</v>
      </c>
      <c r="BJ113" s="118">
        <f t="shared" si="11"/>
        <v>0</v>
      </c>
      <c r="BK113" s="5">
        <v>0</v>
      </c>
      <c r="BL113" s="127">
        <f t="shared" si="49"/>
        <v>0</v>
      </c>
      <c r="BM113" s="220" t="s">
        <v>581</v>
      </c>
      <c r="BO113" s="1" t="s">
        <v>570</v>
      </c>
      <c r="BP113" s="233" t="s">
        <v>601</v>
      </c>
      <c r="BQ113" s="233"/>
      <c r="BR113" s="234"/>
    </row>
    <row r="114" spans="1:70">
      <c r="A114" s="219" t="s">
        <v>451</v>
      </c>
      <c r="B114" s="106" t="s">
        <v>244</v>
      </c>
      <c r="C114" s="66" t="s">
        <v>175</v>
      </c>
      <c r="D114" s="284"/>
      <c r="E114" s="77" t="s">
        <v>253</v>
      </c>
      <c r="F114" s="282"/>
      <c r="G114" s="71" t="s">
        <v>202</v>
      </c>
      <c r="H114" s="70" t="s">
        <v>580</v>
      </c>
      <c r="I114" s="70" t="s">
        <v>381</v>
      </c>
      <c r="J114" s="71" t="s">
        <v>567</v>
      </c>
      <c r="K114" s="70" t="s">
        <v>250</v>
      </c>
      <c r="L114" s="69" t="s">
        <v>257</v>
      </c>
      <c r="M114" s="180" t="s">
        <v>568</v>
      </c>
      <c r="N114" s="68">
        <v>13.63</v>
      </c>
      <c r="O114" s="58">
        <v>13.63</v>
      </c>
      <c r="P114" s="144">
        <v>13.63</v>
      </c>
      <c r="Q114" s="144">
        <v>13.63</v>
      </c>
      <c r="R114" s="144">
        <v>13.63</v>
      </c>
      <c r="S114" s="144">
        <v>13.63</v>
      </c>
      <c r="T114" s="144">
        <v>13.63</v>
      </c>
      <c r="U114" s="144">
        <v>13.63</v>
      </c>
      <c r="V114" s="144">
        <v>13.63</v>
      </c>
      <c r="W114" s="144">
        <v>13.63</v>
      </c>
      <c r="X114" s="144">
        <v>13.63</v>
      </c>
      <c r="Y114" s="144">
        <v>13.63</v>
      </c>
      <c r="Z114" s="144">
        <v>13.63</v>
      </c>
      <c r="AA114" s="58">
        <v>13.63</v>
      </c>
      <c r="AB114" s="68">
        <v>0.56000000000000005</v>
      </c>
      <c r="AC114" s="144">
        <v>0.56000000000000005</v>
      </c>
      <c r="AD114" s="144">
        <v>0.56000000000000005</v>
      </c>
      <c r="AE114" s="144">
        <v>0.56000000000000005</v>
      </c>
      <c r="AF114" s="144">
        <v>0.56000000000000005</v>
      </c>
      <c r="AG114" s="144">
        <v>0.56000000000000005</v>
      </c>
      <c r="AH114" s="144">
        <v>0.56000000000000005</v>
      </c>
      <c r="AI114" s="144">
        <v>0.56000000000000005</v>
      </c>
      <c r="AJ114" s="144">
        <v>0.56000000000000005</v>
      </c>
      <c r="AK114" s="144">
        <v>0.56000000000000005</v>
      </c>
      <c r="AL114" s="144">
        <v>0.56000000000000005</v>
      </c>
      <c r="AM114" s="144">
        <v>0.56000000000000005</v>
      </c>
      <c r="AN114" s="153">
        <v>0.56000000000000005</v>
      </c>
      <c r="AO114" s="105">
        <v>0</v>
      </c>
      <c r="AP114" s="118">
        <f t="shared" si="48"/>
        <v>0</v>
      </c>
      <c r="AQ114" s="105">
        <v>0</v>
      </c>
      <c r="AR114" s="118">
        <f t="shared" si="2"/>
        <v>0</v>
      </c>
      <c r="AS114" s="105">
        <v>0</v>
      </c>
      <c r="AT114" s="127">
        <f t="shared" si="3"/>
        <v>0</v>
      </c>
      <c r="AU114" s="5">
        <v>0</v>
      </c>
      <c r="AV114" s="118">
        <f t="shared" si="4"/>
        <v>0</v>
      </c>
      <c r="AW114" s="105">
        <v>0</v>
      </c>
      <c r="AX114" s="118">
        <f t="shared" si="5"/>
        <v>0</v>
      </c>
      <c r="AY114" s="105">
        <v>0</v>
      </c>
      <c r="AZ114" s="127">
        <f t="shared" si="6"/>
        <v>0</v>
      </c>
      <c r="BA114" s="105">
        <v>0</v>
      </c>
      <c r="BB114" s="118">
        <f t="shared" si="7"/>
        <v>0</v>
      </c>
      <c r="BC114" s="105">
        <v>0</v>
      </c>
      <c r="BD114" s="118">
        <f t="shared" si="8"/>
        <v>0</v>
      </c>
      <c r="BE114" s="5">
        <v>0</v>
      </c>
      <c r="BF114" s="127">
        <f t="shared" si="9"/>
        <v>0</v>
      </c>
      <c r="BG114" s="105">
        <v>0</v>
      </c>
      <c r="BH114" s="118">
        <f t="shared" si="50"/>
        <v>0</v>
      </c>
      <c r="BI114" s="5">
        <v>0</v>
      </c>
      <c r="BJ114" s="118">
        <f t="shared" si="11"/>
        <v>0</v>
      </c>
      <c r="BK114" s="5">
        <v>0</v>
      </c>
      <c r="BL114" s="127">
        <f t="shared" si="49"/>
        <v>0</v>
      </c>
      <c r="BM114" s="220" t="s">
        <v>581</v>
      </c>
      <c r="BO114" s="1" t="s">
        <v>570</v>
      </c>
      <c r="BP114" s="233" t="s">
        <v>602</v>
      </c>
      <c r="BQ114" s="233"/>
      <c r="BR114" s="234"/>
    </row>
    <row r="115" spans="1:70">
      <c r="A115" s="219" t="s">
        <v>451</v>
      </c>
      <c r="B115" s="106" t="s">
        <v>244</v>
      </c>
      <c r="C115" s="66" t="s">
        <v>175</v>
      </c>
      <c r="D115" s="284"/>
      <c r="E115" s="77" t="s">
        <v>253</v>
      </c>
      <c r="F115" s="282"/>
      <c r="G115" s="71" t="s">
        <v>202</v>
      </c>
      <c r="H115" s="70" t="s">
        <v>580</v>
      </c>
      <c r="I115" s="70" t="s">
        <v>381</v>
      </c>
      <c r="J115" s="71" t="s">
        <v>567</v>
      </c>
      <c r="K115" s="70" t="s">
        <v>250</v>
      </c>
      <c r="L115" s="69" t="s">
        <v>257</v>
      </c>
      <c r="M115" s="180" t="s">
        <v>577</v>
      </c>
      <c r="N115" s="68">
        <v>13.63</v>
      </c>
      <c r="O115" s="58">
        <v>13.63</v>
      </c>
      <c r="P115" s="144">
        <v>13.63</v>
      </c>
      <c r="Q115" s="144">
        <v>13.63</v>
      </c>
      <c r="R115" s="144">
        <v>13.63</v>
      </c>
      <c r="S115" s="144">
        <v>13.63</v>
      </c>
      <c r="T115" s="144">
        <v>13.63</v>
      </c>
      <c r="U115" s="144">
        <v>13.63</v>
      </c>
      <c r="V115" s="144">
        <v>13.63</v>
      </c>
      <c r="W115" s="144">
        <v>13.63</v>
      </c>
      <c r="X115" s="144">
        <v>13.63</v>
      </c>
      <c r="Y115" s="144">
        <v>13.63</v>
      </c>
      <c r="Z115" s="144">
        <v>13.63</v>
      </c>
      <c r="AA115" s="58">
        <v>13.63</v>
      </c>
      <c r="AB115" s="68">
        <v>0.56000000000000005</v>
      </c>
      <c r="AC115" s="144">
        <v>0.56000000000000005</v>
      </c>
      <c r="AD115" s="144">
        <v>0.56000000000000005</v>
      </c>
      <c r="AE115" s="144">
        <v>0.56000000000000005</v>
      </c>
      <c r="AF115" s="144">
        <v>0.56000000000000005</v>
      </c>
      <c r="AG115" s="144">
        <v>0.56000000000000005</v>
      </c>
      <c r="AH115" s="144">
        <v>0.56000000000000005</v>
      </c>
      <c r="AI115" s="144">
        <v>0.56000000000000005</v>
      </c>
      <c r="AJ115" s="144">
        <v>0.56000000000000005</v>
      </c>
      <c r="AK115" s="144">
        <v>0.56000000000000005</v>
      </c>
      <c r="AL115" s="144">
        <v>0.56000000000000005</v>
      </c>
      <c r="AM115" s="144">
        <v>0.56000000000000005</v>
      </c>
      <c r="AN115" s="153">
        <v>0.56000000000000005</v>
      </c>
      <c r="AO115" s="105">
        <v>0</v>
      </c>
      <c r="AP115" s="118">
        <f t="shared" si="48"/>
        <v>0</v>
      </c>
      <c r="AQ115" s="105">
        <v>0</v>
      </c>
      <c r="AR115" s="118">
        <f t="shared" si="2"/>
        <v>0</v>
      </c>
      <c r="AS115" s="105">
        <v>0</v>
      </c>
      <c r="AT115" s="127">
        <f t="shared" si="3"/>
        <v>0</v>
      </c>
      <c r="AU115" s="5">
        <v>0</v>
      </c>
      <c r="AV115" s="118">
        <f t="shared" si="4"/>
        <v>0</v>
      </c>
      <c r="AW115" s="105">
        <v>0</v>
      </c>
      <c r="AX115" s="118">
        <f t="shared" si="5"/>
        <v>0</v>
      </c>
      <c r="AY115" s="105">
        <v>0</v>
      </c>
      <c r="AZ115" s="127">
        <f t="shared" si="6"/>
        <v>0</v>
      </c>
      <c r="BA115" s="105">
        <v>0</v>
      </c>
      <c r="BB115" s="118">
        <f t="shared" si="7"/>
        <v>0</v>
      </c>
      <c r="BC115" s="105">
        <v>0</v>
      </c>
      <c r="BD115" s="118">
        <f t="shared" si="8"/>
        <v>0</v>
      </c>
      <c r="BE115" s="5">
        <v>0</v>
      </c>
      <c r="BF115" s="127">
        <f t="shared" si="9"/>
        <v>0</v>
      </c>
      <c r="BG115" s="105">
        <v>0</v>
      </c>
      <c r="BH115" s="118">
        <f t="shared" si="50"/>
        <v>0</v>
      </c>
      <c r="BI115" s="5">
        <v>0</v>
      </c>
      <c r="BJ115" s="118">
        <f t="shared" si="11"/>
        <v>0</v>
      </c>
      <c r="BK115" s="5">
        <v>0</v>
      </c>
      <c r="BL115" s="127">
        <f t="shared" si="49"/>
        <v>0</v>
      </c>
      <c r="BM115" s="220" t="s">
        <v>581</v>
      </c>
      <c r="BO115" s="1" t="s">
        <v>570</v>
      </c>
      <c r="BP115" s="233" t="s">
        <v>603</v>
      </c>
      <c r="BQ115" s="233"/>
      <c r="BR115" s="234"/>
    </row>
    <row r="116" spans="1:70">
      <c r="A116" s="219" t="s">
        <v>451</v>
      </c>
      <c r="B116" s="106" t="s">
        <v>244</v>
      </c>
      <c r="C116" s="66" t="s">
        <v>175</v>
      </c>
      <c r="D116" s="284"/>
      <c r="E116" s="77" t="s">
        <v>253</v>
      </c>
      <c r="F116" s="282"/>
      <c r="G116" s="71" t="s">
        <v>202</v>
      </c>
      <c r="H116" s="70" t="s">
        <v>604</v>
      </c>
      <c r="I116" s="70" t="s">
        <v>381</v>
      </c>
      <c r="J116" s="71" t="s">
        <v>605</v>
      </c>
      <c r="K116" s="70" t="s">
        <v>250</v>
      </c>
      <c r="L116" s="69" t="s">
        <v>257</v>
      </c>
      <c r="M116" s="180" t="s">
        <v>568</v>
      </c>
      <c r="N116" s="68">
        <v>12.97</v>
      </c>
      <c r="O116" s="58">
        <v>12.97</v>
      </c>
      <c r="P116" s="144">
        <v>12.97</v>
      </c>
      <c r="Q116" s="144">
        <v>12.97</v>
      </c>
      <c r="R116" s="144">
        <v>12.97</v>
      </c>
      <c r="S116" s="144">
        <v>12.97</v>
      </c>
      <c r="T116" s="144">
        <v>12.97</v>
      </c>
      <c r="U116" s="144">
        <v>12.97</v>
      </c>
      <c r="V116" s="144">
        <v>12.97</v>
      </c>
      <c r="W116" s="144">
        <v>12.97</v>
      </c>
      <c r="X116" s="144">
        <v>12.97</v>
      </c>
      <c r="Y116" s="144">
        <v>12.97</v>
      </c>
      <c r="Z116" s="144">
        <v>12.97</v>
      </c>
      <c r="AA116" s="58">
        <v>12.97</v>
      </c>
      <c r="AB116" s="68">
        <v>0.46</v>
      </c>
      <c r="AC116" s="144">
        <v>0.46</v>
      </c>
      <c r="AD116" s="144">
        <v>0.46</v>
      </c>
      <c r="AE116" s="144">
        <v>0.46</v>
      </c>
      <c r="AF116" s="144">
        <v>0.46</v>
      </c>
      <c r="AG116" s="144">
        <v>0.46</v>
      </c>
      <c r="AH116" s="144">
        <v>0.46</v>
      </c>
      <c r="AI116" s="144">
        <v>0.46</v>
      </c>
      <c r="AJ116" s="144">
        <v>0.46</v>
      </c>
      <c r="AK116" s="144">
        <v>0.46</v>
      </c>
      <c r="AL116" s="144">
        <v>0.46</v>
      </c>
      <c r="AM116" s="144">
        <v>0.46</v>
      </c>
      <c r="AN116" s="153">
        <v>0.46</v>
      </c>
      <c r="AO116" s="105">
        <v>0</v>
      </c>
      <c r="AP116" s="118">
        <f t="shared" si="48"/>
        <v>0</v>
      </c>
      <c r="AQ116" s="105">
        <v>0</v>
      </c>
      <c r="AR116" s="118">
        <f t="shared" si="2"/>
        <v>0</v>
      </c>
      <c r="AS116" s="105">
        <v>0</v>
      </c>
      <c r="AT116" s="127">
        <f t="shared" si="3"/>
        <v>0</v>
      </c>
      <c r="AU116" s="5">
        <v>0</v>
      </c>
      <c r="AV116" s="118">
        <f t="shared" si="4"/>
        <v>0</v>
      </c>
      <c r="AW116" s="105">
        <v>1000</v>
      </c>
      <c r="AX116" s="118">
        <f t="shared" si="5"/>
        <v>460</v>
      </c>
      <c r="AY116" s="105">
        <v>0</v>
      </c>
      <c r="AZ116" s="127">
        <f t="shared" ref="AZ116:AZ179" si="51">AH116*AY116</f>
        <v>0</v>
      </c>
      <c r="BA116" s="105">
        <v>0</v>
      </c>
      <c r="BB116" s="118">
        <f t="shared" si="7"/>
        <v>0</v>
      </c>
      <c r="BC116" s="105">
        <v>1000</v>
      </c>
      <c r="BD116" s="118">
        <f t="shared" si="8"/>
        <v>460</v>
      </c>
      <c r="BE116" s="5">
        <v>0</v>
      </c>
      <c r="BF116" s="127">
        <f t="shared" ref="BF116:BF121" si="52">AK116*BE116</f>
        <v>0</v>
      </c>
      <c r="BG116" s="105">
        <v>0</v>
      </c>
      <c r="BH116" s="118">
        <f t="shared" si="50"/>
        <v>0</v>
      </c>
      <c r="BI116" s="5">
        <v>0</v>
      </c>
      <c r="BJ116" s="118">
        <f t="shared" si="11"/>
        <v>0</v>
      </c>
      <c r="BK116" s="5">
        <v>0</v>
      </c>
      <c r="BL116" s="127">
        <f t="shared" ref="BL116:BL121" si="53">AN116*BK116</f>
        <v>0</v>
      </c>
      <c r="BM116" s="220" t="s">
        <v>606</v>
      </c>
      <c r="BO116" s="1" t="s">
        <v>573</v>
      </c>
      <c r="BP116" s="233" t="s">
        <v>607</v>
      </c>
      <c r="BQ116" s="233"/>
      <c r="BR116" s="234"/>
    </row>
    <row r="117" spans="1:70">
      <c r="A117" s="219" t="s">
        <v>451</v>
      </c>
      <c r="B117" s="106" t="s">
        <v>244</v>
      </c>
      <c r="C117" s="66" t="s">
        <v>175</v>
      </c>
      <c r="D117" s="284"/>
      <c r="E117" s="77" t="s">
        <v>253</v>
      </c>
      <c r="F117" s="282"/>
      <c r="G117" s="71" t="s">
        <v>202</v>
      </c>
      <c r="H117" s="70" t="s">
        <v>604</v>
      </c>
      <c r="I117" s="70" t="s">
        <v>381</v>
      </c>
      <c r="J117" s="71" t="s">
        <v>605</v>
      </c>
      <c r="K117" s="70" t="s">
        <v>250</v>
      </c>
      <c r="L117" s="69" t="s">
        <v>257</v>
      </c>
      <c r="M117" s="180" t="s">
        <v>608</v>
      </c>
      <c r="N117" s="68">
        <v>12.97</v>
      </c>
      <c r="O117" s="58">
        <v>12.97</v>
      </c>
      <c r="P117" s="144">
        <v>12.97</v>
      </c>
      <c r="Q117" s="144">
        <v>12.97</v>
      </c>
      <c r="R117" s="144">
        <v>12.97</v>
      </c>
      <c r="S117" s="144">
        <v>12.97</v>
      </c>
      <c r="T117" s="144">
        <v>12.97</v>
      </c>
      <c r="U117" s="144">
        <v>12.97</v>
      </c>
      <c r="V117" s="144">
        <v>12.97</v>
      </c>
      <c r="W117" s="144">
        <v>12.97</v>
      </c>
      <c r="X117" s="144">
        <v>12.97</v>
      </c>
      <c r="Y117" s="144">
        <v>12.97</v>
      </c>
      <c r="Z117" s="144">
        <v>12.97</v>
      </c>
      <c r="AA117" s="58">
        <v>12.97</v>
      </c>
      <c r="AB117" s="68">
        <v>0.46</v>
      </c>
      <c r="AC117" s="144">
        <v>0.46</v>
      </c>
      <c r="AD117" s="144">
        <v>0.46</v>
      </c>
      <c r="AE117" s="144">
        <v>0.46</v>
      </c>
      <c r="AF117" s="144">
        <v>0.46</v>
      </c>
      <c r="AG117" s="144">
        <v>0.46</v>
      </c>
      <c r="AH117" s="144">
        <v>0.46</v>
      </c>
      <c r="AI117" s="144">
        <v>0.46</v>
      </c>
      <c r="AJ117" s="144">
        <v>0.46</v>
      </c>
      <c r="AK117" s="144">
        <v>0.46</v>
      </c>
      <c r="AL117" s="144">
        <v>0.46</v>
      </c>
      <c r="AM117" s="144">
        <v>0.46</v>
      </c>
      <c r="AN117" s="153">
        <v>0.46</v>
      </c>
      <c r="AO117" s="105">
        <v>1000</v>
      </c>
      <c r="AP117" s="118">
        <f t="shared" si="48"/>
        <v>460</v>
      </c>
      <c r="AQ117" s="105">
        <v>0</v>
      </c>
      <c r="AR117" s="118">
        <f t="shared" si="2"/>
        <v>0</v>
      </c>
      <c r="AS117" s="105">
        <v>0</v>
      </c>
      <c r="AT117" s="127">
        <f t="shared" si="3"/>
        <v>0</v>
      </c>
      <c r="AU117" s="5">
        <v>0</v>
      </c>
      <c r="AV117" s="118">
        <f t="shared" si="4"/>
        <v>0</v>
      </c>
      <c r="AW117" s="105">
        <v>0</v>
      </c>
      <c r="AX117" s="118">
        <f t="shared" si="5"/>
        <v>0</v>
      </c>
      <c r="AY117" s="105">
        <v>0</v>
      </c>
      <c r="AZ117" s="127">
        <f t="shared" si="51"/>
        <v>0</v>
      </c>
      <c r="BA117" s="105">
        <v>1000</v>
      </c>
      <c r="BB117" s="118">
        <f t="shared" si="7"/>
        <v>460</v>
      </c>
      <c r="BC117" s="105">
        <v>0</v>
      </c>
      <c r="BD117" s="118">
        <f t="shared" si="8"/>
        <v>0</v>
      </c>
      <c r="BE117" s="5">
        <v>0</v>
      </c>
      <c r="BF117" s="127">
        <f t="shared" si="52"/>
        <v>0</v>
      </c>
      <c r="BG117" s="105">
        <v>1000</v>
      </c>
      <c r="BH117" s="118">
        <f t="shared" si="50"/>
        <v>460</v>
      </c>
      <c r="BI117" s="5">
        <v>0</v>
      </c>
      <c r="BJ117" s="118">
        <f t="shared" si="11"/>
        <v>0</v>
      </c>
      <c r="BK117" s="5">
        <v>0</v>
      </c>
      <c r="BL117" s="127">
        <f t="shared" si="53"/>
        <v>0</v>
      </c>
      <c r="BM117" s="220" t="s">
        <v>606</v>
      </c>
      <c r="BO117" s="1" t="s">
        <v>578</v>
      </c>
      <c r="BP117" s="233" t="s">
        <v>609</v>
      </c>
      <c r="BQ117" s="233"/>
      <c r="BR117" s="234"/>
    </row>
    <row r="118" spans="1:70">
      <c r="A118" s="219" t="s">
        <v>451</v>
      </c>
      <c r="B118" s="106" t="s">
        <v>244</v>
      </c>
      <c r="C118" s="66" t="s">
        <v>175</v>
      </c>
      <c r="D118" s="284"/>
      <c r="E118" s="77" t="s">
        <v>253</v>
      </c>
      <c r="F118" s="282"/>
      <c r="G118" s="71" t="s">
        <v>202</v>
      </c>
      <c r="H118" s="70" t="s">
        <v>604</v>
      </c>
      <c r="I118" s="70" t="s">
        <v>381</v>
      </c>
      <c r="J118" s="71" t="s">
        <v>605</v>
      </c>
      <c r="K118" s="70" t="s">
        <v>250</v>
      </c>
      <c r="L118" s="69" t="s">
        <v>257</v>
      </c>
      <c r="M118" s="180" t="s">
        <v>568</v>
      </c>
      <c r="N118" s="68">
        <v>12.97</v>
      </c>
      <c r="O118" s="58">
        <v>12.97</v>
      </c>
      <c r="P118" s="144">
        <v>12.97</v>
      </c>
      <c r="Q118" s="144">
        <v>12.97</v>
      </c>
      <c r="R118" s="144">
        <v>12.97</v>
      </c>
      <c r="S118" s="144">
        <v>12.97</v>
      </c>
      <c r="T118" s="144">
        <v>12.97</v>
      </c>
      <c r="U118" s="144">
        <v>12.97</v>
      </c>
      <c r="V118" s="144">
        <v>12.97</v>
      </c>
      <c r="W118" s="144">
        <v>12.97</v>
      </c>
      <c r="X118" s="144">
        <v>12.97</v>
      </c>
      <c r="Y118" s="144">
        <v>12.97</v>
      </c>
      <c r="Z118" s="144">
        <v>12.97</v>
      </c>
      <c r="AA118" s="58">
        <v>12.97</v>
      </c>
      <c r="AB118" s="68">
        <v>0.46</v>
      </c>
      <c r="AC118" s="144">
        <v>0.46</v>
      </c>
      <c r="AD118" s="144">
        <v>0.46</v>
      </c>
      <c r="AE118" s="144">
        <v>0.46</v>
      </c>
      <c r="AF118" s="144">
        <v>0.46</v>
      </c>
      <c r="AG118" s="144">
        <v>0.46</v>
      </c>
      <c r="AH118" s="144">
        <v>0.46</v>
      </c>
      <c r="AI118" s="144">
        <v>0.46</v>
      </c>
      <c r="AJ118" s="144">
        <v>0.46</v>
      </c>
      <c r="AK118" s="144">
        <v>0.46</v>
      </c>
      <c r="AL118" s="144">
        <v>0.46</v>
      </c>
      <c r="AM118" s="144">
        <v>0.46</v>
      </c>
      <c r="AN118" s="153">
        <v>0.46</v>
      </c>
      <c r="AO118" s="105">
        <v>0</v>
      </c>
      <c r="AP118" s="118">
        <f t="shared" si="48"/>
        <v>0</v>
      </c>
      <c r="AQ118" s="105">
        <v>0</v>
      </c>
      <c r="AR118" s="118">
        <f t="shared" si="2"/>
        <v>0</v>
      </c>
      <c r="AS118" s="105">
        <v>0</v>
      </c>
      <c r="AT118" s="127">
        <f t="shared" si="3"/>
        <v>0</v>
      </c>
      <c r="AU118" s="5">
        <v>0</v>
      </c>
      <c r="AV118" s="118">
        <f t="shared" si="4"/>
        <v>0</v>
      </c>
      <c r="AW118" s="105">
        <v>1000</v>
      </c>
      <c r="AX118" s="118">
        <f t="shared" si="5"/>
        <v>460</v>
      </c>
      <c r="AY118" s="105">
        <v>0</v>
      </c>
      <c r="AZ118" s="127">
        <f t="shared" si="51"/>
        <v>0</v>
      </c>
      <c r="BA118" s="105">
        <v>0</v>
      </c>
      <c r="BB118" s="118">
        <f t="shared" si="7"/>
        <v>0</v>
      </c>
      <c r="BC118" s="105">
        <v>0</v>
      </c>
      <c r="BD118" s="118">
        <f t="shared" si="8"/>
        <v>0</v>
      </c>
      <c r="BE118" s="5">
        <v>0</v>
      </c>
      <c r="BF118" s="127">
        <f t="shared" si="52"/>
        <v>0</v>
      </c>
      <c r="BG118" s="105">
        <v>0</v>
      </c>
      <c r="BH118" s="118">
        <f t="shared" si="50"/>
        <v>0</v>
      </c>
      <c r="BI118" s="5">
        <v>0</v>
      </c>
      <c r="BJ118" s="118">
        <f t="shared" si="11"/>
        <v>0</v>
      </c>
      <c r="BK118" s="5">
        <v>0</v>
      </c>
      <c r="BL118" s="127">
        <f t="shared" si="53"/>
        <v>0</v>
      </c>
      <c r="BM118" s="220" t="s">
        <v>606</v>
      </c>
      <c r="BO118" s="1" t="s">
        <v>570</v>
      </c>
      <c r="BP118" s="233" t="s">
        <v>610</v>
      </c>
      <c r="BQ118" s="233"/>
      <c r="BR118" s="234"/>
    </row>
    <row r="119" spans="1:70">
      <c r="A119" s="219" t="s">
        <v>451</v>
      </c>
      <c r="B119" s="106" t="s">
        <v>244</v>
      </c>
      <c r="C119" s="66" t="s">
        <v>175</v>
      </c>
      <c r="D119" s="284"/>
      <c r="E119" s="77" t="s">
        <v>253</v>
      </c>
      <c r="F119" s="282"/>
      <c r="G119" s="71" t="s">
        <v>202</v>
      </c>
      <c r="H119" s="70" t="s">
        <v>611</v>
      </c>
      <c r="I119" s="70" t="s">
        <v>381</v>
      </c>
      <c r="J119" s="71" t="s">
        <v>605</v>
      </c>
      <c r="K119" s="70" t="s">
        <v>250</v>
      </c>
      <c r="L119" s="69" t="s">
        <v>257</v>
      </c>
      <c r="M119" s="180" t="s">
        <v>568</v>
      </c>
      <c r="N119" s="68">
        <v>12.97</v>
      </c>
      <c r="O119" s="58">
        <v>12.97</v>
      </c>
      <c r="P119" s="144">
        <v>12.97</v>
      </c>
      <c r="Q119" s="144">
        <v>12.97</v>
      </c>
      <c r="R119" s="144">
        <v>12.97</v>
      </c>
      <c r="S119" s="144">
        <v>12.97</v>
      </c>
      <c r="T119" s="144">
        <v>12.97</v>
      </c>
      <c r="U119" s="144">
        <v>12.97</v>
      </c>
      <c r="V119" s="144">
        <v>12.97</v>
      </c>
      <c r="W119" s="144">
        <v>12.97</v>
      </c>
      <c r="X119" s="144">
        <v>12.97</v>
      </c>
      <c r="Y119" s="144">
        <v>12.97</v>
      </c>
      <c r="Z119" s="144">
        <v>12.97</v>
      </c>
      <c r="AA119" s="58">
        <v>12.97</v>
      </c>
      <c r="AB119" s="68">
        <v>0.46</v>
      </c>
      <c r="AC119" s="144">
        <v>0.46</v>
      </c>
      <c r="AD119" s="144">
        <v>0.46</v>
      </c>
      <c r="AE119" s="144">
        <v>0.46</v>
      </c>
      <c r="AF119" s="144">
        <v>0.46</v>
      </c>
      <c r="AG119" s="144">
        <v>0.46</v>
      </c>
      <c r="AH119" s="144">
        <v>0.46</v>
      </c>
      <c r="AI119" s="144">
        <v>0.46</v>
      </c>
      <c r="AJ119" s="144">
        <v>0.46</v>
      </c>
      <c r="AK119" s="144">
        <v>0.46</v>
      </c>
      <c r="AL119" s="144">
        <v>0.46</v>
      </c>
      <c r="AM119" s="144">
        <v>0.46</v>
      </c>
      <c r="AN119" s="153">
        <v>0.46</v>
      </c>
      <c r="AO119" s="105">
        <v>0</v>
      </c>
      <c r="AP119" s="118">
        <f t="shared" si="48"/>
        <v>0</v>
      </c>
      <c r="AQ119" s="105">
        <v>1000</v>
      </c>
      <c r="AR119" s="118">
        <f t="shared" si="2"/>
        <v>460</v>
      </c>
      <c r="AS119" s="105">
        <v>0</v>
      </c>
      <c r="AT119" s="127">
        <f t="shared" si="3"/>
        <v>0</v>
      </c>
      <c r="AU119" s="5">
        <v>0</v>
      </c>
      <c r="AV119" s="118">
        <f t="shared" si="4"/>
        <v>0</v>
      </c>
      <c r="AW119" s="105">
        <v>0</v>
      </c>
      <c r="AX119" s="118">
        <f t="shared" si="5"/>
        <v>0</v>
      </c>
      <c r="AY119" s="105">
        <v>0</v>
      </c>
      <c r="AZ119" s="127">
        <f t="shared" si="51"/>
        <v>0</v>
      </c>
      <c r="BA119" s="105">
        <v>0</v>
      </c>
      <c r="BB119" s="118">
        <f t="shared" si="7"/>
        <v>0</v>
      </c>
      <c r="BC119" s="105">
        <v>0</v>
      </c>
      <c r="BD119" s="118">
        <f t="shared" si="8"/>
        <v>0</v>
      </c>
      <c r="BE119" s="5">
        <v>0</v>
      </c>
      <c r="BF119" s="127">
        <f t="shared" si="52"/>
        <v>0</v>
      </c>
      <c r="BG119" s="105">
        <v>0</v>
      </c>
      <c r="BH119" s="118">
        <f t="shared" si="50"/>
        <v>0</v>
      </c>
      <c r="BI119" s="5">
        <v>0</v>
      </c>
      <c r="BJ119" s="118">
        <f t="shared" si="11"/>
        <v>0</v>
      </c>
      <c r="BK119" s="5">
        <v>0</v>
      </c>
      <c r="BL119" s="127">
        <f t="shared" si="53"/>
        <v>0</v>
      </c>
      <c r="BM119" s="220" t="s">
        <v>606</v>
      </c>
      <c r="BO119" s="1" t="s">
        <v>573</v>
      </c>
      <c r="BP119" s="233" t="s">
        <v>612</v>
      </c>
      <c r="BQ119" s="233"/>
      <c r="BR119" s="234"/>
    </row>
    <row r="120" spans="1:70">
      <c r="A120" s="219" t="s">
        <v>451</v>
      </c>
      <c r="B120" s="106" t="s">
        <v>244</v>
      </c>
      <c r="C120" s="66" t="s">
        <v>175</v>
      </c>
      <c r="D120" s="284"/>
      <c r="E120" s="77" t="s">
        <v>253</v>
      </c>
      <c r="F120" s="282"/>
      <c r="G120" s="71" t="s">
        <v>202</v>
      </c>
      <c r="H120" s="70" t="s">
        <v>611</v>
      </c>
      <c r="I120" s="70" t="s">
        <v>381</v>
      </c>
      <c r="J120" s="71" t="s">
        <v>605</v>
      </c>
      <c r="K120" s="70" t="s">
        <v>250</v>
      </c>
      <c r="L120" s="69" t="s">
        <v>257</v>
      </c>
      <c r="M120" s="180" t="s">
        <v>608</v>
      </c>
      <c r="N120" s="68">
        <v>12.97</v>
      </c>
      <c r="O120" s="58">
        <v>12.97</v>
      </c>
      <c r="P120" s="144">
        <v>12.97</v>
      </c>
      <c r="Q120" s="144">
        <v>12.97</v>
      </c>
      <c r="R120" s="144">
        <v>12.97</v>
      </c>
      <c r="S120" s="144">
        <v>12.97</v>
      </c>
      <c r="T120" s="144">
        <v>12.97</v>
      </c>
      <c r="U120" s="144">
        <v>12.97</v>
      </c>
      <c r="V120" s="144">
        <v>12.97</v>
      </c>
      <c r="W120" s="144">
        <v>12.97</v>
      </c>
      <c r="X120" s="144">
        <v>12.97</v>
      </c>
      <c r="Y120" s="144">
        <v>12.97</v>
      </c>
      <c r="Z120" s="144">
        <v>12.97</v>
      </c>
      <c r="AA120" s="58">
        <v>12.97</v>
      </c>
      <c r="AB120" s="68">
        <v>0.46</v>
      </c>
      <c r="AC120" s="144">
        <v>0.46</v>
      </c>
      <c r="AD120" s="144">
        <v>0.46</v>
      </c>
      <c r="AE120" s="144">
        <v>0.46</v>
      </c>
      <c r="AF120" s="144">
        <v>0.46</v>
      </c>
      <c r="AG120" s="144">
        <v>0.46</v>
      </c>
      <c r="AH120" s="144">
        <v>0.46</v>
      </c>
      <c r="AI120" s="144">
        <v>0.46</v>
      </c>
      <c r="AJ120" s="144">
        <v>0.46</v>
      </c>
      <c r="AK120" s="144">
        <v>0.46</v>
      </c>
      <c r="AL120" s="144">
        <v>0.46</v>
      </c>
      <c r="AM120" s="144">
        <v>0.46</v>
      </c>
      <c r="AN120" s="153">
        <v>0.46</v>
      </c>
      <c r="AO120" s="105">
        <v>0</v>
      </c>
      <c r="AP120" s="118">
        <f t="shared" si="48"/>
        <v>0</v>
      </c>
      <c r="AQ120" s="105">
        <v>0</v>
      </c>
      <c r="AR120" s="118">
        <f t="shared" si="2"/>
        <v>0</v>
      </c>
      <c r="AS120" s="105">
        <v>0</v>
      </c>
      <c r="AT120" s="127">
        <f t="shared" si="3"/>
        <v>0</v>
      </c>
      <c r="AU120" s="5">
        <v>0</v>
      </c>
      <c r="AV120" s="118">
        <f t="shared" si="4"/>
        <v>0</v>
      </c>
      <c r="AW120" s="105">
        <v>0</v>
      </c>
      <c r="AX120" s="118">
        <f t="shared" si="5"/>
        <v>0</v>
      </c>
      <c r="AY120" s="105">
        <v>0</v>
      </c>
      <c r="AZ120" s="127">
        <f t="shared" si="51"/>
        <v>0</v>
      </c>
      <c r="BA120" s="105">
        <v>0</v>
      </c>
      <c r="BB120" s="118">
        <f t="shared" si="7"/>
        <v>0</v>
      </c>
      <c r="BC120" s="105">
        <v>1000</v>
      </c>
      <c r="BD120" s="118">
        <f t="shared" si="8"/>
        <v>460</v>
      </c>
      <c r="BE120" s="5">
        <v>0</v>
      </c>
      <c r="BF120" s="127">
        <f t="shared" si="52"/>
        <v>0</v>
      </c>
      <c r="BG120" s="105">
        <v>0</v>
      </c>
      <c r="BH120" s="118">
        <f t="shared" si="50"/>
        <v>0</v>
      </c>
      <c r="BI120" s="5">
        <v>0</v>
      </c>
      <c r="BJ120" s="118">
        <f t="shared" si="11"/>
        <v>0</v>
      </c>
      <c r="BK120" s="5">
        <v>0</v>
      </c>
      <c r="BL120" s="127">
        <f t="shared" si="53"/>
        <v>0</v>
      </c>
      <c r="BM120" s="220" t="s">
        <v>606</v>
      </c>
      <c r="BO120" s="1" t="s">
        <v>570</v>
      </c>
      <c r="BP120" s="233" t="s">
        <v>613</v>
      </c>
      <c r="BQ120" s="233"/>
      <c r="BR120" s="234"/>
    </row>
    <row r="121" spans="1:70">
      <c r="A121" s="219" t="s">
        <v>451</v>
      </c>
      <c r="B121" s="106" t="s">
        <v>244</v>
      </c>
      <c r="C121" s="66" t="s">
        <v>175</v>
      </c>
      <c r="D121" s="284"/>
      <c r="E121" s="77" t="s">
        <v>253</v>
      </c>
      <c r="F121" s="282"/>
      <c r="G121" s="71" t="s">
        <v>202</v>
      </c>
      <c r="H121" s="70" t="s">
        <v>611</v>
      </c>
      <c r="I121" s="70" t="s">
        <v>381</v>
      </c>
      <c r="J121" s="71" t="s">
        <v>605</v>
      </c>
      <c r="K121" s="70" t="s">
        <v>250</v>
      </c>
      <c r="L121" s="69" t="s">
        <v>257</v>
      </c>
      <c r="M121" s="180" t="s">
        <v>568</v>
      </c>
      <c r="N121" s="68">
        <v>12.97</v>
      </c>
      <c r="O121" s="58">
        <v>12.97</v>
      </c>
      <c r="P121" s="144">
        <v>12.97</v>
      </c>
      <c r="Q121" s="144">
        <v>12.97</v>
      </c>
      <c r="R121" s="144">
        <v>12.97</v>
      </c>
      <c r="S121" s="144">
        <v>12.97</v>
      </c>
      <c r="T121" s="144">
        <v>12.97</v>
      </c>
      <c r="U121" s="144">
        <v>12.97</v>
      </c>
      <c r="V121" s="144">
        <v>12.97</v>
      </c>
      <c r="W121" s="144">
        <v>12.97</v>
      </c>
      <c r="X121" s="144">
        <v>12.97</v>
      </c>
      <c r="Y121" s="144">
        <v>12.97</v>
      </c>
      <c r="Z121" s="144">
        <v>12.97</v>
      </c>
      <c r="AA121" s="58">
        <v>12.97</v>
      </c>
      <c r="AB121" s="68">
        <v>0.46</v>
      </c>
      <c r="AC121" s="144">
        <v>0.46</v>
      </c>
      <c r="AD121" s="144">
        <v>0.46</v>
      </c>
      <c r="AE121" s="144">
        <v>0.46</v>
      </c>
      <c r="AF121" s="144">
        <v>0.46</v>
      </c>
      <c r="AG121" s="144">
        <v>0.46</v>
      </c>
      <c r="AH121" s="144">
        <v>0.46</v>
      </c>
      <c r="AI121" s="144">
        <v>0.46</v>
      </c>
      <c r="AJ121" s="144">
        <v>0.46</v>
      </c>
      <c r="AK121" s="144">
        <v>0.46</v>
      </c>
      <c r="AL121" s="144">
        <v>0.46</v>
      </c>
      <c r="AM121" s="144">
        <v>0.46</v>
      </c>
      <c r="AN121" s="153">
        <v>0.46</v>
      </c>
      <c r="AO121" s="105">
        <v>0</v>
      </c>
      <c r="AP121" s="118">
        <f t="shared" si="48"/>
        <v>0</v>
      </c>
      <c r="AQ121" s="105">
        <v>0</v>
      </c>
      <c r="AR121" s="118">
        <f t="shared" si="2"/>
        <v>0</v>
      </c>
      <c r="AS121" s="105">
        <v>0</v>
      </c>
      <c r="AT121" s="127">
        <f t="shared" si="3"/>
        <v>0</v>
      </c>
      <c r="AU121" s="5">
        <v>0</v>
      </c>
      <c r="AV121" s="118">
        <f t="shared" si="4"/>
        <v>0</v>
      </c>
      <c r="AW121" s="105">
        <v>0</v>
      </c>
      <c r="AX121" s="118">
        <f t="shared" si="5"/>
        <v>0</v>
      </c>
      <c r="AY121" s="105">
        <v>0</v>
      </c>
      <c r="AZ121" s="127">
        <f t="shared" si="51"/>
        <v>0</v>
      </c>
      <c r="BA121" s="105">
        <v>0</v>
      </c>
      <c r="BB121" s="118">
        <f t="shared" si="7"/>
        <v>0</v>
      </c>
      <c r="BC121" s="105">
        <v>0</v>
      </c>
      <c r="BD121" s="118">
        <f t="shared" si="8"/>
        <v>0</v>
      </c>
      <c r="BE121" s="5">
        <v>0</v>
      </c>
      <c r="BF121" s="127">
        <f t="shared" si="52"/>
        <v>0</v>
      </c>
      <c r="BG121" s="105">
        <v>0</v>
      </c>
      <c r="BH121" s="118">
        <f t="shared" si="50"/>
        <v>0</v>
      </c>
      <c r="BI121" s="5">
        <v>0</v>
      </c>
      <c r="BJ121" s="118">
        <f t="shared" si="11"/>
        <v>0</v>
      </c>
      <c r="BK121" s="5">
        <v>0</v>
      </c>
      <c r="BL121" s="127">
        <f t="shared" si="53"/>
        <v>0</v>
      </c>
      <c r="BM121" s="220" t="s">
        <v>606</v>
      </c>
      <c r="BO121" s="1" t="s">
        <v>570</v>
      </c>
      <c r="BP121" s="233" t="s">
        <v>614</v>
      </c>
      <c r="BQ121" s="233"/>
      <c r="BR121" s="234"/>
    </row>
    <row r="122" spans="1:70">
      <c r="A122" s="219" t="s">
        <v>451</v>
      </c>
      <c r="B122" s="106" t="s">
        <v>244</v>
      </c>
      <c r="C122" s="66" t="s">
        <v>175</v>
      </c>
      <c r="D122" s="284"/>
      <c r="E122" s="77" t="s">
        <v>253</v>
      </c>
      <c r="F122" s="282"/>
      <c r="G122" s="71" t="s">
        <v>202</v>
      </c>
      <c r="H122" s="70" t="s">
        <v>615</v>
      </c>
      <c r="I122" s="70" t="s">
        <v>184</v>
      </c>
      <c r="J122" s="71" t="s">
        <v>567</v>
      </c>
      <c r="K122" s="70" t="s">
        <v>250</v>
      </c>
      <c r="L122" s="69" t="s">
        <v>257</v>
      </c>
      <c r="M122" s="180" t="s">
        <v>568</v>
      </c>
      <c r="N122" s="68">
        <v>15.75</v>
      </c>
      <c r="O122" s="58">
        <v>15.75</v>
      </c>
      <c r="P122" s="144">
        <v>15.75</v>
      </c>
      <c r="Q122" s="144">
        <v>15.75</v>
      </c>
      <c r="R122" s="144">
        <v>15.75</v>
      </c>
      <c r="S122" s="144">
        <v>15.75</v>
      </c>
      <c r="T122" s="144">
        <v>15.75</v>
      </c>
      <c r="U122" s="144">
        <v>15.75</v>
      </c>
      <c r="V122" s="144">
        <v>15.75</v>
      </c>
      <c r="W122" s="144">
        <v>15.75</v>
      </c>
      <c r="X122" s="144">
        <v>15.75</v>
      </c>
      <c r="Y122" s="144">
        <v>15.75</v>
      </c>
      <c r="Z122" s="144">
        <v>15.75</v>
      </c>
      <c r="AA122" s="58">
        <v>15.75</v>
      </c>
      <c r="AB122" s="68">
        <v>0.46</v>
      </c>
      <c r="AC122" s="144">
        <v>0.46</v>
      </c>
      <c r="AD122" s="144">
        <v>0.46</v>
      </c>
      <c r="AE122" s="144">
        <v>0.46</v>
      </c>
      <c r="AF122" s="144">
        <v>0.46</v>
      </c>
      <c r="AG122" s="144">
        <v>0.46</v>
      </c>
      <c r="AH122" s="144">
        <v>0.46</v>
      </c>
      <c r="AI122" s="144">
        <v>0.46</v>
      </c>
      <c r="AJ122" s="144">
        <v>0.46</v>
      </c>
      <c r="AK122" s="144">
        <v>0.46</v>
      </c>
      <c r="AL122" s="144">
        <v>0.46</v>
      </c>
      <c r="AM122" s="144">
        <v>0.46</v>
      </c>
      <c r="AN122" s="153">
        <v>0.46</v>
      </c>
      <c r="AO122" s="105">
        <v>0</v>
      </c>
      <c r="AP122" s="118">
        <f t="shared" si="48"/>
        <v>0</v>
      </c>
      <c r="AQ122" s="105">
        <v>0</v>
      </c>
      <c r="AR122" s="118">
        <f t="shared" si="2"/>
        <v>0</v>
      </c>
      <c r="AS122" s="105">
        <v>0</v>
      </c>
      <c r="AT122" s="127">
        <f t="shared" si="3"/>
        <v>0</v>
      </c>
      <c r="AU122" s="5">
        <v>0</v>
      </c>
      <c r="AV122" s="118">
        <f t="shared" si="4"/>
        <v>0</v>
      </c>
      <c r="AW122" s="105">
        <v>1000</v>
      </c>
      <c r="AX122" s="118">
        <f t="shared" si="5"/>
        <v>460</v>
      </c>
      <c r="AY122" s="105">
        <v>0</v>
      </c>
      <c r="AZ122" s="127">
        <f t="shared" si="51"/>
        <v>0</v>
      </c>
      <c r="BA122" s="105">
        <v>0</v>
      </c>
      <c r="BB122" s="118">
        <f t="shared" si="7"/>
        <v>0</v>
      </c>
      <c r="BC122" s="105">
        <v>0</v>
      </c>
      <c r="BD122" s="118">
        <f t="shared" si="8"/>
        <v>0</v>
      </c>
      <c r="BE122" s="5">
        <v>0</v>
      </c>
      <c r="BF122" s="127">
        <f t="shared" ref="BF122:BF185" si="54">AK122*BE122</f>
        <v>0</v>
      </c>
      <c r="BG122" s="105">
        <v>0</v>
      </c>
      <c r="BH122" s="118">
        <f t="shared" si="50"/>
        <v>0</v>
      </c>
      <c r="BI122" s="5">
        <v>0</v>
      </c>
      <c r="BJ122" s="118">
        <f t="shared" si="11"/>
        <v>0</v>
      </c>
      <c r="BK122" s="5">
        <v>0</v>
      </c>
      <c r="BL122" s="127">
        <f t="shared" ref="BL122:BL185" si="55">AN122*BK122</f>
        <v>0</v>
      </c>
      <c r="BM122" s="220" t="s">
        <v>616</v>
      </c>
      <c r="BO122" s="1" t="s">
        <v>573</v>
      </c>
      <c r="BP122" s="233" t="s">
        <v>617</v>
      </c>
      <c r="BQ122" s="233"/>
      <c r="BR122" s="234"/>
    </row>
    <row r="123" spans="1:70">
      <c r="A123" s="219" t="s">
        <v>451</v>
      </c>
      <c r="B123" s="106" t="s">
        <v>244</v>
      </c>
      <c r="C123" s="66" t="s">
        <v>175</v>
      </c>
      <c r="D123" s="284"/>
      <c r="E123" s="77" t="s">
        <v>253</v>
      </c>
      <c r="F123" s="282"/>
      <c r="G123" s="71" t="s">
        <v>202</v>
      </c>
      <c r="H123" s="70" t="s">
        <v>615</v>
      </c>
      <c r="I123" s="70" t="s">
        <v>184</v>
      </c>
      <c r="J123" s="71" t="s">
        <v>567</v>
      </c>
      <c r="K123" s="70" t="s">
        <v>250</v>
      </c>
      <c r="L123" s="69" t="s">
        <v>257</v>
      </c>
      <c r="M123" s="180" t="s">
        <v>568</v>
      </c>
      <c r="N123" s="68">
        <v>15.75</v>
      </c>
      <c r="O123" s="58">
        <v>15.75</v>
      </c>
      <c r="P123" s="144">
        <v>15.75</v>
      </c>
      <c r="Q123" s="144">
        <v>15.75</v>
      </c>
      <c r="R123" s="144">
        <v>15.75</v>
      </c>
      <c r="S123" s="144">
        <v>15.75</v>
      </c>
      <c r="T123" s="144">
        <v>15.75</v>
      </c>
      <c r="U123" s="144">
        <v>15.75</v>
      </c>
      <c r="V123" s="144">
        <v>15.75</v>
      </c>
      <c r="W123" s="144">
        <v>15.75</v>
      </c>
      <c r="X123" s="144">
        <v>15.75</v>
      </c>
      <c r="Y123" s="144">
        <v>15.75</v>
      </c>
      <c r="Z123" s="144">
        <v>15.75</v>
      </c>
      <c r="AA123" s="58">
        <v>15.75</v>
      </c>
      <c r="AB123" s="68">
        <v>0.46</v>
      </c>
      <c r="AC123" s="144">
        <v>0.46</v>
      </c>
      <c r="AD123" s="144">
        <v>0.46</v>
      </c>
      <c r="AE123" s="144">
        <v>0.46</v>
      </c>
      <c r="AF123" s="144">
        <v>0.46</v>
      </c>
      <c r="AG123" s="144">
        <v>0.46</v>
      </c>
      <c r="AH123" s="144">
        <v>0.46</v>
      </c>
      <c r="AI123" s="144">
        <v>0.46</v>
      </c>
      <c r="AJ123" s="144">
        <v>0.46</v>
      </c>
      <c r="AK123" s="144">
        <v>0.46</v>
      </c>
      <c r="AL123" s="144">
        <v>0.46</v>
      </c>
      <c r="AM123" s="144">
        <v>0.46</v>
      </c>
      <c r="AN123" s="153">
        <v>0.46</v>
      </c>
      <c r="AO123" s="105">
        <v>0</v>
      </c>
      <c r="AP123" s="118">
        <f t="shared" si="48"/>
        <v>0</v>
      </c>
      <c r="AQ123" s="105">
        <v>0</v>
      </c>
      <c r="AR123" s="118">
        <f t="shared" si="2"/>
        <v>0</v>
      </c>
      <c r="AS123" s="105">
        <v>0</v>
      </c>
      <c r="AT123" s="127">
        <f t="shared" si="3"/>
        <v>0</v>
      </c>
      <c r="AU123" s="5">
        <v>0</v>
      </c>
      <c r="AV123" s="118">
        <f t="shared" si="4"/>
        <v>0</v>
      </c>
      <c r="AW123" s="105">
        <v>0</v>
      </c>
      <c r="AX123" s="118">
        <f t="shared" si="5"/>
        <v>0</v>
      </c>
      <c r="AY123" s="105">
        <v>0</v>
      </c>
      <c r="AZ123" s="127">
        <f t="shared" si="51"/>
        <v>0</v>
      </c>
      <c r="BA123" s="105">
        <v>0</v>
      </c>
      <c r="BB123" s="118">
        <f t="shared" si="7"/>
        <v>0</v>
      </c>
      <c r="BC123" s="105">
        <v>0</v>
      </c>
      <c r="BD123" s="118">
        <f t="shared" si="8"/>
        <v>0</v>
      </c>
      <c r="BE123" s="5">
        <v>0</v>
      </c>
      <c r="BF123" s="127">
        <f t="shared" si="54"/>
        <v>0</v>
      </c>
      <c r="BG123" s="105">
        <v>0</v>
      </c>
      <c r="BH123" s="118">
        <f t="shared" si="50"/>
        <v>0</v>
      </c>
      <c r="BI123" s="5">
        <v>0</v>
      </c>
      <c r="BJ123" s="118">
        <f t="shared" si="11"/>
        <v>0</v>
      </c>
      <c r="BK123" s="5">
        <v>0</v>
      </c>
      <c r="BL123" s="127">
        <f t="shared" si="55"/>
        <v>0</v>
      </c>
      <c r="BM123" s="220" t="s">
        <v>616</v>
      </c>
      <c r="BO123" s="1" t="s">
        <v>575</v>
      </c>
      <c r="BP123" s="233" t="s">
        <v>618</v>
      </c>
      <c r="BQ123" s="233"/>
      <c r="BR123" s="234"/>
    </row>
    <row r="124" spans="1:70">
      <c r="A124" s="219" t="s">
        <v>451</v>
      </c>
      <c r="B124" s="106" t="s">
        <v>244</v>
      </c>
      <c r="C124" s="66" t="s">
        <v>175</v>
      </c>
      <c r="D124" s="284"/>
      <c r="E124" s="77" t="s">
        <v>253</v>
      </c>
      <c r="F124" s="282"/>
      <c r="G124" s="71" t="s">
        <v>202</v>
      </c>
      <c r="H124" s="70" t="s">
        <v>615</v>
      </c>
      <c r="I124" s="70" t="s">
        <v>184</v>
      </c>
      <c r="J124" s="71" t="s">
        <v>567</v>
      </c>
      <c r="K124" s="70" t="s">
        <v>250</v>
      </c>
      <c r="L124" s="69" t="s">
        <v>257</v>
      </c>
      <c r="M124" s="180" t="s">
        <v>568</v>
      </c>
      <c r="N124" s="68">
        <v>15.75</v>
      </c>
      <c r="O124" s="58">
        <v>15.75</v>
      </c>
      <c r="P124" s="144">
        <v>15.75</v>
      </c>
      <c r="Q124" s="144">
        <v>15.75</v>
      </c>
      <c r="R124" s="144">
        <v>15.75</v>
      </c>
      <c r="S124" s="144">
        <v>15.75</v>
      </c>
      <c r="T124" s="144">
        <v>15.75</v>
      </c>
      <c r="U124" s="144">
        <v>15.75</v>
      </c>
      <c r="V124" s="144">
        <v>15.75</v>
      </c>
      <c r="W124" s="144">
        <v>15.75</v>
      </c>
      <c r="X124" s="144">
        <v>15.75</v>
      </c>
      <c r="Y124" s="144">
        <v>15.75</v>
      </c>
      <c r="Z124" s="144">
        <v>15.75</v>
      </c>
      <c r="AA124" s="58">
        <v>15.75</v>
      </c>
      <c r="AB124" s="68">
        <v>0.46</v>
      </c>
      <c r="AC124" s="144">
        <v>0.46</v>
      </c>
      <c r="AD124" s="144">
        <v>0.46</v>
      </c>
      <c r="AE124" s="144">
        <v>0.46</v>
      </c>
      <c r="AF124" s="144">
        <v>0.46</v>
      </c>
      <c r="AG124" s="144">
        <v>0.46</v>
      </c>
      <c r="AH124" s="144">
        <v>0.46</v>
      </c>
      <c r="AI124" s="144">
        <v>0.46</v>
      </c>
      <c r="AJ124" s="144">
        <v>0.46</v>
      </c>
      <c r="AK124" s="144">
        <v>0.46</v>
      </c>
      <c r="AL124" s="144">
        <v>0.46</v>
      </c>
      <c r="AM124" s="144">
        <v>0.46</v>
      </c>
      <c r="AN124" s="153">
        <v>0.46</v>
      </c>
      <c r="AO124" s="105">
        <v>0</v>
      </c>
      <c r="AP124" s="118">
        <f t="shared" si="48"/>
        <v>0</v>
      </c>
      <c r="AQ124" s="105">
        <v>0</v>
      </c>
      <c r="AR124" s="118">
        <f t="shared" si="2"/>
        <v>0</v>
      </c>
      <c r="AS124" s="105">
        <v>0</v>
      </c>
      <c r="AT124" s="127">
        <f t="shared" si="3"/>
        <v>0</v>
      </c>
      <c r="AU124" s="5">
        <v>0</v>
      </c>
      <c r="AV124" s="118">
        <f t="shared" si="4"/>
        <v>0</v>
      </c>
      <c r="AW124" s="105">
        <v>0</v>
      </c>
      <c r="AX124" s="118">
        <f t="shared" si="5"/>
        <v>0</v>
      </c>
      <c r="AY124" s="105">
        <v>0</v>
      </c>
      <c r="AZ124" s="127">
        <f t="shared" si="51"/>
        <v>0</v>
      </c>
      <c r="BA124" s="105">
        <v>0</v>
      </c>
      <c r="BB124" s="118">
        <f t="shared" si="7"/>
        <v>0</v>
      </c>
      <c r="BC124" s="105">
        <v>0</v>
      </c>
      <c r="BD124" s="118">
        <f t="shared" si="8"/>
        <v>0</v>
      </c>
      <c r="BE124" s="5">
        <v>0</v>
      </c>
      <c r="BF124" s="127">
        <f t="shared" si="54"/>
        <v>0</v>
      </c>
      <c r="BG124" s="105">
        <v>0</v>
      </c>
      <c r="BH124" s="118">
        <f t="shared" si="50"/>
        <v>0</v>
      </c>
      <c r="BI124" s="5">
        <v>0</v>
      </c>
      <c r="BJ124" s="118">
        <f t="shared" si="11"/>
        <v>0</v>
      </c>
      <c r="BK124" s="5">
        <v>0</v>
      </c>
      <c r="BL124" s="127">
        <f t="shared" si="55"/>
        <v>0</v>
      </c>
      <c r="BM124" s="220" t="s">
        <v>616</v>
      </c>
      <c r="BO124" s="1" t="s">
        <v>570</v>
      </c>
      <c r="BP124" s="233" t="s">
        <v>619</v>
      </c>
      <c r="BQ124" s="233"/>
      <c r="BR124" s="234"/>
    </row>
    <row r="125" spans="1:70">
      <c r="A125" s="219" t="s">
        <v>451</v>
      </c>
      <c r="B125" s="106" t="s">
        <v>244</v>
      </c>
      <c r="C125" s="66" t="s">
        <v>175</v>
      </c>
      <c r="D125" s="284"/>
      <c r="E125" s="77" t="s">
        <v>253</v>
      </c>
      <c r="F125" s="282"/>
      <c r="G125" s="71" t="s">
        <v>202</v>
      </c>
      <c r="H125" s="70" t="s">
        <v>615</v>
      </c>
      <c r="I125" s="70" t="s">
        <v>184</v>
      </c>
      <c r="J125" s="71" t="s">
        <v>567</v>
      </c>
      <c r="K125" s="70" t="s">
        <v>250</v>
      </c>
      <c r="L125" s="69" t="s">
        <v>257</v>
      </c>
      <c r="M125" s="180" t="s">
        <v>568</v>
      </c>
      <c r="N125" s="68">
        <v>15.75</v>
      </c>
      <c r="O125" s="58">
        <v>15.75</v>
      </c>
      <c r="P125" s="144">
        <v>15.75</v>
      </c>
      <c r="Q125" s="144">
        <v>15.75</v>
      </c>
      <c r="R125" s="144">
        <v>15.75</v>
      </c>
      <c r="S125" s="144">
        <v>15.75</v>
      </c>
      <c r="T125" s="144">
        <v>15.75</v>
      </c>
      <c r="U125" s="144">
        <v>15.75</v>
      </c>
      <c r="V125" s="144">
        <v>15.75</v>
      </c>
      <c r="W125" s="144">
        <v>15.75</v>
      </c>
      <c r="X125" s="144">
        <v>15.75</v>
      </c>
      <c r="Y125" s="144">
        <v>15.75</v>
      </c>
      <c r="Z125" s="144">
        <v>15.75</v>
      </c>
      <c r="AA125" s="58">
        <v>15.75</v>
      </c>
      <c r="AB125" s="68">
        <v>0.46</v>
      </c>
      <c r="AC125" s="144">
        <v>0.46</v>
      </c>
      <c r="AD125" s="144">
        <v>0.46</v>
      </c>
      <c r="AE125" s="144">
        <v>0.46</v>
      </c>
      <c r="AF125" s="144">
        <v>0.46</v>
      </c>
      <c r="AG125" s="144">
        <v>0.46</v>
      </c>
      <c r="AH125" s="144">
        <v>0.46</v>
      </c>
      <c r="AI125" s="144">
        <v>0.46</v>
      </c>
      <c r="AJ125" s="144">
        <v>0.46</v>
      </c>
      <c r="AK125" s="144">
        <v>0.46</v>
      </c>
      <c r="AL125" s="144">
        <v>0.46</v>
      </c>
      <c r="AM125" s="144">
        <v>0.46</v>
      </c>
      <c r="AN125" s="153">
        <v>0.46</v>
      </c>
      <c r="AO125" s="105">
        <v>0</v>
      </c>
      <c r="AP125" s="118">
        <f t="shared" si="48"/>
        <v>0</v>
      </c>
      <c r="AQ125" s="105">
        <v>0</v>
      </c>
      <c r="AR125" s="118">
        <f t="shared" si="2"/>
        <v>0</v>
      </c>
      <c r="AS125" s="105">
        <v>0</v>
      </c>
      <c r="AT125" s="127">
        <f t="shared" si="3"/>
        <v>0</v>
      </c>
      <c r="AU125" s="5">
        <v>0</v>
      </c>
      <c r="AV125" s="118">
        <f t="shared" si="4"/>
        <v>0</v>
      </c>
      <c r="AW125" s="105">
        <v>0</v>
      </c>
      <c r="AX125" s="118">
        <f t="shared" si="5"/>
        <v>0</v>
      </c>
      <c r="AY125" s="105">
        <v>0</v>
      </c>
      <c r="AZ125" s="127">
        <f t="shared" si="51"/>
        <v>0</v>
      </c>
      <c r="BA125" s="105">
        <v>0</v>
      </c>
      <c r="BB125" s="118">
        <f t="shared" si="7"/>
        <v>0</v>
      </c>
      <c r="BC125" s="105">
        <v>0</v>
      </c>
      <c r="BD125" s="118">
        <f t="shared" si="8"/>
        <v>0</v>
      </c>
      <c r="BE125" s="5">
        <v>0</v>
      </c>
      <c r="BF125" s="127">
        <f t="shared" si="54"/>
        <v>0</v>
      </c>
      <c r="BG125" s="105">
        <v>0</v>
      </c>
      <c r="BH125" s="118">
        <f t="shared" si="50"/>
        <v>0</v>
      </c>
      <c r="BI125" s="5">
        <v>0</v>
      </c>
      <c r="BJ125" s="118">
        <f t="shared" si="11"/>
        <v>0</v>
      </c>
      <c r="BK125" s="5">
        <v>0</v>
      </c>
      <c r="BL125" s="127">
        <f t="shared" si="55"/>
        <v>0</v>
      </c>
      <c r="BM125" s="220" t="s">
        <v>616</v>
      </c>
      <c r="BO125" s="1" t="s">
        <v>570</v>
      </c>
      <c r="BP125" s="233" t="s">
        <v>620</v>
      </c>
      <c r="BQ125" s="233"/>
      <c r="BR125" s="234"/>
    </row>
    <row r="126" spans="1:70">
      <c r="A126" s="219" t="s">
        <v>451</v>
      </c>
      <c r="B126" s="106" t="s">
        <v>244</v>
      </c>
      <c r="C126" s="66" t="s">
        <v>175</v>
      </c>
      <c r="D126" s="284"/>
      <c r="E126" s="77" t="s">
        <v>253</v>
      </c>
      <c r="F126" s="282"/>
      <c r="G126" s="71" t="s">
        <v>202</v>
      </c>
      <c r="H126" s="70" t="s">
        <v>615</v>
      </c>
      <c r="I126" s="70" t="s">
        <v>184</v>
      </c>
      <c r="J126" s="71" t="s">
        <v>567</v>
      </c>
      <c r="K126" s="70" t="s">
        <v>250</v>
      </c>
      <c r="L126" s="69" t="s">
        <v>257</v>
      </c>
      <c r="M126" s="180" t="s">
        <v>608</v>
      </c>
      <c r="N126" s="68">
        <v>15.75</v>
      </c>
      <c r="O126" s="58">
        <v>15.75</v>
      </c>
      <c r="P126" s="144">
        <v>15.75</v>
      </c>
      <c r="Q126" s="144">
        <v>15.75</v>
      </c>
      <c r="R126" s="144">
        <v>15.75</v>
      </c>
      <c r="S126" s="144">
        <v>15.75</v>
      </c>
      <c r="T126" s="144">
        <v>15.75</v>
      </c>
      <c r="U126" s="144">
        <v>15.75</v>
      </c>
      <c r="V126" s="144">
        <v>15.75</v>
      </c>
      <c r="W126" s="144">
        <v>15.75</v>
      </c>
      <c r="X126" s="144">
        <v>15.75</v>
      </c>
      <c r="Y126" s="144">
        <v>15.75</v>
      </c>
      <c r="Z126" s="144">
        <v>15.75</v>
      </c>
      <c r="AA126" s="58">
        <v>15.75</v>
      </c>
      <c r="AB126" s="68">
        <v>0.46</v>
      </c>
      <c r="AC126" s="144">
        <v>0.46</v>
      </c>
      <c r="AD126" s="144">
        <v>0.46</v>
      </c>
      <c r="AE126" s="144">
        <v>0.46</v>
      </c>
      <c r="AF126" s="144">
        <v>0.46</v>
      </c>
      <c r="AG126" s="144">
        <v>0.46</v>
      </c>
      <c r="AH126" s="144">
        <v>0.46</v>
      </c>
      <c r="AI126" s="144">
        <v>0.46</v>
      </c>
      <c r="AJ126" s="144">
        <v>0.46</v>
      </c>
      <c r="AK126" s="144">
        <v>0.46</v>
      </c>
      <c r="AL126" s="144">
        <v>0.46</v>
      </c>
      <c r="AM126" s="144">
        <v>0.46</v>
      </c>
      <c r="AN126" s="153">
        <v>0.46</v>
      </c>
      <c r="AO126" s="105">
        <v>0</v>
      </c>
      <c r="AP126" s="118">
        <f t="shared" si="48"/>
        <v>0</v>
      </c>
      <c r="AQ126" s="105">
        <v>0</v>
      </c>
      <c r="AR126" s="118">
        <f t="shared" si="2"/>
        <v>0</v>
      </c>
      <c r="AS126" s="105">
        <v>0</v>
      </c>
      <c r="AT126" s="127">
        <f t="shared" si="3"/>
        <v>0</v>
      </c>
      <c r="AU126" s="5">
        <v>0</v>
      </c>
      <c r="AV126" s="118">
        <f t="shared" si="4"/>
        <v>0</v>
      </c>
      <c r="AW126" s="105">
        <v>0</v>
      </c>
      <c r="AX126" s="118">
        <f t="shared" si="5"/>
        <v>0</v>
      </c>
      <c r="AY126" s="105">
        <v>0</v>
      </c>
      <c r="AZ126" s="127">
        <f t="shared" si="51"/>
        <v>0</v>
      </c>
      <c r="BA126" s="105">
        <v>0</v>
      </c>
      <c r="BB126" s="118">
        <f t="shared" si="7"/>
        <v>0</v>
      </c>
      <c r="BC126" s="105">
        <v>0</v>
      </c>
      <c r="BD126" s="118">
        <f t="shared" si="8"/>
        <v>0</v>
      </c>
      <c r="BE126" s="5">
        <v>0</v>
      </c>
      <c r="BF126" s="127">
        <f t="shared" si="54"/>
        <v>0</v>
      </c>
      <c r="BG126" s="105">
        <v>0</v>
      </c>
      <c r="BH126" s="118">
        <f t="shared" si="50"/>
        <v>0</v>
      </c>
      <c r="BI126" s="5">
        <v>0</v>
      </c>
      <c r="BJ126" s="118">
        <f t="shared" si="11"/>
        <v>0</v>
      </c>
      <c r="BK126" s="5">
        <v>0</v>
      </c>
      <c r="BL126" s="127">
        <f t="shared" si="55"/>
        <v>0</v>
      </c>
      <c r="BM126" s="220" t="s">
        <v>616</v>
      </c>
      <c r="BO126" s="1" t="s">
        <v>578</v>
      </c>
      <c r="BP126" s="233" t="s">
        <v>621</v>
      </c>
      <c r="BQ126" s="233"/>
      <c r="BR126" s="234"/>
    </row>
    <row r="127" spans="1:70">
      <c r="A127" s="219" t="s">
        <v>451</v>
      </c>
      <c r="B127" s="106" t="s">
        <v>244</v>
      </c>
      <c r="C127" s="66" t="s">
        <v>175</v>
      </c>
      <c r="D127" s="284"/>
      <c r="E127" s="77" t="s">
        <v>253</v>
      </c>
      <c r="F127" s="282"/>
      <c r="G127" s="71" t="s">
        <v>202</v>
      </c>
      <c r="H127" s="70" t="s">
        <v>615</v>
      </c>
      <c r="I127" s="70" t="s">
        <v>184</v>
      </c>
      <c r="J127" s="71" t="s">
        <v>567</v>
      </c>
      <c r="K127" s="70" t="s">
        <v>250</v>
      </c>
      <c r="L127" s="69" t="s">
        <v>257</v>
      </c>
      <c r="M127" s="180" t="s">
        <v>608</v>
      </c>
      <c r="N127" s="68">
        <v>15.75</v>
      </c>
      <c r="O127" s="58">
        <v>15.75</v>
      </c>
      <c r="P127" s="144">
        <v>15.75</v>
      </c>
      <c r="Q127" s="144">
        <v>15.75</v>
      </c>
      <c r="R127" s="144">
        <v>15.75</v>
      </c>
      <c r="S127" s="144">
        <v>15.75</v>
      </c>
      <c r="T127" s="144">
        <v>15.75</v>
      </c>
      <c r="U127" s="144">
        <v>15.75</v>
      </c>
      <c r="V127" s="144">
        <v>15.75</v>
      </c>
      <c r="W127" s="144">
        <v>15.75</v>
      </c>
      <c r="X127" s="144">
        <v>15.75</v>
      </c>
      <c r="Y127" s="144">
        <v>15.75</v>
      </c>
      <c r="Z127" s="144">
        <v>15.75</v>
      </c>
      <c r="AA127" s="58">
        <v>15.75</v>
      </c>
      <c r="AB127" s="68">
        <v>0.46</v>
      </c>
      <c r="AC127" s="144">
        <v>0.46</v>
      </c>
      <c r="AD127" s="144">
        <v>0.46</v>
      </c>
      <c r="AE127" s="144">
        <v>0.46</v>
      </c>
      <c r="AF127" s="144">
        <v>0.46</v>
      </c>
      <c r="AG127" s="144">
        <v>0.46</v>
      </c>
      <c r="AH127" s="144">
        <v>0.46</v>
      </c>
      <c r="AI127" s="144">
        <v>0.46</v>
      </c>
      <c r="AJ127" s="144">
        <v>0.46</v>
      </c>
      <c r="AK127" s="144">
        <v>0.46</v>
      </c>
      <c r="AL127" s="144">
        <v>0.46</v>
      </c>
      <c r="AM127" s="144">
        <v>0.46</v>
      </c>
      <c r="AN127" s="153">
        <v>0.46</v>
      </c>
      <c r="AO127" s="105">
        <v>0</v>
      </c>
      <c r="AP127" s="118">
        <f t="shared" si="48"/>
        <v>0</v>
      </c>
      <c r="AQ127" s="105">
        <v>0</v>
      </c>
      <c r="AR127" s="118">
        <f t="shared" si="2"/>
        <v>0</v>
      </c>
      <c r="AS127" s="105">
        <v>0</v>
      </c>
      <c r="AT127" s="127">
        <f t="shared" si="3"/>
        <v>0</v>
      </c>
      <c r="AU127" s="5">
        <v>0</v>
      </c>
      <c r="AV127" s="118">
        <f t="shared" si="4"/>
        <v>0</v>
      </c>
      <c r="AW127" s="105">
        <v>0</v>
      </c>
      <c r="AX127" s="118">
        <f t="shared" si="5"/>
        <v>0</v>
      </c>
      <c r="AY127" s="105">
        <v>0</v>
      </c>
      <c r="AZ127" s="127">
        <f t="shared" si="51"/>
        <v>0</v>
      </c>
      <c r="BA127" s="105">
        <v>0</v>
      </c>
      <c r="BB127" s="118">
        <f t="shared" si="7"/>
        <v>0</v>
      </c>
      <c r="BC127" s="105">
        <v>0</v>
      </c>
      <c r="BD127" s="118">
        <f t="shared" si="8"/>
        <v>0</v>
      </c>
      <c r="BE127" s="5">
        <v>0</v>
      </c>
      <c r="BF127" s="127">
        <f t="shared" si="54"/>
        <v>0</v>
      </c>
      <c r="BG127" s="105">
        <v>0</v>
      </c>
      <c r="BH127" s="118">
        <f t="shared" si="50"/>
        <v>0</v>
      </c>
      <c r="BI127" s="5">
        <v>0</v>
      </c>
      <c r="BJ127" s="118">
        <f t="shared" si="11"/>
        <v>0</v>
      </c>
      <c r="BK127" s="5">
        <v>0</v>
      </c>
      <c r="BL127" s="127">
        <f t="shared" si="55"/>
        <v>0</v>
      </c>
      <c r="BM127" s="220" t="s">
        <v>616</v>
      </c>
      <c r="BO127" s="1" t="s">
        <v>578</v>
      </c>
      <c r="BP127" s="233" t="s">
        <v>622</v>
      </c>
      <c r="BQ127" s="233"/>
      <c r="BR127" s="234"/>
    </row>
    <row r="128" spans="1:70">
      <c r="A128" s="219" t="s">
        <v>451</v>
      </c>
      <c r="B128" s="106" t="s">
        <v>244</v>
      </c>
      <c r="C128" s="66" t="s">
        <v>175</v>
      </c>
      <c r="D128" s="284"/>
      <c r="E128" s="77" t="s">
        <v>253</v>
      </c>
      <c r="F128" s="282"/>
      <c r="G128" s="71" t="s">
        <v>202</v>
      </c>
      <c r="H128" s="70" t="s">
        <v>615</v>
      </c>
      <c r="I128" s="70" t="s">
        <v>184</v>
      </c>
      <c r="J128" s="71" t="s">
        <v>567</v>
      </c>
      <c r="K128" s="70" t="s">
        <v>250</v>
      </c>
      <c r="L128" s="69" t="s">
        <v>257</v>
      </c>
      <c r="M128" s="180" t="s">
        <v>608</v>
      </c>
      <c r="N128" s="68">
        <v>15.75</v>
      </c>
      <c r="O128" s="58">
        <v>15.75</v>
      </c>
      <c r="P128" s="144">
        <v>15.75</v>
      </c>
      <c r="Q128" s="144">
        <v>15.75</v>
      </c>
      <c r="R128" s="144">
        <v>15.75</v>
      </c>
      <c r="S128" s="144">
        <v>15.75</v>
      </c>
      <c r="T128" s="144">
        <v>15.75</v>
      </c>
      <c r="U128" s="144">
        <v>15.75</v>
      </c>
      <c r="V128" s="144">
        <v>15.75</v>
      </c>
      <c r="W128" s="144">
        <v>15.75</v>
      </c>
      <c r="X128" s="144">
        <v>15.75</v>
      </c>
      <c r="Y128" s="144">
        <v>15.75</v>
      </c>
      <c r="Z128" s="144">
        <v>15.75</v>
      </c>
      <c r="AA128" s="58">
        <v>15.75</v>
      </c>
      <c r="AB128" s="68">
        <v>0.46</v>
      </c>
      <c r="AC128" s="144">
        <v>0.46</v>
      </c>
      <c r="AD128" s="144">
        <v>0.46</v>
      </c>
      <c r="AE128" s="144">
        <v>0.46</v>
      </c>
      <c r="AF128" s="144">
        <v>0.46</v>
      </c>
      <c r="AG128" s="144">
        <v>0.46</v>
      </c>
      <c r="AH128" s="144">
        <v>0.46</v>
      </c>
      <c r="AI128" s="144">
        <v>0.46</v>
      </c>
      <c r="AJ128" s="144">
        <v>0.46</v>
      </c>
      <c r="AK128" s="144">
        <v>0.46</v>
      </c>
      <c r="AL128" s="144">
        <v>0.46</v>
      </c>
      <c r="AM128" s="144">
        <v>0.46</v>
      </c>
      <c r="AN128" s="153">
        <v>0.46</v>
      </c>
      <c r="AO128" s="105">
        <v>0</v>
      </c>
      <c r="AP128" s="118">
        <f t="shared" si="48"/>
        <v>0</v>
      </c>
      <c r="AQ128" s="105">
        <v>0</v>
      </c>
      <c r="AR128" s="118">
        <f t="shared" si="2"/>
        <v>0</v>
      </c>
      <c r="AS128" s="105">
        <v>0</v>
      </c>
      <c r="AT128" s="127">
        <f t="shared" si="3"/>
        <v>0</v>
      </c>
      <c r="AU128" s="5">
        <v>0</v>
      </c>
      <c r="AV128" s="118">
        <f t="shared" si="4"/>
        <v>0</v>
      </c>
      <c r="AW128" s="105">
        <v>0</v>
      </c>
      <c r="AX128" s="118">
        <f t="shared" si="5"/>
        <v>0</v>
      </c>
      <c r="AY128" s="105">
        <v>0</v>
      </c>
      <c r="AZ128" s="127">
        <f t="shared" si="51"/>
        <v>0</v>
      </c>
      <c r="BA128" s="105">
        <v>0</v>
      </c>
      <c r="BB128" s="118">
        <f t="shared" si="7"/>
        <v>0</v>
      </c>
      <c r="BC128" s="105">
        <v>0</v>
      </c>
      <c r="BD128" s="118">
        <f t="shared" si="8"/>
        <v>0</v>
      </c>
      <c r="BE128" s="5">
        <v>0</v>
      </c>
      <c r="BF128" s="127">
        <f t="shared" si="54"/>
        <v>0</v>
      </c>
      <c r="BG128" s="105">
        <v>0</v>
      </c>
      <c r="BH128" s="118">
        <f t="shared" si="50"/>
        <v>0</v>
      </c>
      <c r="BI128" s="5">
        <v>0</v>
      </c>
      <c r="BJ128" s="118">
        <f t="shared" si="11"/>
        <v>0</v>
      </c>
      <c r="BK128" s="5">
        <v>0</v>
      </c>
      <c r="BL128" s="127">
        <f t="shared" si="55"/>
        <v>0</v>
      </c>
      <c r="BM128" s="220" t="s">
        <v>616</v>
      </c>
      <c r="BO128" s="1" t="s">
        <v>578</v>
      </c>
      <c r="BP128" s="233" t="s">
        <v>623</v>
      </c>
      <c r="BQ128" s="233"/>
      <c r="BR128" s="234"/>
    </row>
    <row r="129" spans="1:70">
      <c r="A129" s="219" t="s">
        <v>451</v>
      </c>
      <c r="B129" s="106" t="s">
        <v>244</v>
      </c>
      <c r="C129" s="66" t="s">
        <v>175</v>
      </c>
      <c r="D129" s="284"/>
      <c r="E129" s="77" t="s">
        <v>253</v>
      </c>
      <c r="F129" s="282"/>
      <c r="G129" s="71" t="s">
        <v>202</v>
      </c>
      <c r="H129" s="70" t="s">
        <v>615</v>
      </c>
      <c r="I129" s="70" t="s">
        <v>184</v>
      </c>
      <c r="J129" s="71" t="s">
        <v>567</v>
      </c>
      <c r="K129" s="70" t="s">
        <v>250</v>
      </c>
      <c r="L129" s="69" t="s">
        <v>257</v>
      </c>
      <c r="M129" s="180" t="s">
        <v>608</v>
      </c>
      <c r="N129" s="68">
        <v>15.75</v>
      </c>
      <c r="O129" s="58">
        <v>15.75</v>
      </c>
      <c r="P129" s="144">
        <v>15.75</v>
      </c>
      <c r="Q129" s="144">
        <v>15.75</v>
      </c>
      <c r="R129" s="144">
        <v>15.75</v>
      </c>
      <c r="S129" s="144">
        <v>15.75</v>
      </c>
      <c r="T129" s="144">
        <v>15.75</v>
      </c>
      <c r="U129" s="144">
        <v>15.75</v>
      </c>
      <c r="V129" s="144">
        <v>15.75</v>
      </c>
      <c r="W129" s="144">
        <v>15.75</v>
      </c>
      <c r="X129" s="144">
        <v>15.75</v>
      </c>
      <c r="Y129" s="144">
        <v>15.75</v>
      </c>
      <c r="Z129" s="144">
        <v>15.75</v>
      </c>
      <c r="AA129" s="58">
        <v>15.75</v>
      </c>
      <c r="AB129" s="68">
        <v>0.46</v>
      </c>
      <c r="AC129" s="144">
        <v>0.46</v>
      </c>
      <c r="AD129" s="144">
        <v>0.46</v>
      </c>
      <c r="AE129" s="144">
        <v>0.46</v>
      </c>
      <c r="AF129" s="144">
        <v>0.46</v>
      </c>
      <c r="AG129" s="144">
        <v>0.46</v>
      </c>
      <c r="AH129" s="144">
        <v>0.46</v>
      </c>
      <c r="AI129" s="144">
        <v>0.46</v>
      </c>
      <c r="AJ129" s="144">
        <v>0.46</v>
      </c>
      <c r="AK129" s="144">
        <v>0.46</v>
      </c>
      <c r="AL129" s="144">
        <v>0.46</v>
      </c>
      <c r="AM129" s="144">
        <v>0.46</v>
      </c>
      <c r="AN129" s="153">
        <v>0.46</v>
      </c>
      <c r="AO129" s="105">
        <v>0</v>
      </c>
      <c r="AP129" s="118">
        <f t="shared" si="48"/>
        <v>0</v>
      </c>
      <c r="AQ129" s="105">
        <v>0</v>
      </c>
      <c r="AR129" s="118">
        <f t="shared" si="2"/>
        <v>0</v>
      </c>
      <c r="AS129" s="105">
        <v>0</v>
      </c>
      <c r="AT129" s="127">
        <f t="shared" si="3"/>
        <v>0</v>
      </c>
      <c r="AU129" s="5">
        <v>0</v>
      </c>
      <c r="AV129" s="118">
        <f t="shared" si="4"/>
        <v>0</v>
      </c>
      <c r="AW129" s="105">
        <v>0</v>
      </c>
      <c r="AX129" s="118">
        <f t="shared" si="5"/>
        <v>0</v>
      </c>
      <c r="AY129" s="105">
        <v>0</v>
      </c>
      <c r="AZ129" s="127">
        <f t="shared" si="51"/>
        <v>0</v>
      </c>
      <c r="BA129" s="105">
        <v>0</v>
      </c>
      <c r="BB129" s="118">
        <f t="shared" si="7"/>
        <v>0</v>
      </c>
      <c r="BC129" s="105">
        <v>0</v>
      </c>
      <c r="BD129" s="118">
        <f t="shared" si="8"/>
        <v>0</v>
      </c>
      <c r="BE129" s="5">
        <v>0</v>
      </c>
      <c r="BF129" s="127">
        <f t="shared" si="54"/>
        <v>0</v>
      </c>
      <c r="BG129" s="105">
        <v>0</v>
      </c>
      <c r="BH129" s="118">
        <f t="shared" si="50"/>
        <v>0</v>
      </c>
      <c r="BI129" s="5">
        <v>0</v>
      </c>
      <c r="BJ129" s="118">
        <f t="shared" si="11"/>
        <v>0</v>
      </c>
      <c r="BK129" s="5">
        <v>0</v>
      </c>
      <c r="BL129" s="127">
        <f t="shared" si="55"/>
        <v>0</v>
      </c>
      <c r="BM129" s="220" t="s">
        <v>616</v>
      </c>
      <c r="BO129" s="1" t="s">
        <v>578</v>
      </c>
      <c r="BP129" s="233" t="s">
        <v>624</v>
      </c>
      <c r="BQ129" s="233"/>
      <c r="BR129" s="234"/>
    </row>
    <row r="130" spans="1:70">
      <c r="A130" s="219" t="s">
        <v>451</v>
      </c>
      <c r="B130" s="106" t="s">
        <v>244</v>
      </c>
      <c r="C130" s="66" t="s">
        <v>175</v>
      </c>
      <c r="D130" s="284"/>
      <c r="E130" s="77" t="s">
        <v>253</v>
      </c>
      <c r="F130" s="282"/>
      <c r="G130" s="71" t="s">
        <v>202</v>
      </c>
      <c r="H130" s="70" t="s">
        <v>615</v>
      </c>
      <c r="I130" s="70" t="s">
        <v>184</v>
      </c>
      <c r="J130" s="71" t="s">
        <v>567</v>
      </c>
      <c r="K130" s="70" t="s">
        <v>250</v>
      </c>
      <c r="L130" s="69" t="s">
        <v>257</v>
      </c>
      <c r="M130" s="180" t="s">
        <v>608</v>
      </c>
      <c r="N130" s="68">
        <v>15.75</v>
      </c>
      <c r="O130" s="58">
        <v>15.75</v>
      </c>
      <c r="P130" s="144">
        <v>15.75</v>
      </c>
      <c r="Q130" s="144">
        <v>15.75</v>
      </c>
      <c r="R130" s="144">
        <v>15.75</v>
      </c>
      <c r="S130" s="144">
        <v>15.75</v>
      </c>
      <c r="T130" s="144">
        <v>15.75</v>
      </c>
      <c r="U130" s="144">
        <v>15.75</v>
      </c>
      <c r="V130" s="144">
        <v>15.75</v>
      </c>
      <c r="W130" s="144">
        <v>15.75</v>
      </c>
      <c r="X130" s="144">
        <v>15.75</v>
      </c>
      <c r="Y130" s="144">
        <v>15.75</v>
      </c>
      <c r="Z130" s="144">
        <v>15.75</v>
      </c>
      <c r="AA130" s="58">
        <v>15.75</v>
      </c>
      <c r="AB130" s="68">
        <v>0.46</v>
      </c>
      <c r="AC130" s="144">
        <v>0.46</v>
      </c>
      <c r="AD130" s="144">
        <v>0.46</v>
      </c>
      <c r="AE130" s="144">
        <v>0.46</v>
      </c>
      <c r="AF130" s="144">
        <v>0.46</v>
      </c>
      <c r="AG130" s="144">
        <v>0.46</v>
      </c>
      <c r="AH130" s="144">
        <v>0.46</v>
      </c>
      <c r="AI130" s="144">
        <v>0.46</v>
      </c>
      <c r="AJ130" s="144">
        <v>0.46</v>
      </c>
      <c r="AK130" s="144">
        <v>0.46</v>
      </c>
      <c r="AL130" s="144">
        <v>0.46</v>
      </c>
      <c r="AM130" s="144">
        <v>0.46</v>
      </c>
      <c r="AN130" s="153">
        <v>0.46</v>
      </c>
      <c r="AO130" s="105">
        <v>0</v>
      </c>
      <c r="AP130" s="118">
        <f t="shared" si="48"/>
        <v>0</v>
      </c>
      <c r="AQ130" s="105">
        <v>0</v>
      </c>
      <c r="AR130" s="118">
        <f t="shared" si="2"/>
        <v>0</v>
      </c>
      <c r="AS130" s="105">
        <v>0</v>
      </c>
      <c r="AT130" s="127">
        <f t="shared" si="3"/>
        <v>0</v>
      </c>
      <c r="AU130" s="5">
        <v>0</v>
      </c>
      <c r="AV130" s="118">
        <f t="shared" si="4"/>
        <v>0</v>
      </c>
      <c r="AW130" s="105">
        <v>0</v>
      </c>
      <c r="AX130" s="118">
        <f t="shared" si="5"/>
        <v>0</v>
      </c>
      <c r="AY130" s="105">
        <v>0</v>
      </c>
      <c r="AZ130" s="127">
        <f t="shared" si="51"/>
        <v>0</v>
      </c>
      <c r="BA130" s="105">
        <v>0</v>
      </c>
      <c r="BB130" s="118">
        <f t="shared" si="7"/>
        <v>0</v>
      </c>
      <c r="BC130" s="105">
        <v>0</v>
      </c>
      <c r="BD130" s="118">
        <f t="shared" si="8"/>
        <v>0</v>
      </c>
      <c r="BE130" s="5">
        <v>0</v>
      </c>
      <c r="BF130" s="127">
        <f t="shared" si="54"/>
        <v>0</v>
      </c>
      <c r="BG130" s="105">
        <v>0</v>
      </c>
      <c r="BH130" s="118">
        <f t="shared" si="50"/>
        <v>0</v>
      </c>
      <c r="BI130" s="5">
        <v>0</v>
      </c>
      <c r="BJ130" s="118">
        <f t="shared" si="11"/>
        <v>0</v>
      </c>
      <c r="BK130" s="5">
        <v>0</v>
      </c>
      <c r="BL130" s="127">
        <f t="shared" si="55"/>
        <v>0</v>
      </c>
      <c r="BM130" s="220" t="s">
        <v>616</v>
      </c>
      <c r="BO130" s="1" t="s">
        <v>578</v>
      </c>
      <c r="BP130" s="233" t="s">
        <v>625</v>
      </c>
      <c r="BQ130" s="233"/>
      <c r="BR130" s="234"/>
    </row>
    <row r="131" spans="1:70">
      <c r="A131" s="219" t="s">
        <v>451</v>
      </c>
      <c r="B131" s="106" t="s">
        <v>244</v>
      </c>
      <c r="C131" s="66" t="s">
        <v>175</v>
      </c>
      <c r="D131" s="284"/>
      <c r="E131" s="77" t="s">
        <v>253</v>
      </c>
      <c r="F131" s="282"/>
      <c r="G131" s="71" t="s">
        <v>202</v>
      </c>
      <c r="H131" s="70" t="s">
        <v>615</v>
      </c>
      <c r="I131" s="70" t="s">
        <v>184</v>
      </c>
      <c r="J131" s="71" t="s">
        <v>567</v>
      </c>
      <c r="K131" s="70" t="s">
        <v>250</v>
      </c>
      <c r="L131" s="69" t="s">
        <v>257</v>
      </c>
      <c r="M131" s="180" t="s">
        <v>608</v>
      </c>
      <c r="N131" s="68">
        <v>15.75</v>
      </c>
      <c r="O131" s="58">
        <v>15.75</v>
      </c>
      <c r="P131" s="144">
        <v>15.75</v>
      </c>
      <c r="Q131" s="144">
        <v>15.75</v>
      </c>
      <c r="R131" s="144">
        <v>15.75</v>
      </c>
      <c r="S131" s="144">
        <v>15.75</v>
      </c>
      <c r="T131" s="144">
        <v>15.75</v>
      </c>
      <c r="U131" s="144">
        <v>15.75</v>
      </c>
      <c r="V131" s="144">
        <v>15.75</v>
      </c>
      <c r="W131" s="144">
        <v>15.75</v>
      </c>
      <c r="X131" s="144">
        <v>15.75</v>
      </c>
      <c r="Y131" s="144">
        <v>15.75</v>
      </c>
      <c r="Z131" s="144">
        <v>15.75</v>
      </c>
      <c r="AA131" s="58">
        <v>15.75</v>
      </c>
      <c r="AB131" s="68">
        <v>0.46</v>
      </c>
      <c r="AC131" s="144">
        <v>0.46</v>
      </c>
      <c r="AD131" s="144">
        <v>0.46</v>
      </c>
      <c r="AE131" s="144">
        <v>0.46</v>
      </c>
      <c r="AF131" s="144">
        <v>0.46</v>
      </c>
      <c r="AG131" s="144">
        <v>0.46</v>
      </c>
      <c r="AH131" s="144">
        <v>0.46</v>
      </c>
      <c r="AI131" s="144">
        <v>0.46</v>
      </c>
      <c r="AJ131" s="144">
        <v>0.46</v>
      </c>
      <c r="AK131" s="144">
        <v>0.46</v>
      </c>
      <c r="AL131" s="144">
        <v>0.46</v>
      </c>
      <c r="AM131" s="144">
        <v>0.46</v>
      </c>
      <c r="AN131" s="153">
        <v>0.46</v>
      </c>
      <c r="AO131" s="105">
        <v>0</v>
      </c>
      <c r="AP131" s="118">
        <f t="shared" si="48"/>
        <v>0</v>
      </c>
      <c r="AQ131" s="105">
        <v>0</v>
      </c>
      <c r="AR131" s="118">
        <f t="shared" si="2"/>
        <v>0</v>
      </c>
      <c r="AS131" s="105">
        <v>0</v>
      </c>
      <c r="AT131" s="127">
        <f t="shared" si="3"/>
        <v>0</v>
      </c>
      <c r="AU131" s="5">
        <v>0</v>
      </c>
      <c r="AV131" s="118">
        <f t="shared" si="4"/>
        <v>0</v>
      </c>
      <c r="AW131" s="105">
        <v>0</v>
      </c>
      <c r="AX131" s="118">
        <f t="shared" si="5"/>
        <v>0</v>
      </c>
      <c r="AY131" s="105">
        <v>0</v>
      </c>
      <c r="AZ131" s="127">
        <f t="shared" si="51"/>
        <v>0</v>
      </c>
      <c r="BA131" s="105">
        <v>0</v>
      </c>
      <c r="BB131" s="118">
        <f t="shared" si="7"/>
        <v>0</v>
      </c>
      <c r="BC131" s="105">
        <v>0</v>
      </c>
      <c r="BD131" s="118">
        <f t="shared" si="8"/>
        <v>0</v>
      </c>
      <c r="BE131" s="5">
        <v>0</v>
      </c>
      <c r="BF131" s="127">
        <f t="shared" si="54"/>
        <v>0</v>
      </c>
      <c r="BG131" s="105">
        <v>0</v>
      </c>
      <c r="BH131" s="118">
        <f t="shared" si="50"/>
        <v>0</v>
      </c>
      <c r="BI131" s="5">
        <v>0</v>
      </c>
      <c r="BJ131" s="118">
        <f t="shared" si="11"/>
        <v>0</v>
      </c>
      <c r="BK131" s="5">
        <v>0</v>
      </c>
      <c r="BL131" s="127">
        <f t="shared" si="55"/>
        <v>0</v>
      </c>
      <c r="BM131" s="220" t="s">
        <v>616</v>
      </c>
      <c r="BO131" s="1" t="s">
        <v>578</v>
      </c>
      <c r="BP131" s="233" t="s">
        <v>626</v>
      </c>
      <c r="BQ131" s="233"/>
      <c r="BR131" s="234"/>
    </row>
    <row r="132" spans="1:70">
      <c r="A132" s="219" t="s">
        <v>451</v>
      </c>
      <c r="B132" s="106" t="s">
        <v>244</v>
      </c>
      <c r="C132" s="66" t="s">
        <v>175</v>
      </c>
      <c r="D132" s="284"/>
      <c r="E132" s="77" t="s">
        <v>253</v>
      </c>
      <c r="F132" s="282"/>
      <c r="G132" s="71" t="s">
        <v>202</v>
      </c>
      <c r="H132" s="70" t="s">
        <v>615</v>
      </c>
      <c r="I132" s="70" t="s">
        <v>184</v>
      </c>
      <c r="J132" s="71" t="s">
        <v>567</v>
      </c>
      <c r="K132" s="70" t="s">
        <v>250</v>
      </c>
      <c r="L132" s="69" t="s">
        <v>257</v>
      </c>
      <c r="M132" s="180" t="s">
        <v>608</v>
      </c>
      <c r="N132" s="68">
        <v>15.75</v>
      </c>
      <c r="O132" s="58">
        <v>15.75</v>
      </c>
      <c r="P132" s="144">
        <v>15.75</v>
      </c>
      <c r="Q132" s="144">
        <v>15.75</v>
      </c>
      <c r="R132" s="144">
        <v>15.75</v>
      </c>
      <c r="S132" s="144">
        <v>15.75</v>
      </c>
      <c r="T132" s="144">
        <v>15.75</v>
      </c>
      <c r="U132" s="144">
        <v>15.75</v>
      </c>
      <c r="V132" s="144">
        <v>15.75</v>
      </c>
      <c r="W132" s="144">
        <v>15.75</v>
      </c>
      <c r="X132" s="144">
        <v>15.75</v>
      </c>
      <c r="Y132" s="144">
        <v>15.75</v>
      </c>
      <c r="Z132" s="144">
        <v>15.75</v>
      </c>
      <c r="AA132" s="58">
        <v>15.75</v>
      </c>
      <c r="AB132" s="68">
        <v>0.46</v>
      </c>
      <c r="AC132" s="144">
        <v>0.46</v>
      </c>
      <c r="AD132" s="144">
        <v>0.46</v>
      </c>
      <c r="AE132" s="144">
        <v>0.46</v>
      </c>
      <c r="AF132" s="144">
        <v>0.46</v>
      </c>
      <c r="AG132" s="144">
        <v>0.46</v>
      </c>
      <c r="AH132" s="144">
        <v>0.46</v>
      </c>
      <c r="AI132" s="144">
        <v>0.46</v>
      </c>
      <c r="AJ132" s="144">
        <v>0.46</v>
      </c>
      <c r="AK132" s="144">
        <v>0.46</v>
      </c>
      <c r="AL132" s="144">
        <v>0.46</v>
      </c>
      <c r="AM132" s="144">
        <v>0.46</v>
      </c>
      <c r="AN132" s="153">
        <v>0.46</v>
      </c>
      <c r="AO132" s="105">
        <v>0</v>
      </c>
      <c r="AP132" s="118">
        <f t="shared" si="48"/>
        <v>0</v>
      </c>
      <c r="AQ132" s="105">
        <v>0</v>
      </c>
      <c r="AR132" s="118">
        <f t="shared" si="2"/>
        <v>0</v>
      </c>
      <c r="AS132" s="105">
        <v>0</v>
      </c>
      <c r="AT132" s="127">
        <f t="shared" si="3"/>
        <v>0</v>
      </c>
      <c r="AU132" s="5">
        <v>0</v>
      </c>
      <c r="AV132" s="118">
        <f t="shared" si="4"/>
        <v>0</v>
      </c>
      <c r="AW132" s="105">
        <v>0</v>
      </c>
      <c r="AX132" s="118">
        <f t="shared" si="5"/>
        <v>0</v>
      </c>
      <c r="AY132" s="105">
        <v>0</v>
      </c>
      <c r="AZ132" s="127">
        <f t="shared" si="51"/>
        <v>0</v>
      </c>
      <c r="BA132" s="105">
        <v>0</v>
      </c>
      <c r="BB132" s="118">
        <f t="shared" si="7"/>
        <v>0</v>
      </c>
      <c r="BC132" s="105">
        <v>0</v>
      </c>
      <c r="BD132" s="118">
        <f t="shared" si="8"/>
        <v>0</v>
      </c>
      <c r="BE132" s="5">
        <v>0</v>
      </c>
      <c r="BF132" s="127">
        <f t="shared" si="54"/>
        <v>0</v>
      </c>
      <c r="BG132" s="105">
        <v>0</v>
      </c>
      <c r="BH132" s="118">
        <f t="shared" si="50"/>
        <v>0</v>
      </c>
      <c r="BI132" s="5">
        <v>0</v>
      </c>
      <c r="BJ132" s="118">
        <f t="shared" si="11"/>
        <v>0</v>
      </c>
      <c r="BK132" s="5">
        <v>0</v>
      </c>
      <c r="BL132" s="127">
        <f t="shared" si="55"/>
        <v>0</v>
      </c>
      <c r="BM132" s="220" t="s">
        <v>616</v>
      </c>
      <c r="BO132" s="1" t="s">
        <v>578</v>
      </c>
      <c r="BP132" s="233" t="s">
        <v>627</v>
      </c>
      <c r="BQ132" s="233"/>
      <c r="BR132" s="234"/>
    </row>
    <row r="133" spans="1:70">
      <c r="A133" s="219" t="s">
        <v>451</v>
      </c>
      <c r="B133" s="106" t="s">
        <v>244</v>
      </c>
      <c r="C133" s="66" t="s">
        <v>175</v>
      </c>
      <c r="D133" s="284"/>
      <c r="E133" s="77" t="s">
        <v>253</v>
      </c>
      <c r="F133" s="282"/>
      <c r="G133" s="71" t="s">
        <v>202</v>
      </c>
      <c r="H133" s="70" t="s">
        <v>615</v>
      </c>
      <c r="I133" s="70" t="s">
        <v>184</v>
      </c>
      <c r="J133" s="71" t="s">
        <v>567</v>
      </c>
      <c r="K133" s="70" t="s">
        <v>250</v>
      </c>
      <c r="L133" s="69" t="s">
        <v>257</v>
      </c>
      <c r="M133" s="180" t="s">
        <v>608</v>
      </c>
      <c r="N133" s="68">
        <v>15.75</v>
      </c>
      <c r="O133" s="58">
        <v>15.75</v>
      </c>
      <c r="P133" s="144">
        <v>15.75</v>
      </c>
      <c r="Q133" s="144">
        <v>15.75</v>
      </c>
      <c r="R133" s="144">
        <v>15.75</v>
      </c>
      <c r="S133" s="144">
        <v>15.75</v>
      </c>
      <c r="T133" s="144">
        <v>15.75</v>
      </c>
      <c r="U133" s="144">
        <v>15.75</v>
      </c>
      <c r="V133" s="144">
        <v>15.75</v>
      </c>
      <c r="W133" s="144">
        <v>15.75</v>
      </c>
      <c r="X133" s="144">
        <v>15.75</v>
      </c>
      <c r="Y133" s="144">
        <v>15.75</v>
      </c>
      <c r="Z133" s="144">
        <v>15.75</v>
      </c>
      <c r="AA133" s="58">
        <v>15.75</v>
      </c>
      <c r="AB133" s="68">
        <v>0.46</v>
      </c>
      <c r="AC133" s="144">
        <v>0.46</v>
      </c>
      <c r="AD133" s="144">
        <v>0.46</v>
      </c>
      <c r="AE133" s="144">
        <v>0.46</v>
      </c>
      <c r="AF133" s="144">
        <v>0.46</v>
      </c>
      <c r="AG133" s="144">
        <v>0.46</v>
      </c>
      <c r="AH133" s="144">
        <v>0.46</v>
      </c>
      <c r="AI133" s="144">
        <v>0.46</v>
      </c>
      <c r="AJ133" s="144">
        <v>0.46</v>
      </c>
      <c r="AK133" s="144">
        <v>0.46</v>
      </c>
      <c r="AL133" s="144">
        <v>0.46</v>
      </c>
      <c r="AM133" s="144">
        <v>0.46</v>
      </c>
      <c r="AN133" s="153">
        <v>0.46</v>
      </c>
      <c r="AO133" s="105">
        <v>0</v>
      </c>
      <c r="AP133" s="118">
        <f t="shared" si="48"/>
        <v>0</v>
      </c>
      <c r="AQ133" s="105">
        <v>0</v>
      </c>
      <c r="AR133" s="118">
        <f t="shared" si="2"/>
        <v>0</v>
      </c>
      <c r="AS133" s="105">
        <v>0</v>
      </c>
      <c r="AT133" s="127">
        <f t="shared" si="3"/>
        <v>0</v>
      </c>
      <c r="AU133" s="5">
        <v>0</v>
      </c>
      <c r="AV133" s="118">
        <f t="shared" si="4"/>
        <v>0</v>
      </c>
      <c r="AW133" s="105">
        <v>0</v>
      </c>
      <c r="AX133" s="118">
        <f t="shared" si="5"/>
        <v>0</v>
      </c>
      <c r="AY133" s="105">
        <v>0</v>
      </c>
      <c r="AZ133" s="127">
        <f t="shared" si="51"/>
        <v>0</v>
      </c>
      <c r="BA133" s="105">
        <v>0</v>
      </c>
      <c r="BB133" s="118">
        <f t="shared" si="7"/>
        <v>0</v>
      </c>
      <c r="BC133" s="105">
        <v>0</v>
      </c>
      <c r="BD133" s="118">
        <f t="shared" si="8"/>
        <v>0</v>
      </c>
      <c r="BE133" s="5">
        <v>0</v>
      </c>
      <c r="BF133" s="127">
        <f t="shared" si="54"/>
        <v>0</v>
      </c>
      <c r="BG133" s="105">
        <v>0</v>
      </c>
      <c r="BH133" s="118">
        <f t="shared" si="50"/>
        <v>0</v>
      </c>
      <c r="BI133" s="5">
        <v>0</v>
      </c>
      <c r="BJ133" s="118">
        <f t="shared" si="11"/>
        <v>0</v>
      </c>
      <c r="BK133" s="5">
        <v>0</v>
      </c>
      <c r="BL133" s="127">
        <f t="shared" si="55"/>
        <v>0</v>
      </c>
      <c r="BM133" s="220" t="s">
        <v>616</v>
      </c>
      <c r="BO133" s="1" t="s">
        <v>578</v>
      </c>
      <c r="BP133" s="233" t="s">
        <v>628</v>
      </c>
      <c r="BQ133" s="233"/>
      <c r="BR133" s="234"/>
    </row>
    <row r="134" spans="1:70">
      <c r="A134" s="219" t="s">
        <v>451</v>
      </c>
      <c r="B134" s="106" t="s">
        <v>244</v>
      </c>
      <c r="C134" s="66" t="s">
        <v>175</v>
      </c>
      <c r="D134" s="284"/>
      <c r="E134" s="77" t="s">
        <v>253</v>
      </c>
      <c r="F134" s="282"/>
      <c r="G134" s="71" t="s">
        <v>202</v>
      </c>
      <c r="H134" s="70" t="s">
        <v>615</v>
      </c>
      <c r="I134" s="70" t="s">
        <v>184</v>
      </c>
      <c r="J134" s="71" t="s">
        <v>567</v>
      </c>
      <c r="K134" s="70" t="s">
        <v>250</v>
      </c>
      <c r="L134" s="69" t="s">
        <v>257</v>
      </c>
      <c r="M134" s="180" t="s">
        <v>608</v>
      </c>
      <c r="N134" s="68">
        <v>15.75</v>
      </c>
      <c r="O134" s="58">
        <v>15.75</v>
      </c>
      <c r="P134" s="144">
        <v>15.75</v>
      </c>
      <c r="Q134" s="144">
        <v>15.75</v>
      </c>
      <c r="R134" s="144">
        <v>15.75</v>
      </c>
      <c r="S134" s="144">
        <v>15.75</v>
      </c>
      <c r="T134" s="144">
        <v>15.75</v>
      </c>
      <c r="U134" s="144">
        <v>15.75</v>
      </c>
      <c r="V134" s="144">
        <v>15.75</v>
      </c>
      <c r="W134" s="144">
        <v>15.75</v>
      </c>
      <c r="X134" s="144">
        <v>15.75</v>
      </c>
      <c r="Y134" s="144">
        <v>15.75</v>
      </c>
      <c r="Z134" s="144">
        <v>15.75</v>
      </c>
      <c r="AA134" s="58">
        <v>15.75</v>
      </c>
      <c r="AB134" s="68">
        <v>0.46</v>
      </c>
      <c r="AC134" s="144">
        <v>0.46</v>
      </c>
      <c r="AD134" s="144">
        <v>0.46</v>
      </c>
      <c r="AE134" s="144">
        <v>0.46</v>
      </c>
      <c r="AF134" s="144">
        <v>0.46</v>
      </c>
      <c r="AG134" s="144">
        <v>0.46</v>
      </c>
      <c r="AH134" s="144">
        <v>0.46</v>
      </c>
      <c r="AI134" s="144">
        <v>0.46</v>
      </c>
      <c r="AJ134" s="144">
        <v>0.46</v>
      </c>
      <c r="AK134" s="144">
        <v>0.46</v>
      </c>
      <c r="AL134" s="144">
        <v>0.46</v>
      </c>
      <c r="AM134" s="144">
        <v>0.46</v>
      </c>
      <c r="AN134" s="153">
        <v>0.46</v>
      </c>
      <c r="AO134" s="105">
        <v>0</v>
      </c>
      <c r="AP134" s="118">
        <f t="shared" si="48"/>
        <v>0</v>
      </c>
      <c r="AQ134" s="105">
        <v>0</v>
      </c>
      <c r="AR134" s="118">
        <f t="shared" si="2"/>
        <v>0</v>
      </c>
      <c r="AS134" s="105">
        <v>0</v>
      </c>
      <c r="AT134" s="127">
        <f t="shared" si="3"/>
        <v>0</v>
      </c>
      <c r="AU134" s="5">
        <v>0</v>
      </c>
      <c r="AV134" s="118">
        <f t="shared" si="4"/>
        <v>0</v>
      </c>
      <c r="AW134" s="105">
        <v>0</v>
      </c>
      <c r="AX134" s="118">
        <f t="shared" si="5"/>
        <v>0</v>
      </c>
      <c r="AY134" s="105">
        <v>0</v>
      </c>
      <c r="AZ134" s="127">
        <f t="shared" si="51"/>
        <v>0</v>
      </c>
      <c r="BA134" s="105">
        <v>0</v>
      </c>
      <c r="BB134" s="118">
        <f t="shared" si="7"/>
        <v>0</v>
      </c>
      <c r="BC134" s="105">
        <v>0</v>
      </c>
      <c r="BD134" s="118">
        <f t="shared" si="8"/>
        <v>0</v>
      </c>
      <c r="BE134" s="5">
        <v>0</v>
      </c>
      <c r="BF134" s="127">
        <f t="shared" si="54"/>
        <v>0</v>
      </c>
      <c r="BG134" s="105">
        <v>0</v>
      </c>
      <c r="BH134" s="118">
        <f t="shared" si="50"/>
        <v>0</v>
      </c>
      <c r="BI134" s="5">
        <v>0</v>
      </c>
      <c r="BJ134" s="118">
        <f t="shared" si="11"/>
        <v>0</v>
      </c>
      <c r="BK134" s="5">
        <v>0</v>
      </c>
      <c r="BL134" s="127">
        <f t="shared" si="55"/>
        <v>0</v>
      </c>
      <c r="BM134" s="220" t="s">
        <v>616</v>
      </c>
      <c r="BO134" s="1" t="s">
        <v>578</v>
      </c>
      <c r="BP134" s="233" t="s">
        <v>629</v>
      </c>
      <c r="BQ134" s="233"/>
      <c r="BR134" s="234"/>
    </row>
    <row r="135" spans="1:70">
      <c r="A135" s="219" t="s">
        <v>451</v>
      </c>
      <c r="B135" s="106" t="s">
        <v>244</v>
      </c>
      <c r="C135" s="66" t="s">
        <v>175</v>
      </c>
      <c r="D135" s="284"/>
      <c r="E135" s="77" t="s">
        <v>253</v>
      </c>
      <c r="F135" s="282"/>
      <c r="G135" s="71" t="s">
        <v>202</v>
      </c>
      <c r="H135" s="70" t="s">
        <v>615</v>
      </c>
      <c r="I135" s="70" t="s">
        <v>184</v>
      </c>
      <c r="J135" s="71" t="s">
        <v>567</v>
      </c>
      <c r="K135" s="70" t="s">
        <v>250</v>
      </c>
      <c r="L135" s="69" t="s">
        <v>257</v>
      </c>
      <c r="M135" s="180" t="s">
        <v>608</v>
      </c>
      <c r="N135" s="68">
        <v>15.75</v>
      </c>
      <c r="O135" s="58">
        <v>15.75</v>
      </c>
      <c r="P135" s="144">
        <v>15.75</v>
      </c>
      <c r="Q135" s="144">
        <v>15.75</v>
      </c>
      <c r="R135" s="144">
        <v>15.75</v>
      </c>
      <c r="S135" s="144">
        <v>15.75</v>
      </c>
      <c r="T135" s="144">
        <v>15.75</v>
      </c>
      <c r="U135" s="144">
        <v>15.75</v>
      </c>
      <c r="V135" s="144">
        <v>15.75</v>
      </c>
      <c r="W135" s="144">
        <v>15.75</v>
      </c>
      <c r="X135" s="144">
        <v>15.75</v>
      </c>
      <c r="Y135" s="144">
        <v>15.75</v>
      </c>
      <c r="Z135" s="144">
        <v>15.75</v>
      </c>
      <c r="AA135" s="58">
        <v>15.75</v>
      </c>
      <c r="AB135" s="68">
        <v>0.46</v>
      </c>
      <c r="AC135" s="144">
        <v>0.46</v>
      </c>
      <c r="AD135" s="144">
        <v>0.46</v>
      </c>
      <c r="AE135" s="144">
        <v>0.46</v>
      </c>
      <c r="AF135" s="144">
        <v>0.46</v>
      </c>
      <c r="AG135" s="144">
        <v>0.46</v>
      </c>
      <c r="AH135" s="144">
        <v>0.46</v>
      </c>
      <c r="AI135" s="144">
        <v>0.46</v>
      </c>
      <c r="AJ135" s="144">
        <v>0.46</v>
      </c>
      <c r="AK135" s="144">
        <v>0.46</v>
      </c>
      <c r="AL135" s="144">
        <v>0.46</v>
      </c>
      <c r="AM135" s="144">
        <v>0.46</v>
      </c>
      <c r="AN135" s="153">
        <v>0.46</v>
      </c>
      <c r="AO135" s="105">
        <v>0</v>
      </c>
      <c r="AP135" s="118">
        <f t="shared" si="48"/>
        <v>0</v>
      </c>
      <c r="AQ135" s="105">
        <v>0</v>
      </c>
      <c r="AR135" s="118">
        <f t="shared" si="2"/>
        <v>0</v>
      </c>
      <c r="AS135" s="105">
        <v>0</v>
      </c>
      <c r="AT135" s="127">
        <f t="shared" si="3"/>
        <v>0</v>
      </c>
      <c r="AU135" s="5">
        <v>0</v>
      </c>
      <c r="AV135" s="118">
        <f t="shared" si="4"/>
        <v>0</v>
      </c>
      <c r="AW135" s="105">
        <v>0</v>
      </c>
      <c r="AX135" s="118">
        <f t="shared" si="5"/>
        <v>0</v>
      </c>
      <c r="AY135" s="105">
        <v>0</v>
      </c>
      <c r="AZ135" s="127">
        <f t="shared" si="51"/>
        <v>0</v>
      </c>
      <c r="BA135" s="105">
        <v>0</v>
      </c>
      <c r="BB135" s="118">
        <f t="shared" si="7"/>
        <v>0</v>
      </c>
      <c r="BC135" s="105">
        <v>0</v>
      </c>
      <c r="BD135" s="118">
        <f t="shared" si="8"/>
        <v>0</v>
      </c>
      <c r="BE135" s="5">
        <v>0</v>
      </c>
      <c r="BF135" s="127">
        <f t="shared" si="54"/>
        <v>0</v>
      </c>
      <c r="BG135" s="105">
        <v>0</v>
      </c>
      <c r="BH135" s="118">
        <f t="shared" si="50"/>
        <v>0</v>
      </c>
      <c r="BI135" s="5">
        <v>0</v>
      </c>
      <c r="BJ135" s="118">
        <f t="shared" si="11"/>
        <v>0</v>
      </c>
      <c r="BK135" s="5">
        <v>0</v>
      </c>
      <c r="BL135" s="127">
        <f t="shared" si="55"/>
        <v>0</v>
      </c>
      <c r="BM135" s="220" t="s">
        <v>616</v>
      </c>
      <c r="BO135" s="1" t="s">
        <v>578</v>
      </c>
      <c r="BP135" s="233" t="s">
        <v>630</v>
      </c>
      <c r="BQ135" s="233"/>
      <c r="BR135" s="234"/>
    </row>
    <row r="136" spans="1:70">
      <c r="A136" s="219" t="s">
        <v>451</v>
      </c>
      <c r="B136" s="106" t="s">
        <v>244</v>
      </c>
      <c r="C136" s="66" t="s">
        <v>175</v>
      </c>
      <c r="D136" s="284"/>
      <c r="E136" s="77" t="s">
        <v>253</v>
      </c>
      <c r="F136" s="282"/>
      <c r="G136" s="71" t="s">
        <v>202</v>
      </c>
      <c r="H136" s="70" t="s">
        <v>615</v>
      </c>
      <c r="I136" s="70" t="s">
        <v>184</v>
      </c>
      <c r="J136" s="71" t="s">
        <v>567</v>
      </c>
      <c r="K136" s="70" t="s">
        <v>250</v>
      </c>
      <c r="L136" s="69" t="s">
        <v>257</v>
      </c>
      <c r="M136" s="180" t="s">
        <v>608</v>
      </c>
      <c r="N136" s="68">
        <v>15.75</v>
      </c>
      <c r="O136" s="58">
        <v>15.75</v>
      </c>
      <c r="P136" s="144">
        <v>15.75</v>
      </c>
      <c r="Q136" s="144">
        <v>15.75</v>
      </c>
      <c r="R136" s="144">
        <v>15.75</v>
      </c>
      <c r="S136" s="144">
        <v>15.75</v>
      </c>
      <c r="T136" s="144">
        <v>15.75</v>
      </c>
      <c r="U136" s="144">
        <v>15.75</v>
      </c>
      <c r="V136" s="144">
        <v>15.75</v>
      </c>
      <c r="W136" s="144">
        <v>15.75</v>
      </c>
      <c r="X136" s="144">
        <v>15.75</v>
      </c>
      <c r="Y136" s="144">
        <v>15.75</v>
      </c>
      <c r="Z136" s="144">
        <v>15.75</v>
      </c>
      <c r="AA136" s="58">
        <v>15.75</v>
      </c>
      <c r="AB136" s="68">
        <v>0.46</v>
      </c>
      <c r="AC136" s="144">
        <v>0.46</v>
      </c>
      <c r="AD136" s="144">
        <v>0.46</v>
      </c>
      <c r="AE136" s="144">
        <v>0.46</v>
      </c>
      <c r="AF136" s="144">
        <v>0.46</v>
      </c>
      <c r="AG136" s="144">
        <v>0.46</v>
      </c>
      <c r="AH136" s="144">
        <v>0.46</v>
      </c>
      <c r="AI136" s="144">
        <v>0.46</v>
      </c>
      <c r="AJ136" s="144">
        <v>0.46</v>
      </c>
      <c r="AK136" s="144">
        <v>0.46</v>
      </c>
      <c r="AL136" s="144">
        <v>0.46</v>
      </c>
      <c r="AM136" s="144">
        <v>0.46</v>
      </c>
      <c r="AN136" s="153">
        <v>0.46</v>
      </c>
      <c r="AO136" s="105">
        <v>0</v>
      </c>
      <c r="AP136" s="118">
        <f t="shared" si="48"/>
        <v>0</v>
      </c>
      <c r="AQ136" s="105">
        <v>0</v>
      </c>
      <c r="AR136" s="118">
        <f t="shared" si="2"/>
        <v>0</v>
      </c>
      <c r="AS136" s="105">
        <v>0</v>
      </c>
      <c r="AT136" s="127">
        <f t="shared" si="3"/>
        <v>0</v>
      </c>
      <c r="AU136" s="5">
        <v>0</v>
      </c>
      <c r="AV136" s="118">
        <f t="shared" si="4"/>
        <v>0</v>
      </c>
      <c r="AW136" s="105">
        <v>0</v>
      </c>
      <c r="AX136" s="118">
        <f t="shared" si="5"/>
        <v>0</v>
      </c>
      <c r="AY136" s="105">
        <v>0</v>
      </c>
      <c r="AZ136" s="127">
        <f t="shared" si="51"/>
        <v>0</v>
      </c>
      <c r="BA136" s="105">
        <v>0</v>
      </c>
      <c r="BB136" s="118">
        <f t="shared" si="7"/>
        <v>0</v>
      </c>
      <c r="BC136" s="105">
        <v>0</v>
      </c>
      <c r="BD136" s="118">
        <f t="shared" si="8"/>
        <v>0</v>
      </c>
      <c r="BE136" s="5">
        <v>0</v>
      </c>
      <c r="BF136" s="127">
        <f t="shared" si="54"/>
        <v>0</v>
      </c>
      <c r="BG136" s="105">
        <v>0</v>
      </c>
      <c r="BH136" s="118">
        <f t="shared" si="50"/>
        <v>0</v>
      </c>
      <c r="BI136" s="5">
        <v>0</v>
      </c>
      <c r="BJ136" s="118">
        <f t="shared" si="11"/>
        <v>0</v>
      </c>
      <c r="BK136" s="5">
        <v>0</v>
      </c>
      <c r="BL136" s="127">
        <f t="shared" si="55"/>
        <v>0</v>
      </c>
      <c r="BM136" s="220" t="s">
        <v>616</v>
      </c>
      <c r="BO136" s="1" t="s">
        <v>578</v>
      </c>
      <c r="BP136" s="233" t="s">
        <v>631</v>
      </c>
      <c r="BQ136" s="233"/>
      <c r="BR136" s="234"/>
    </row>
    <row r="137" spans="1:70">
      <c r="A137" s="219" t="s">
        <v>451</v>
      </c>
      <c r="B137" s="106" t="s">
        <v>244</v>
      </c>
      <c r="C137" s="66" t="s">
        <v>175</v>
      </c>
      <c r="D137" s="284"/>
      <c r="E137" s="77" t="s">
        <v>253</v>
      </c>
      <c r="F137" s="282"/>
      <c r="G137" s="71" t="s">
        <v>202</v>
      </c>
      <c r="H137" s="70" t="s">
        <v>615</v>
      </c>
      <c r="I137" s="70" t="s">
        <v>184</v>
      </c>
      <c r="J137" s="71" t="s">
        <v>567</v>
      </c>
      <c r="K137" s="70" t="s">
        <v>250</v>
      </c>
      <c r="L137" s="69" t="s">
        <v>257</v>
      </c>
      <c r="M137" s="180" t="s">
        <v>608</v>
      </c>
      <c r="N137" s="68">
        <v>15.75</v>
      </c>
      <c r="O137" s="58">
        <v>15.75</v>
      </c>
      <c r="P137" s="144">
        <v>15.75</v>
      </c>
      <c r="Q137" s="144">
        <v>15.75</v>
      </c>
      <c r="R137" s="144">
        <v>15.75</v>
      </c>
      <c r="S137" s="144">
        <v>15.75</v>
      </c>
      <c r="T137" s="144">
        <v>15.75</v>
      </c>
      <c r="U137" s="144">
        <v>15.75</v>
      </c>
      <c r="V137" s="144">
        <v>15.75</v>
      </c>
      <c r="W137" s="144">
        <v>15.75</v>
      </c>
      <c r="X137" s="144">
        <v>15.75</v>
      </c>
      <c r="Y137" s="144">
        <v>15.75</v>
      </c>
      <c r="Z137" s="144">
        <v>15.75</v>
      </c>
      <c r="AA137" s="58">
        <v>15.75</v>
      </c>
      <c r="AB137" s="68">
        <v>0.46</v>
      </c>
      <c r="AC137" s="144">
        <v>0.46</v>
      </c>
      <c r="AD137" s="144">
        <v>0.46</v>
      </c>
      <c r="AE137" s="144">
        <v>0.46</v>
      </c>
      <c r="AF137" s="144">
        <v>0.46</v>
      </c>
      <c r="AG137" s="144">
        <v>0.46</v>
      </c>
      <c r="AH137" s="144">
        <v>0.46</v>
      </c>
      <c r="AI137" s="144">
        <v>0.46</v>
      </c>
      <c r="AJ137" s="144">
        <v>0.46</v>
      </c>
      <c r="AK137" s="144">
        <v>0.46</v>
      </c>
      <c r="AL137" s="144">
        <v>0.46</v>
      </c>
      <c r="AM137" s="144">
        <v>0.46</v>
      </c>
      <c r="AN137" s="153">
        <v>0.46</v>
      </c>
      <c r="AO137" s="105">
        <v>800</v>
      </c>
      <c r="AP137" s="118">
        <f t="shared" si="48"/>
        <v>368</v>
      </c>
      <c r="AQ137" s="105">
        <v>0</v>
      </c>
      <c r="AR137" s="118">
        <f t="shared" si="2"/>
        <v>0</v>
      </c>
      <c r="AS137" s="105">
        <v>800</v>
      </c>
      <c r="AT137" s="127">
        <f t="shared" si="3"/>
        <v>368</v>
      </c>
      <c r="AU137" s="5">
        <v>0</v>
      </c>
      <c r="AV137" s="118">
        <f t="shared" si="4"/>
        <v>0</v>
      </c>
      <c r="AW137" s="105">
        <v>0</v>
      </c>
      <c r="AX137" s="118">
        <f t="shared" si="5"/>
        <v>0</v>
      </c>
      <c r="AY137" s="105">
        <v>0</v>
      </c>
      <c r="AZ137" s="127">
        <f t="shared" si="51"/>
        <v>0</v>
      </c>
      <c r="BA137" s="105">
        <v>850</v>
      </c>
      <c r="BB137" s="118">
        <f t="shared" si="7"/>
        <v>391</v>
      </c>
      <c r="BC137" s="105">
        <v>0</v>
      </c>
      <c r="BD137" s="118">
        <f t="shared" si="8"/>
        <v>0</v>
      </c>
      <c r="BE137" s="5">
        <v>0</v>
      </c>
      <c r="BF137" s="127">
        <f t="shared" si="54"/>
        <v>0</v>
      </c>
      <c r="BG137" s="105">
        <v>600</v>
      </c>
      <c r="BH137" s="118">
        <f t="shared" si="50"/>
        <v>276</v>
      </c>
      <c r="BI137" s="5">
        <v>0</v>
      </c>
      <c r="BJ137" s="118">
        <f t="shared" si="11"/>
        <v>0</v>
      </c>
      <c r="BK137" s="5">
        <v>0</v>
      </c>
      <c r="BL137" s="127">
        <f t="shared" si="55"/>
        <v>0</v>
      </c>
      <c r="BM137" s="220" t="s">
        <v>616</v>
      </c>
      <c r="BO137" s="1" t="s">
        <v>578</v>
      </c>
      <c r="BP137" s="233" t="s">
        <v>632</v>
      </c>
      <c r="BQ137" s="233"/>
      <c r="BR137" s="234"/>
    </row>
    <row r="138" spans="1:70">
      <c r="A138" s="219" t="s">
        <v>451</v>
      </c>
      <c r="B138" s="106" t="s">
        <v>244</v>
      </c>
      <c r="C138" s="66" t="s">
        <v>175</v>
      </c>
      <c r="D138" s="284"/>
      <c r="E138" s="77" t="s">
        <v>253</v>
      </c>
      <c r="F138" s="282"/>
      <c r="G138" s="71" t="s">
        <v>202</v>
      </c>
      <c r="H138" s="70" t="s">
        <v>615</v>
      </c>
      <c r="I138" s="70" t="s">
        <v>184</v>
      </c>
      <c r="J138" s="71" t="s">
        <v>567</v>
      </c>
      <c r="K138" s="70" t="s">
        <v>250</v>
      </c>
      <c r="L138" s="69" t="s">
        <v>257</v>
      </c>
      <c r="M138" s="180" t="s">
        <v>608</v>
      </c>
      <c r="N138" s="68">
        <v>15.75</v>
      </c>
      <c r="O138" s="58">
        <v>15.75</v>
      </c>
      <c r="P138" s="144">
        <v>15.75</v>
      </c>
      <c r="Q138" s="144">
        <v>15.75</v>
      </c>
      <c r="R138" s="144">
        <v>15.75</v>
      </c>
      <c r="S138" s="144">
        <v>15.75</v>
      </c>
      <c r="T138" s="144">
        <v>15.75</v>
      </c>
      <c r="U138" s="144">
        <v>15.75</v>
      </c>
      <c r="V138" s="144">
        <v>15.75</v>
      </c>
      <c r="W138" s="144">
        <v>15.75</v>
      </c>
      <c r="X138" s="144">
        <v>15.75</v>
      </c>
      <c r="Y138" s="144">
        <v>15.75</v>
      </c>
      <c r="Z138" s="144">
        <v>15.75</v>
      </c>
      <c r="AA138" s="58">
        <v>15.75</v>
      </c>
      <c r="AB138" s="68">
        <v>0.46</v>
      </c>
      <c r="AC138" s="144">
        <v>0.46</v>
      </c>
      <c r="AD138" s="144">
        <v>0.46</v>
      </c>
      <c r="AE138" s="144">
        <v>0.46</v>
      </c>
      <c r="AF138" s="144">
        <v>0.46</v>
      </c>
      <c r="AG138" s="144">
        <v>0.46</v>
      </c>
      <c r="AH138" s="144">
        <v>0.46</v>
      </c>
      <c r="AI138" s="144">
        <v>0.46</v>
      </c>
      <c r="AJ138" s="144">
        <v>0.46</v>
      </c>
      <c r="AK138" s="144">
        <v>0.46</v>
      </c>
      <c r="AL138" s="144">
        <v>0.46</v>
      </c>
      <c r="AM138" s="144">
        <v>0.46</v>
      </c>
      <c r="AN138" s="153">
        <v>0.46</v>
      </c>
      <c r="AO138" s="105">
        <v>0</v>
      </c>
      <c r="AP138" s="118">
        <f t="shared" si="48"/>
        <v>0</v>
      </c>
      <c r="AQ138" s="105">
        <v>0</v>
      </c>
      <c r="AR138" s="118">
        <f t="shared" si="2"/>
        <v>0</v>
      </c>
      <c r="AS138" s="105">
        <v>0</v>
      </c>
      <c r="AT138" s="127">
        <f t="shared" si="3"/>
        <v>0</v>
      </c>
      <c r="AU138" s="5">
        <v>0</v>
      </c>
      <c r="AV138" s="118">
        <f t="shared" si="4"/>
        <v>0</v>
      </c>
      <c r="AW138" s="105">
        <v>0</v>
      </c>
      <c r="AX138" s="118">
        <f t="shared" si="5"/>
        <v>0</v>
      </c>
      <c r="AY138" s="105">
        <v>0</v>
      </c>
      <c r="AZ138" s="127">
        <f t="shared" si="51"/>
        <v>0</v>
      </c>
      <c r="BA138" s="105">
        <v>0</v>
      </c>
      <c r="BB138" s="118">
        <f t="shared" si="7"/>
        <v>0</v>
      </c>
      <c r="BC138" s="105">
        <v>0</v>
      </c>
      <c r="BD138" s="118">
        <f t="shared" si="8"/>
        <v>0</v>
      </c>
      <c r="BE138" s="5">
        <v>0</v>
      </c>
      <c r="BF138" s="127">
        <f t="shared" si="54"/>
        <v>0</v>
      </c>
      <c r="BG138" s="105">
        <v>0</v>
      </c>
      <c r="BH138" s="118">
        <f t="shared" si="50"/>
        <v>0</v>
      </c>
      <c r="BI138" s="5">
        <v>0</v>
      </c>
      <c r="BJ138" s="118">
        <f t="shared" si="11"/>
        <v>0</v>
      </c>
      <c r="BK138" s="5">
        <v>0</v>
      </c>
      <c r="BL138" s="127">
        <f t="shared" si="55"/>
        <v>0</v>
      </c>
      <c r="BM138" s="220" t="s">
        <v>616</v>
      </c>
      <c r="BO138" s="1" t="s">
        <v>578</v>
      </c>
      <c r="BP138" s="233" t="s">
        <v>633</v>
      </c>
      <c r="BQ138" s="233"/>
      <c r="BR138" s="234"/>
    </row>
    <row r="139" spans="1:70">
      <c r="A139" s="219" t="s">
        <v>451</v>
      </c>
      <c r="B139" s="106" t="s">
        <v>244</v>
      </c>
      <c r="C139" s="66" t="s">
        <v>175</v>
      </c>
      <c r="D139" s="284"/>
      <c r="E139" s="77" t="s">
        <v>253</v>
      </c>
      <c r="F139" s="282"/>
      <c r="G139" s="71" t="s">
        <v>202</v>
      </c>
      <c r="H139" s="70" t="s">
        <v>615</v>
      </c>
      <c r="I139" s="70" t="s">
        <v>184</v>
      </c>
      <c r="J139" s="71" t="s">
        <v>567</v>
      </c>
      <c r="K139" s="70" t="s">
        <v>250</v>
      </c>
      <c r="L139" s="69" t="s">
        <v>257</v>
      </c>
      <c r="M139" s="180" t="s">
        <v>608</v>
      </c>
      <c r="N139" s="68">
        <v>15.75</v>
      </c>
      <c r="O139" s="58">
        <v>15.75</v>
      </c>
      <c r="P139" s="144">
        <v>15.75</v>
      </c>
      <c r="Q139" s="144">
        <v>15.75</v>
      </c>
      <c r="R139" s="144">
        <v>15.75</v>
      </c>
      <c r="S139" s="144">
        <v>15.75</v>
      </c>
      <c r="T139" s="144">
        <v>15.75</v>
      </c>
      <c r="U139" s="144">
        <v>15.75</v>
      </c>
      <c r="V139" s="144">
        <v>15.75</v>
      </c>
      <c r="W139" s="144">
        <v>15.75</v>
      </c>
      <c r="X139" s="144">
        <v>15.75</v>
      </c>
      <c r="Y139" s="144">
        <v>15.75</v>
      </c>
      <c r="Z139" s="144">
        <v>15.75</v>
      </c>
      <c r="AA139" s="58">
        <v>15.75</v>
      </c>
      <c r="AB139" s="68">
        <v>0.46</v>
      </c>
      <c r="AC139" s="144">
        <v>0.46</v>
      </c>
      <c r="AD139" s="144">
        <v>0.46</v>
      </c>
      <c r="AE139" s="144">
        <v>0.46</v>
      </c>
      <c r="AF139" s="144">
        <v>0.46</v>
      </c>
      <c r="AG139" s="144">
        <v>0.46</v>
      </c>
      <c r="AH139" s="144">
        <v>0.46</v>
      </c>
      <c r="AI139" s="144">
        <v>0.46</v>
      </c>
      <c r="AJ139" s="144">
        <v>0.46</v>
      </c>
      <c r="AK139" s="144">
        <v>0.46</v>
      </c>
      <c r="AL139" s="144">
        <v>0.46</v>
      </c>
      <c r="AM139" s="144">
        <v>0.46</v>
      </c>
      <c r="AN139" s="153">
        <v>0.46</v>
      </c>
      <c r="AO139" s="105">
        <v>0</v>
      </c>
      <c r="AP139" s="118">
        <f t="shared" si="48"/>
        <v>0</v>
      </c>
      <c r="AQ139" s="105">
        <v>0</v>
      </c>
      <c r="AR139" s="118">
        <f t="shared" si="2"/>
        <v>0</v>
      </c>
      <c r="AS139" s="105">
        <v>0</v>
      </c>
      <c r="AT139" s="127">
        <f t="shared" si="3"/>
        <v>0</v>
      </c>
      <c r="AU139" s="5">
        <v>0</v>
      </c>
      <c r="AV139" s="118">
        <f t="shared" si="4"/>
        <v>0</v>
      </c>
      <c r="AW139" s="105">
        <v>0</v>
      </c>
      <c r="AX139" s="118">
        <f t="shared" si="5"/>
        <v>0</v>
      </c>
      <c r="AY139" s="105">
        <v>0</v>
      </c>
      <c r="AZ139" s="127">
        <f t="shared" si="51"/>
        <v>0</v>
      </c>
      <c r="BA139" s="105">
        <v>200</v>
      </c>
      <c r="BB139" s="118">
        <f t="shared" si="7"/>
        <v>92</v>
      </c>
      <c r="BC139" s="105">
        <v>0</v>
      </c>
      <c r="BD139" s="118">
        <f t="shared" si="8"/>
        <v>0</v>
      </c>
      <c r="BE139" s="5">
        <v>0</v>
      </c>
      <c r="BF139" s="127">
        <f t="shared" si="54"/>
        <v>0</v>
      </c>
      <c r="BG139" s="105">
        <v>200</v>
      </c>
      <c r="BH139" s="118">
        <f t="shared" si="50"/>
        <v>92</v>
      </c>
      <c r="BI139" s="5">
        <v>0</v>
      </c>
      <c r="BJ139" s="118">
        <f t="shared" si="11"/>
        <v>0</v>
      </c>
      <c r="BK139" s="5">
        <v>0</v>
      </c>
      <c r="BL139" s="127">
        <f t="shared" si="55"/>
        <v>0</v>
      </c>
      <c r="BM139" s="220" t="s">
        <v>616</v>
      </c>
      <c r="BO139" s="1" t="s">
        <v>578</v>
      </c>
      <c r="BP139" s="233" t="s">
        <v>634</v>
      </c>
      <c r="BQ139" s="233"/>
      <c r="BR139" s="234"/>
    </row>
    <row r="140" spans="1:70">
      <c r="A140" s="219" t="s">
        <v>451</v>
      </c>
      <c r="B140" s="106" t="s">
        <v>244</v>
      </c>
      <c r="C140" s="66" t="s">
        <v>175</v>
      </c>
      <c r="D140" s="284"/>
      <c r="E140" s="77" t="s">
        <v>253</v>
      </c>
      <c r="F140" s="282"/>
      <c r="G140" s="71" t="s">
        <v>202</v>
      </c>
      <c r="H140" s="70" t="s">
        <v>615</v>
      </c>
      <c r="I140" s="70" t="s">
        <v>184</v>
      </c>
      <c r="J140" s="71" t="s">
        <v>567</v>
      </c>
      <c r="K140" s="70" t="s">
        <v>250</v>
      </c>
      <c r="L140" s="69" t="s">
        <v>257</v>
      </c>
      <c r="M140" s="180" t="s">
        <v>608</v>
      </c>
      <c r="N140" s="68">
        <v>15.75</v>
      </c>
      <c r="O140" s="58">
        <v>15.75</v>
      </c>
      <c r="P140" s="144">
        <v>15.75</v>
      </c>
      <c r="Q140" s="144">
        <v>15.75</v>
      </c>
      <c r="R140" s="144">
        <v>15.75</v>
      </c>
      <c r="S140" s="144">
        <v>15.75</v>
      </c>
      <c r="T140" s="144">
        <v>15.75</v>
      </c>
      <c r="U140" s="144">
        <v>15.75</v>
      </c>
      <c r="V140" s="144">
        <v>15.75</v>
      </c>
      <c r="W140" s="144">
        <v>15.75</v>
      </c>
      <c r="X140" s="144">
        <v>15.75</v>
      </c>
      <c r="Y140" s="144">
        <v>15.75</v>
      </c>
      <c r="Z140" s="144">
        <v>15.75</v>
      </c>
      <c r="AA140" s="58">
        <v>15.75</v>
      </c>
      <c r="AB140" s="68">
        <v>0.46</v>
      </c>
      <c r="AC140" s="144">
        <v>0.46</v>
      </c>
      <c r="AD140" s="144">
        <v>0.46</v>
      </c>
      <c r="AE140" s="144">
        <v>0.46</v>
      </c>
      <c r="AF140" s="144">
        <v>0.46</v>
      </c>
      <c r="AG140" s="144">
        <v>0.46</v>
      </c>
      <c r="AH140" s="144">
        <v>0.46</v>
      </c>
      <c r="AI140" s="144">
        <v>0.46</v>
      </c>
      <c r="AJ140" s="144">
        <v>0.46</v>
      </c>
      <c r="AK140" s="144">
        <v>0.46</v>
      </c>
      <c r="AL140" s="144">
        <v>0.46</v>
      </c>
      <c r="AM140" s="144">
        <v>0.46</v>
      </c>
      <c r="AN140" s="153">
        <v>0.46</v>
      </c>
      <c r="AO140" s="105">
        <v>0</v>
      </c>
      <c r="AP140" s="118">
        <f t="shared" si="48"/>
        <v>0</v>
      </c>
      <c r="AQ140" s="105">
        <v>0</v>
      </c>
      <c r="AR140" s="118">
        <f t="shared" si="2"/>
        <v>0</v>
      </c>
      <c r="AS140" s="105">
        <v>200</v>
      </c>
      <c r="AT140" s="127">
        <f t="shared" si="3"/>
        <v>92</v>
      </c>
      <c r="AU140" s="5">
        <v>0</v>
      </c>
      <c r="AV140" s="118">
        <f t="shared" si="4"/>
        <v>0</v>
      </c>
      <c r="AW140" s="105">
        <v>0</v>
      </c>
      <c r="AX140" s="118">
        <f t="shared" si="5"/>
        <v>0</v>
      </c>
      <c r="AY140" s="105">
        <v>0</v>
      </c>
      <c r="AZ140" s="127">
        <f t="shared" si="51"/>
        <v>0</v>
      </c>
      <c r="BA140" s="105">
        <v>0</v>
      </c>
      <c r="BB140" s="118">
        <f t="shared" si="7"/>
        <v>0</v>
      </c>
      <c r="BC140" s="105">
        <v>0</v>
      </c>
      <c r="BD140" s="118">
        <f t="shared" si="8"/>
        <v>0</v>
      </c>
      <c r="BE140" s="5">
        <v>0</v>
      </c>
      <c r="BF140" s="127">
        <f t="shared" si="54"/>
        <v>0</v>
      </c>
      <c r="BG140" s="105">
        <v>200</v>
      </c>
      <c r="BH140" s="118">
        <f t="shared" si="50"/>
        <v>92</v>
      </c>
      <c r="BI140" s="5">
        <v>0</v>
      </c>
      <c r="BJ140" s="118">
        <f t="shared" si="11"/>
        <v>0</v>
      </c>
      <c r="BK140" s="5">
        <v>0</v>
      </c>
      <c r="BL140" s="127">
        <f t="shared" si="55"/>
        <v>0</v>
      </c>
      <c r="BM140" s="220" t="s">
        <v>616</v>
      </c>
      <c r="BO140" s="1" t="s">
        <v>578</v>
      </c>
      <c r="BP140" s="233" t="s">
        <v>635</v>
      </c>
      <c r="BQ140" s="233"/>
      <c r="BR140" s="234"/>
    </row>
    <row r="141" spans="1:70">
      <c r="A141" s="219" t="s">
        <v>451</v>
      </c>
      <c r="B141" s="106" t="s">
        <v>244</v>
      </c>
      <c r="C141" s="66" t="s">
        <v>175</v>
      </c>
      <c r="D141" s="284"/>
      <c r="E141" s="77" t="s">
        <v>253</v>
      </c>
      <c r="F141" s="282"/>
      <c r="G141" s="71" t="s">
        <v>202</v>
      </c>
      <c r="H141" s="70" t="s">
        <v>615</v>
      </c>
      <c r="I141" s="70" t="s">
        <v>184</v>
      </c>
      <c r="J141" s="71" t="s">
        <v>567</v>
      </c>
      <c r="K141" s="70" t="s">
        <v>250</v>
      </c>
      <c r="L141" s="69" t="s">
        <v>257</v>
      </c>
      <c r="M141" s="180" t="s">
        <v>608</v>
      </c>
      <c r="N141" s="68">
        <v>15.75</v>
      </c>
      <c r="O141" s="58">
        <v>15.75</v>
      </c>
      <c r="P141" s="144">
        <v>15.75</v>
      </c>
      <c r="Q141" s="144">
        <v>15.75</v>
      </c>
      <c r="R141" s="144">
        <v>15.75</v>
      </c>
      <c r="S141" s="144">
        <v>15.75</v>
      </c>
      <c r="T141" s="144">
        <v>15.75</v>
      </c>
      <c r="U141" s="144">
        <v>15.75</v>
      </c>
      <c r="V141" s="144">
        <v>15.75</v>
      </c>
      <c r="W141" s="144">
        <v>15.75</v>
      </c>
      <c r="X141" s="144">
        <v>15.75</v>
      </c>
      <c r="Y141" s="144">
        <v>15.75</v>
      </c>
      <c r="Z141" s="144">
        <v>15.75</v>
      </c>
      <c r="AA141" s="58">
        <v>15.75</v>
      </c>
      <c r="AB141" s="68">
        <v>0.46</v>
      </c>
      <c r="AC141" s="144">
        <v>0.46</v>
      </c>
      <c r="AD141" s="144">
        <v>0.46</v>
      </c>
      <c r="AE141" s="144">
        <v>0.46</v>
      </c>
      <c r="AF141" s="144">
        <v>0.46</v>
      </c>
      <c r="AG141" s="144">
        <v>0.46</v>
      </c>
      <c r="AH141" s="144">
        <v>0.46</v>
      </c>
      <c r="AI141" s="144">
        <v>0.46</v>
      </c>
      <c r="AJ141" s="144">
        <v>0.46</v>
      </c>
      <c r="AK141" s="144">
        <v>0.46</v>
      </c>
      <c r="AL141" s="144">
        <v>0.46</v>
      </c>
      <c r="AM141" s="144">
        <v>0.46</v>
      </c>
      <c r="AN141" s="153">
        <v>0.46</v>
      </c>
      <c r="AO141" s="105">
        <v>0</v>
      </c>
      <c r="AP141" s="118">
        <f t="shared" si="48"/>
        <v>0</v>
      </c>
      <c r="AQ141" s="105">
        <v>0</v>
      </c>
      <c r="AR141" s="118">
        <f t="shared" si="2"/>
        <v>0</v>
      </c>
      <c r="AS141" s="105">
        <v>0</v>
      </c>
      <c r="AT141" s="127">
        <f t="shared" si="3"/>
        <v>0</v>
      </c>
      <c r="AU141" s="5">
        <v>0</v>
      </c>
      <c r="AV141" s="118">
        <f t="shared" si="4"/>
        <v>0</v>
      </c>
      <c r="AW141" s="105">
        <v>0</v>
      </c>
      <c r="AX141" s="118">
        <f t="shared" si="5"/>
        <v>0</v>
      </c>
      <c r="AY141" s="105">
        <v>0</v>
      </c>
      <c r="AZ141" s="127">
        <f t="shared" si="51"/>
        <v>0</v>
      </c>
      <c r="BA141" s="105">
        <v>0</v>
      </c>
      <c r="BB141" s="118">
        <f t="shared" si="7"/>
        <v>0</v>
      </c>
      <c r="BC141" s="105">
        <v>0</v>
      </c>
      <c r="BD141" s="118">
        <f t="shared" si="8"/>
        <v>0</v>
      </c>
      <c r="BE141" s="5">
        <v>0</v>
      </c>
      <c r="BF141" s="127">
        <f t="shared" si="54"/>
        <v>0</v>
      </c>
      <c r="BG141" s="105">
        <v>0</v>
      </c>
      <c r="BH141" s="118">
        <f t="shared" si="50"/>
        <v>0</v>
      </c>
      <c r="BI141" s="5">
        <v>0</v>
      </c>
      <c r="BJ141" s="118">
        <f t="shared" si="11"/>
        <v>0</v>
      </c>
      <c r="BK141" s="5">
        <v>0</v>
      </c>
      <c r="BL141" s="127">
        <f t="shared" si="55"/>
        <v>0</v>
      </c>
      <c r="BM141" s="220" t="s">
        <v>616</v>
      </c>
      <c r="BO141" s="1" t="s">
        <v>578</v>
      </c>
      <c r="BP141" s="233" t="s">
        <v>636</v>
      </c>
      <c r="BQ141" s="233"/>
      <c r="BR141" s="234"/>
    </row>
    <row r="142" spans="1:70">
      <c r="A142" s="219" t="s">
        <v>451</v>
      </c>
      <c r="B142" s="106" t="s">
        <v>244</v>
      </c>
      <c r="C142" s="66" t="s">
        <v>175</v>
      </c>
      <c r="D142" s="284"/>
      <c r="E142" s="77" t="s">
        <v>253</v>
      </c>
      <c r="F142" s="282"/>
      <c r="G142" s="71" t="s">
        <v>202</v>
      </c>
      <c r="H142" s="70" t="s">
        <v>615</v>
      </c>
      <c r="I142" s="70" t="s">
        <v>184</v>
      </c>
      <c r="J142" s="71" t="s">
        <v>567</v>
      </c>
      <c r="K142" s="70" t="s">
        <v>250</v>
      </c>
      <c r="L142" s="69" t="s">
        <v>257</v>
      </c>
      <c r="M142" s="180" t="s">
        <v>608</v>
      </c>
      <c r="N142" s="68">
        <v>15.75</v>
      </c>
      <c r="O142" s="58">
        <v>15.75</v>
      </c>
      <c r="P142" s="144">
        <v>15.75</v>
      </c>
      <c r="Q142" s="144">
        <v>15.75</v>
      </c>
      <c r="R142" s="144">
        <v>15.75</v>
      </c>
      <c r="S142" s="144">
        <v>15.75</v>
      </c>
      <c r="T142" s="144">
        <v>15.75</v>
      </c>
      <c r="U142" s="144">
        <v>15.75</v>
      </c>
      <c r="V142" s="144">
        <v>15.75</v>
      </c>
      <c r="W142" s="144">
        <v>15.75</v>
      </c>
      <c r="X142" s="144">
        <v>15.75</v>
      </c>
      <c r="Y142" s="144">
        <v>15.75</v>
      </c>
      <c r="Z142" s="144">
        <v>15.75</v>
      </c>
      <c r="AA142" s="58">
        <v>15.75</v>
      </c>
      <c r="AB142" s="68">
        <v>0.46</v>
      </c>
      <c r="AC142" s="144">
        <v>0.46</v>
      </c>
      <c r="AD142" s="144">
        <v>0.46</v>
      </c>
      <c r="AE142" s="144">
        <v>0.46</v>
      </c>
      <c r="AF142" s="144">
        <v>0.46</v>
      </c>
      <c r="AG142" s="144">
        <v>0.46</v>
      </c>
      <c r="AH142" s="144">
        <v>0.46</v>
      </c>
      <c r="AI142" s="144">
        <v>0.46</v>
      </c>
      <c r="AJ142" s="144">
        <v>0.46</v>
      </c>
      <c r="AK142" s="144">
        <v>0.46</v>
      </c>
      <c r="AL142" s="144">
        <v>0.46</v>
      </c>
      <c r="AM142" s="144">
        <v>0.46</v>
      </c>
      <c r="AN142" s="153">
        <v>0.46</v>
      </c>
      <c r="AO142" s="105">
        <v>0</v>
      </c>
      <c r="AP142" s="118">
        <f t="shared" si="48"/>
        <v>0</v>
      </c>
      <c r="AQ142" s="105">
        <v>0</v>
      </c>
      <c r="AR142" s="118">
        <f t="shared" si="2"/>
        <v>0</v>
      </c>
      <c r="AS142" s="105">
        <v>0</v>
      </c>
      <c r="AT142" s="127">
        <f t="shared" si="3"/>
        <v>0</v>
      </c>
      <c r="AU142" s="5">
        <v>0</v>
      </c>
      <c r="AV142" s="118">
        <f t="shared" si="4"/>
        <v>0</v>
      </c>
      <c r="AW142" s="105">
        <v>0</v>
      </c>
      <c r="AX142" s="118">
        <f t="shared" si="5"/>
        <v>0</v>
      </c>
      <c r="AY142" s="105">
        <v>0</v>
      </c>
      <c r="AZ142" s="127">
        <f t="shared" si="51"/>
        <v>0</v>
      </c>
      <c r="BA142" s="105">
        <v>0</v>
      </c>
      <c r="BB142" s="118">
        <f t="shared" si="7"/>
        <v>0</v>
      </c>
      <c r="BC142" s="105">
        <v>0</v>
      </c>
      <c r="BD142" s="118">
        <f t="shared" si="8"/>
        <v>0</v>
      </c>
      <c r="BE142" s="5">
        <v>0</v>
      </c>
      <c r="BF142" s="127">
        <f t="shared" si="54"/>
        <v>0</v>
      </c>
      <c r="BG142" s="105">
        <v>0</v>
      </c>
      <c r="BH142" s="118">
        <f t="shared" si="50"/>
        <v>0</v>
      </c>
      <c r="BI142" s="5">
        <v>0</v>
      </c>
      <c r="BJ142" s="118">
        <f t="shared" si="11"/>
        <v>0</v>
      </c>
      <c r="BK142" s="5">
        <v>0</v>
      </c>
      <c r="BL142" s="127">
        <f t="shared" si="55"/>
        <v>0</v>
      </c>
      <c r="BM142" s="220" t="s">
        <v>616</v>
      </c>
      <c r="BO142" s="1" t="s">
        <v>578</v>
      </c>
      <c r="BP142" s="233" t="s">
        <v>637</v>
      </c>
      <c r="BQ142" s="233"/>
      <c r="BR142" s="234"/>
    </row>
    <row r="143" spans="1:70">
      <c r="A143" s="219" t="s">
        <v>451</v>
      </c>
      <c r="B143" s="106" t="s">
        <v>244</v>
      </c>
      <c r="C143" s="66" t="s">
        <v>175</v>
      </c>
      <c r="D143" s="284"/>
      <c r="E143" s="77" t="s">
        <v>253</v>
      </c>
      <c r="F143" s="282"/>
      <c r="G143" s="71" t="s">
        <v>202</v>
      </c>
      <c r="H143" s="70" t="s">
        <v>615</v>
      </c>
      <c r="I143" s="70" t="s">
        <v>184</v>
      </c>
      <c r="J143" s="71" t="s">
        <v>567</v>
      </c>
      <c r="K143" s="70" t="s">
        <v>250</v>
      </c>
      <c r="L143" s="69" t="s">
        <v>257</v>
      </c>
      <c r="M143" s="180" t="s">
        <v>608</v>
      </c>
      <c r="N143" s="68">
        <v>15.75</v>
      </c>
      <c r="O143" s="58">
        <v>15.75</v>
      </c>
      <c r="P143" s="144">
        <v>15.75</v>
      </c>
      <c r="Q143" s="144">
        <v>15.75</v>
      </c>
      <c r="R143" s="144">
        <v>15.75</v>
      </c>
      <c r="S143" s="144">
        <v>15.75</v>
      </c>
      <c r="T143" s="144">
        <v>15.75</v>
      </c>
      <c r="U143" s="144">
        <v>15.75</v>
      </c>
      <c r="V143" s="144">
        <v>15.75</v>
      </c>
      <c r="W143" s="144">
        <v>15.75</v>
      </c>
      <c r="X143" s="144">
        <v>15.75</v>
      </c>
      <c r="Y143" s="144">
        <v>15.75</v>
      </c>
      <c r="Z143" s="144">
        <v>15.75</v>
      </c>
      <c r="AA143" s="58">
        <v>15.75</v>
      </c>
      <c r="AB143" s="68">
        <v>0.46</v>
      </c>
      <c r="AC143" s="144">
        <v>0.46</v>
      </c>
      <c r="AD143" s="144">
        <v>0.46</v>
      </c>
      <c r="AE143" s="144">
        <v>0.46</v>
      </c>
      <c r="AF143" s="144">
        <v>0.46</v>
      </c>
      <c r="AG143" s="144">
        <v>0.46</v>
      </c>
      <c r="AH143" s="144">
        <v>0.46</v>
      </c>
      <c r="AI143" s="144">
        <v>0.46</v>
      </c>
      <c r="AJ143" s="144">
        <v>0.46</v>
      </c>
      <c r="AK143" s="144">
        <v>0.46</v>
      </c>
      <c r="AL143" s="144">
        <v>0.46</v>
      </c>
      <c r="AM143" s="144">
        <v>0.46</v>
      </c>
      <c r="AN143" s="153">
        <v>0.46</v>
      </c>
      <c r="AO143" s="105">
        <v>0</v>
      </c>
      <c r="AP143" s="118">
        <f t="shared" si="48"/>
        <v>0</v>
      </c>
      <c r="AQ143" s="105">
        <v>0</v>
      </c>
      <c r="AR143" s="118">
        <f t="shared" si="2"/>
        <v>0</v>
      </c>
      <c r="AS143" s="105">
        <v>0</v>
      </c>
      <c r="AT143" s="127">
        <f t="shared" si="3"/>
        <v>0</v>
      </c>
      <c r="AU143" s="5">
        <v>0</v>
      </c>
      <c r="AV143" s="118">
        <f t="shared" si="4"/>
        <v>0</v>
      </c>
      <c r="AW143" s="105">
        <v>0</v>
      </c>
      <c r="AX143" s="118">
        <f t="shared" si="5"/>
        <v>0</v>
      </c>
      <c r="AY143" s="105">
        <v>0</v>
      </c>
      <c r="AZ143" s="127">
        <f t="shared" si="51"/>
        <v>0</v>
      </c>
      <c r="BA143" s="105">
        <v>0</v>
      </c>
      <c r="BB143" s="118">
        <f t="shared" si="7"/>
        <v>0</v>
      </c>
      <c r="BC143" s="105">
        <v>0</v>
      </c>
      <c r="BD143" s="118">
        <f t="shared" si="8"/>
        <v>0</v>
      </c>
      <c r="BE143" s="5">
        <v>0</v>
      </c>
      <c r="BF143" s="127">
        <f t="shared" si="54"/>
        <v>0</v>
      </c>
      <c r="BG143" s="105">
        <v>0</v>
      </c>
      <c r="BH143" s="118">
        <f t="shared" si="50"/>
        <v>0</v>
      </c>
      <c r="BI143" s="5">
        <v>0</v>
      </c>
      <c r="BJ143" s="118">
        <f t="shared" si="11"/>
        <v>0</v>
      </c>
      <c r="BK143" s="5">
        <v>0</v>
      </c>
      <c r="BL143" s="127">
        <f t="shared" si="55"/>
        <v>0</v>
      </c>
      <c r="BM143" s="220" t="s">
        <v>616</v>
      </c>
      <c r="BO143" s="1" t="s">
        <v>578</v>
      </c>
      <c r="BP143" s="233" t="s">
        <v>638</v>
      </c>
      <c r="BQ143" s="233"/>
      <c r="BR143" s="234"/>
    </row>
    <row r="144" spans="1:70">
      <c r="A144" s="219" t="s">
        <v>451</v>
      </c>
      <c r="B144" s="106" t="s">
        <v>244</v>
      </c>
      <c r="C144" s="66" t="s">
        <v>175</v>
      </c>
      <c r="D144" s="284"/>
      <c r="E144" s="77" t="s">
        <v>253</v>
      </c>
      <c r="F144" s="282"/>
      <c r="G144" s="71" t="s">
        <v>202</v>
      </c>
      <c r="H144" s="70" t="s">
        <v>615</v>
      </c>
      <c r="I144" s="70" t="s">
        <v>184</v>
      </c>
      <c r="J144" s="71" t="s">
        <v>567</v>
      </c>
      <c r="K144" s="70" t="s">
        <v>250</v>
      </c>
      <c r="L144" s="69" t="s">
        <v>257</v>
      </c>
      <c r="M144" s="180" t="s">
        <v>608</v>
      </c>
      <c r="N144" s="68">
        <v>15.75</v>
      </c>
      <c r="O144" s="58">
        <v>15.75</v>
      </c>
      <c r="P144" s="144">
        <v>15.75</v>
      </c>
      <c r="Q144" s="144">
        <v>15.75</v>
      </c>
      <c r="R144" s="144">
        <v>15.75</v>
      </c>
      <c r="S144" s="144">
        <v>15.75</v>
      </c>
      <c r="T144" s="144">
        <v>15.75</v>
      </c>
      <c r="U144" s="144">
        <v>15.75</v>
      </c>
      <c r="V144" s="144">
        <v>15.75</v>
      </c>
      <c r="W144" s="144">
        <v>15.75</v>
      </c>
      <c r="X144" s="144">
        <v>15.75</v>
      </c>
      <c r="Y144" s="144">
        <v>15.75</v>
      </c>
      <c r="Z144" s="144">
        <v>15.75</v>
      </c>
      <c r="AA144" s="58">
        <v>15.75</v>
      </c>
      <c r="AB144" s="68">
        <v>0.46</v>
      </c>
      <c r="AC144" s="144">
        <v>0.46</v>
      </c>
      <c r="AD144" s="144">
        <v>0.46</v>
      </c>
      <c r="AE144" s="144">
        <v>0.46</v>
      </c>
      <c r="AF144" s="144">
        <v>0.46</v>
      </c>
      <c r="AG144" s="144">
        <v>0.46</v>
      </c>
      <c r="AH144" s="144">
        <v>0.46</v>
      </c>
      <c r="AI144" s="144">
        <v>0.46</v>
      </c>
      <c r="AJ144" s="144">
        <v>0.46</v>
      </c>
      <c r="AK144" s="144">
        <v>0.46</v>
      </c>
      <c r="AL144" s="144">
        <v>0.46</v>
      </c>
      <c r="AM144" s="144">
        <v>0.46</v>
      </c>
      <c r="AN144" s="153">
        <v>0.46</v>
      </c>
      <c r="AO144" s="105">
        <v>0</v>
      </c>
      <c r="AP144" s="118">
        <f t="shared" si="48"/>
        <v>0</v>
      </c>
      <c r="AQ144" s="105">
        <v>0</v>
      </c>
      <c r="AR144" s="118">
        <f t="shared" si="2"/>
        <v>0</v>
      </c>
      <c r="AS144" s="105">
        <v>0</v>
      </c>
      <c r="AT144" s="127">
        <f t="shared" si="3"/>
        <v>0</v>
      </c>
      <c r="AU144" s="5">
        <v>0</v>
      </c>
      <c r="AV144" s="118">
        <f t="shared" si="4"/>
        <v>0</v>
      </c>
      <c r="AW144" s="105">
        <v>0</v>
      </c>
      <c r="AX144" s="118">
        <f t="shared" si="5"/>
        <v>0</v>
      </c>
      <c r="AY144" s="105">
        <v>0</v>
      </c>
      <c r="AZ144" s="127">
        <f t="shared" si="51"/>
        <v>0</v>
      </c>
      <c r="BA144" s="105">
        <v>0</v>
      </c>
      <c r="BB144" s="118">
        <f t="shared" si="7"/>
        <v>0</v>
      </c>
      <c r="BC144" s="105">
        <v>0</v>
      </c>
      <c r="BD144" s="118">
        <f t="shared" si="8"/>
        <v>0</v>
      </c>
      <c r="BE144" s="5">
        <v>0</v>
      </c>
      <c r="BF144" s="127">
        <f t="shared" si="54"/>
        <v>0</v>
      </c>
      <c r="BG144" s="105">
        <v>0</v>
      </c>
      <c r="BH144" s="118">
        <f t="shared" si="50"/>
        <v>0</v>
      </c>
      <c r="BI144" s="5">
        <v>0</v>
      </c>
      <c r="BJ144" s="118">
        <f t="shared" si="11"/>
        <v>0</v>
      </c>
      <c r="BK144" s="5">
        <v>0</v>
      </c>
      <c r="BL144" s="127">
        <f t="shared" si="55"/>
        <v>0</v>
      </c>
      <c r="BM144" s="220" t="s">
        <v>616</v>
      </c>
      <c r="BO144" s="1" t="s">
        <v>578</v>
      </c>
      <c r="BP144" s="233" t="s">
        <v>639</v>
      </c>
      <c r="BQ144" s="233"/>
      <c r="BR144" s="234"/>
    </row>
    <row r="145" spans="1:70">
      <c r="A145" s="219" t="s">
        <v>451</v>
      </c>
      <c r="B145" s="106" t="s">
        <v>244</v>
      </c>
      <c r="C145" s="66" t="s">
        <v>175</v>
      </c>
      <c r="D145" s="284"/>
      <c r="E145" s="77" t="s">
        <v>253</v>
      </c>
      <c r="F145" s="282"/>
      <c r="G145" s="71" t="s">
        <v>202</v>
      </c>
      <c r="H145" s="70" t="s">
        <v>615</v>
      </c>
      <c r="I145" s="70" t="s">
        <v>184</v>
      </c>
      <c r="J145" s="71" t="s">
        <v>567</v>
      </c>
      <c r="K145" s="70" t="s">
        <v>250</v>
      </c>
      <c r="L145" s="69" t="s">
        <v>257</v>
      </c>
      <c r="M145" s="180" t="s">
        <v>608</v>
      </c>
      <c r="N145" s="68">
        <v>15.75</v>
      </c>
      <c r="O145" s="58">
        <v>15.75</v>
      </c>
      <c r="P145" s="144">
        <v>15.75</v>
      </c>
      <c r="Q145" s="144">
        <v>15.75</v>
      </c>
      <c r="R145" s="144">
        <v>15.75</v>
      </c>
      <c r="S145" s="144">
        <v>15.75</v>
      </c>
      <c r="T145" s="144">
        <v>15.75</v>
      </c>
      <c r="U145" s="144">
        <v>15.75</v>
      </c>
      <c r="V145" s="144">
        <v>15.75</v>
      </c>
      <c r="W145" s="144">
        <v>15.75</v>
      </c>
      <c r="X145" s="144">
        <v>15.75</v>
      </c>
      <c r="Y145" s="144">
        <v>15.75</v>
      </c>
      <c r="Z145" s="144">
        <v>15.75</v>
      </c>
      <c r="AA145" s="58">
        <v>15.75</v>
      </c>
      <c r="AB145" s="68">
        <v>0.46</v>
      </c>
      <c r="AC145" s="144">
        <v>0.46</v>
      </c>
      <c r="AD145" s="144">
        <v>0.46</v>
      </c>
      <c r="AE145" s="144">
        <v>0.46</v>
      </c>
      <c r="AF145" s="144">
        <v>0.46</v>
      </c>
      <c r="AG145" s="144">
        <v>0.46</v>
      </c>
      <c r="AH145" s="144">
        <v>0.46</v>
      </c>
      <c r="AI145" s="144">
        <v>0.46</v>
      </c>
      <c r="AJ145" s="144">
        <v>0.46</v>
      </c>
      <c r="AK145" s="144">
        <v>0.46</v>
      </c>
      <c r="AL145" s="144">
        <v>0.46</v>
      </c>
      <c r="AM145" s="144">
        <v>0.46</v>
      </c>
      <c r="AN145" s="153">
        <v>0.46</v>
      </c>
      <c r="AO145" s="105">
        <v>0</v>
      </c>
      <c r="AP145" s="118">
        <f t="shared" si="48"/>
        <v>0</v>
      </c>
      <c r="AQ145" s="105">
        <v>0</v>
      </c>
      <c r="AR145" s="118">
        <f t="shared" si="2"/>
        <v>0</v>
      </c>
      <c r="AS145" s="105">
        <v>0</v>
      </c>
      <c r="AT145" s="127">
        <f t="shared" si="3"/>
        <v>0</v>
      </c>
      <c r="AU145" s="5">
        <v>0</v>
      </c>
      <c r="AV145" s="118">
        <f t="shared" si="4"/>
        <v>0</v>
      </c>
      <c r="AW145" s="105">
        <v>0</v>
      </c>
      <c r="AX145" s="118">
        <f t="shared" si="5"/>
        <v>0</v>
      </c>
      <c r="AY145" s="105">
        <v>0</v>
      </c>
      <c r="AZ145" s="127">
        <f t="shared" si="51"/>
        <v>0</v>
      </c>
      <c r="BA145" s="105">
        <v>0</v>
      </c>
      <c r="BB145" s="118">
        <f t="shared" si="7"/>
        <v>0</v>
      </c>
      <c r="BC145" s="105">
        <v>0</v>
      </c>
      <c r="BD145" s="118">
        <f t="shared" si="8"/>
        <v>0</v>
      </c>
      <c r="BE145" s="5">
        <v>0</v>
      </c>
      <c r="BF145" s="127">
        <f t="shared" si="54"/>
        <v>0</v>
      </c>
      <c r="BG145" s="105">
        <v>0</v>
      </c>
      <c r="BH145" s="118">
        <f t="shared" si="50"/>
        <v>0</v>
      </c>
      <c r="BI145" s="5">
        <v>0</v>
      </c>
      <c r="BJ145" s="118">
        <f t="shared" si="11"/>
        <v>0</v>
      </c>
      <c r="BK145" s="5">
        <v>0</v>
      </c>
      <c r="BL145" s="127">
        <f t="shared" si="55"/>
        <v>0</v>
      </c>
      <c r="BM145" s="220" t="s">
        <v>616</v>
      </c>
      <c r="BO145" s="1" t="s">
        <v>578</v>
      </c>
      <c r="BP145" s="233" t="s">
        <v>640</v>
      </c>
      <c r="BQ145" s="233"/>
      <c r="BR145" s="234"/>
    </row>
    <row r="146" spans="1:70">
      <c r="A146" s="219" t="s">
        <v>451</v>
      </c>
      <c r="B146" s="106" t="s">
        <v>244</v>
      </c>
      <c r="C146" s="66" t="s">
        <v>175</v>
      </c>
      <c r="D146" s="284"/>
      <c r="E146" s="77" t="s">
        <v>253</v>
      </c>
      <c r="F146" s="282"/>
      <c r="G146" s="71" t="s">
        <v>202</v>
      </c>
      <c r="H146" s="70" t="s">
        <v>615</v>
      </c>
      <c r="I146" s="70" t="s">
        <v>184</v>
      </c>
      <c r="J146" s="71" t="s">
        <v>567</v>
      </c>
      <c r="K146" s="70" t="s">
        <v>250</v>
      </c>
      <c r="L146" s="69" t="s">
        <v>257</v>
      </c>
      <c r="M146" s="180" t="s">
        <v>608</v>
      </c>
      <c r="N146" s="68">
        <v>15.75</v>
      </c>
      <c r="O146" s="58">
        <v>15.75</v>
      </c>
      <c r="P146" s="144">
        <v>15.75</v>
      </c>
      <c r="Q146" s="144">
        <v>15.75</v>
      </c>
      <c r="R146" s="144">
        <v>15.75</v>
      </c>
      <c r="S146" s="144">
        <v>15.75</v>
      </c>
      <c r="T146" s="144">
        <v>15.75</v>
      </c>
      <c r="U146" s="144">
        <v>15.75</v>
      </c>
      <c r="V146" s="144">
        <v>15.75</v>
      </c>
      <c r="W146" s="144">
        <v>15.75</v>
      </c>
      <c r="X146" s="144">
        <v>15.75</v>
      </c>
      <c r="Y146" s="144">
        <v>15.75</v>
      </c>
      <c r="Z146" s="144">
        <v>15.75</v>
      </c>
      <c r="AA146" s="58">
        <v>15.75</v>
      </c>
      <c r="AB146" s="68">
        <v>0.46</v>
      </c>
      <c r="AC146" s="144">
        <v>0.46</v>
      </c>
      <c r="AD146" s="144">
        <v>0.46</v>
      </c>
      <c r="AE146" s="144">
        <v>0.46</v>
      </c>
      <c r="AF146" s="144">
        <v>0.46</v>
      </c>
      <c r="AG146" s="144">
        <v>0.46</v>
      </c>
      <c r="AH146" s="144">
        <v>0.46</v>
      </c>
      <c r="AI146" s="144">
        <v>0.46</v>
      </c>
      <c r="AJ146" s="144">
        <v>0.46</v>
      </c>
      <c r="AK146" s="144">
        <v>0.46</v>
      </c>
      <c r="AL146" s="144">
        <v>0.46</v>
      </c>
      <c r="AM146" s="144">
        <v>0.46</v>
      </c>
      <c r="AN146" s="153">
        <v>0.46</v>
      </c>
      <c r="AO146" s="105">
        <v>0</v>
      </c>
      <c r="AP146" s="118">
        <f t="shared" si="48"/>
        <v>0</v>
      </c>
      <c r="AQ146" s="105">
        <v>0</v>
      </c>
      <c r="AR146" s="118">
        <f t="shared" si="2"/>
        <v>0</v>
      </c>
      <c r="AS146" s="105">
        <v>0</v>
      </c>
      <c r="AT146" s="127">
        <f t="shared" si="3"/>
        <v>0</v>
      </c>
      <c r="AU146" s="5">
        <v>0</v>
      </c>
      <c r="AV146" s="118">
        <f t="shared" si="4"/>
        <v>0</v>
      </c>
      <c r="AW146" s="105">
        <v>0</v>
      </c>
      <c r="AX146" s="118">
        <f t="shared" si="5"/>
        <v>0</v>
      </c>
      <c r="AY146" s="105">
        <v>0</v>
      </c>
      <c r="AZ146" s="127">
        <f t="shared" si="51"/>
        <v>0</v>
      </c>
      <c r="BA146" s="105">
        <v>0</v>
      </c>
      <c r="BB146" s="118">
        <f t="shared" si="7"/>
        <v>0</v>
      </c>
      <c r="BC146" s="105">
        <v>0</v>
      </c>
      <c r="BD146" s="118">
        <f t="shared" si="8"/>
        <v>0</v>
      </c>
      <c r="BE146" s="5">
        <v>0</v>
      </c>
      <c r="BF146" s="127">
        <f t="shared" si="54"/>
        <v>0</v>
      </c>
      <c r="BG146" s="105">
        <v>0</v>
      </c>
      <c r="BH146" s="118">
        <f t="shared" si="50"/>
        <v>0</v>
      </c>
      <c r="BI146" s="5">
        <v>0</v>
      </c>
      <c r="BJ146" s="118">
        <f t="shared" si="11"/>
        <v>0</v>
      </c>
      <c r="BK146" s="5">
        <v>0</v>
      </c>
      <c r="BL146" s="127">
        <f t="shared" si="55"/>
        <v>0</v>
      </c>
      <c r="BM146" s="220" t="s">
        <v>616</v>
      </c>
      <c r="BO146" s="1" t="s">
        <v>578</v>
      </c>
      <c r="BP146" s="233" t="s">
        <v>641</v>
      </c>
      <c r="BQ146" s="233"/>
      <c r="BR146" s="234"/>
    </row>
    <row r="147" spans="1:70">
      <c r="A147" s="219" t="s">
        <v>451</v>
      </c>
      <c r="B147" s="106" t="s">
        <v>244</v>
      </c>
      <c r="C147" s="66" t="s">
        <v>175</v>
      </c>
      <c r="D147" s="284"/>
      <c r="E147" s="77" t="s">
        <v>253</v>
      </c>
      <c r="F147" s="282"/>
      <c r="G147" s="71" t="s">
        <v>202</v>
      </c>
      <c r="H147" s="70" t="s">
        <v>615</v>
      </c>
      <c r="I147" s="70" t="s">
        <v>184</v>
      </c>
      <c r="J147" s="71" t="s">
        <v>567</v>
      </c>
      <c r="K147" s="70" t="s">
        <v>250</v>
      </c>
      <c r="L147" s="69" t="s">
        <v>257</v>
      </c>
      <c r="M147" s="180" t="s">
        <v>608</v>
      </c>
      <c r="N147" s="68">
        <v>15.75</v>
      </c>
      <c r="O147" s="58">
        <v>15.75</v>
      </c>
      <c r="P147" s="144">
        <v>15.75</v>
      </c>
      <c r="Q147" s="144">
        <v>15.75</v>
      </c>
      <c r="R147" s="144">
        <v>15.75</v>
      </c>
      <c r="S147" s="144">
        <v>15.75</v>
      </c>
      <c r="T147" s="144">
        <v>15.75</v>
      </c>
      <c r="U147" s="144">
        <v>15.75</v>
      </c>
      <c r="V147" s="144">
        <v>15.75</v>
      </c>
      <c r="W147" s="144">
        <v>15.75</v>
      </c>
      <c r="X147" s="144">
        <v>15.75</v>
      </c>
      <c r="Y147" s="144">
        <v>15.75</v>
      </c>
      <c r="Z147" s="144">
        <v>15.75</v>
      </c>
      <c r="AA147" s="58">
        <v>15.75</v>
      </c>
      <c r="AB147" s="68">
        <v>0.46</v>
      </c>
      <c r="AC147" s="144">
        <v>0.46</v>
      </c>
      <c r="AD147" s="144">
        <v>0.46</v>
      </c>
      <c r="AE147" s="144">
        <v>0.46</v>
      </c>
      <c r="AF147" s="144">
        <v>0.46</v>
      </c>
      <c r="AG147" s="144">
        <v>0.46</v>
      </c>
      <c r="AH147" s="144">
        <v>0.46</v>
      </c>
      <c r="AI147" s="144">
        <v>0.46</v>
      </c>
      <c r="AJ147" s="144">
        <v>0.46</v>
      </c>
      <c r="AK147" s="144">
        <v>0.46</v>
      </c>
      <c r="AL147" s="144">
        <v>0.46</v>
      </c>
      <c r="AM147" s="144">
        <v>0.46</v>
      </c>
      <c r="AN147" s="153">
        <v>0.46</v>
      </c>
      <c r="AO147" s="105">
        <v>0</v>
      </c>
      <c r="AP147" s="118">
        <f t="shared" si="48"/>
        <v>0</v>
      </c>
      <c r="AQ147" s="105">
        <v>0</v>
      </c>
      <c r="AR147" s="118">
        <f t="shared" si="2"/>
        <v>0</v>
      </c>
      <c r="AS147" s="105">
        <v>0</v>
      </c>
      <c r="AT147" s="127">
        <f t="shared" si="3"/>
        <v>0</v>
      </c>
      <c r="AU147" s="5">
        <v>0</v>
      </c>
      <c r="AV147" s="118">
        <f t="shared" si="4"/>
        <v>0</v>
      </c>
      <c r="AW147" s="105">
        <v>0</v>
      </c>
      <c r="AX147" s="118">
        <f t="shared" si="5"/>
        <v>0</v>
      </c>
      <c r="AY147" s="105">
        <v>0</v>
      </c>
      <c r="AZ147" s="127">
        <f t="shared" si="51"/>
        <v>0</v>
      </c>
      <c r="BA147" s="105">
        <v>0</v>
      </c>
      <c r="BB147" s="118">
        <f t="shared" si="7"/>
        <v>0</v>
      </c>
      <c r="BC147" s="105">
        <v>0</v>
      </c>
      <c r="BD147" s="118">
        <f t="shared" si="8"/>
        <v>0</v>
      </c>
      <c r="BE147" s="5">
        <v>0</v>
      </c>
      <c r="BF147" s="127">
        <f t="shared" si="54"/>
        <v>0</v>
      </c>
      <c r="BG147" s="105">
        <v>0</v>
      </c>
      <c r="BH147" s="118">
        <f t="shared" si="50"/>
        <v>0</v>
      </c>
      <c r="BI147" s="5">
        <v>0</v>
      </c>
      <c r="BJ147" s="118">
        <f t="shared" si="11"/>
        <v>0</v>
      </c>
      <c r="BK147" s="5">
        <v>0</v>
      </c>
      <c r="BL147" s="127">
        <f t="shared" si="55"/>
        <v>0</v>
      </c>
      <c r="BM147" s="220" t="s">
        <v>616</v>
      </c>
      <c r="BO147" s="1" t="s">
        <v>578</v>
      </c>
      <c r="BP147" s="233" t="s">
        <v>642</v>
      </c>
      <c r="BQ147" s="233"/>
      <c r="BR147" s="234"/>
    </row>
    <row r="148" spans="1:70">
      <c r="A148" s="219" t="s">
        <v>451</v>
      </c>
      <c r="B148" s="106" t="s">
        <v>244</v>
      </c>
      <c r="C148" s="66" t="s">
        <v>175</v>
      </c>
      <c r="D148" s="284"/>
      <c r="E148" s="77" t="s">
        <v>253</v>
      </c>
      <c r="F148" s="282"/>
      <c r="G148" s="71" t="s">
        <v>202</v>
      </c>
      <c r="H148" s="70" t="s">
        <v>615</v>
      </c>
      <c r="I148" s="70" t="s">
        <v>184</v>
      </c>
      <c r="J148" s="71" t="s">
        <v>567</v>
      </c>
      <c r="K148" s="70" t="s">
        <v>250</v>
      </c>
      <c r="L148" s="69" t="s">
        <v>257</v>
      </c>
      <c r="M148" s="180" t="s">
        <v>608</v>
      </c>
      <c r="N148" s="68">
        <v>15.75</v>
      </c>
      <c r="O148" s="58">
        <v>15.75</v>
      </c>
      <c r="P148" s="144">
        <v>15.75</v>
      </c>
      <c r="Q148" s="144">
        <v>15.75</v>
      </c>
      <c r="R148" s="144">
        <v>15.75</v>
      </c>
      <c r="S148" s="144">
        <v>15.75</v>
      </c>
      <c r="T148" s="144">
        <v>15.75</v>
      </c>
      <c r="U148" s="144">
        <v>15.75</v>
      </c>
      <c r="V148" s="144">
        <v>15.75</v>
      </c>
      <c r="W148" s="144">
        <v>15.75</v>
      </c>
      <c r="X148" s="144">
        <v>15.75</v>
      </c>
      <c r="Y148" s="144">
        <v>15.75</v>
      </c>
      <c r="Z148" s="144">
        <v>15.75</v>
      </c>
      <c r="AA148" s="58">
        <v>15.75</v>
      </c>
      <c r="AB148" s="68">
        <v>0.46</v>
      </c>
      <c r="AC148" s="144">
        <v>0.46</v>
      </c>
      <c r="AD148" s="144">
        <v>0.46</v>
      </c>
      <c r="AE148" s="144">
        <v>0.46</v>
      </c>
      <c r="AF148" s="144">
        <v>0.46</v>
      </c>
      <c r="AG148" s="144">
        <v>0.46</v>
      </c>
      <c r="AH148" s="144">
        <v>0.46</v>
      </c>
      <c r="AI148" s="144">
        <v>0.46</v>
      </c>
      <c r="AJ148" s="144">
        <v>0.46</v>
      </c>
      <c r="AK148" s="144">
        <v>0.46</v>
      </c>
      <c r="AL148" s="144">
        <v>0.46</v>
      </c>
      <c r="AM148" s="144">
        <v>0.46</v>
      </c>
      <c r="AN148" s="153">
        <v>0.46</v>
      </c>
      <c r="AO148" s="105">
        <v>0</v>
      </c>
      <c r="AP148" s="118">
        <f t="shared" si="48"/>
        <v>0</v>
      </c>
      <c r="AQ148" s="105">
        <v>0</v>
      </c>
      <c r="AR148" s="118">
        <f t="shared" si="2"/>
        <v>0</v>
      </c>
      <c r="AS148" s="105">
        <v>0</v>
      </c>
      <c r="AT148" s="127">
        <f t="shared" si="3"/>
        <v>0</v>
      </c>
      <c r="AU148" s="5">
        <v>0</v>
      </c>
      <c r="AV148" s="118">
        <f t="shared" si="4"/>
        <v>0</v>
      </c>
      <c r="AW148" s="105">
        <v>0</v>
      </c>
      <c r="AX148" s="118">
        <f t="shared" si="5"/>
        <v>0</v>
      </c>
      <c r="AY148" s="105">
        <v>0</v>
      </c>
      <c r="AZ148" s="127">
        <f t="shared" si="51"/>
        <v>0</v>
      </c>
      <c r="BA148" s="105">
        <v>0</v>
      </c>
      <c r="BB148" s="118">
        <f t="shared" si="7"/>
        <v>0</v>
      </c>
      <c r="BC148" s="105">
        <v>0</v>
      </c>
      <c r="BD148" s="118">
        <f t="shared" si="8"/>
        <v>0</v>
      </c>
      <c r="BE148" s="5">
        <v>0</v>
      </c>
      <c r="BF148" s="127">
        <f t="shared" si="54"/>
        <v>0</v>
      </c>
      <c r="BG148" s="105">
        <v>0</v>
      </c>
      <c r="BH148" s="118">
        <f t="shared" si="50"/>
        <v>0</v>
      </c>
      <c r="BI148" s="5">
        <v>0</v>
      </c>
      <c r="BJ148" s="118">
        <f t="shared" si="11"/>
        <v>0</v>
      </c>
      <c r="BK148" s="5">
        <v>0</v>
      </c>
      <c r="BL148" s="127">
        <f t="shared" si="55"/>
        <v>0</v>
      </c>
      <c r="BM148" s="220" t="s">
        <v>616</v>
      </c>
      <c r="BO148" s="1" t="s">
        <v>578</v>
      </c>
      <c r="BP148" s="233" t="s">
        <v>643</v>
      </c>
      <c r="BQ148" s="233"/>
      <c r="BR148" s="234"/>
    </row>
    <row r="149" spans="1:70">
      <c r="A149" s="219" t="s">
        <v>451</v>
      </c>
      <c r="B149" s="106" t="s">
        <v>244</v>
      </c>
      <c r="C149" s="66" t="s">
        <v>175</v>
      </c>
      <c r="D149" s="284"/>
      <c r="E149" s="77" t="s">
        <v>253</v>
      </c>
      <c r="F149" s="282"/>
      <c r="G149" s="71" t="s">
        <v>202</v>
      </c>
      <c r="H149" s="70" t="s">
        <v>615</v>
      </c>
      <c r="I149" s="70" t="s">
        <v>184</v>
      </c>
      <c r="J149" s="71" t="s">
        <v>567</v>
      </c>
      <c r="K149" s="70" t="s">
        <v>250</v>
      </c>
      <c r="L149" s="69" t="s">
        <v>257</v>
      </c>
      <c r="M149" s="180" t="s">
        <v>608</v>
      </c>
      <c r="N149" s="68">
        <v>15.75</v>
      </c>
      <c r="O149" s="58">
        <v>15.75</v>
      </c>
      <c r="P149" s="144">
        <v>15.75</v>
      </c>
      <c r="Q149" s="144">
        <v>15.75</v>
      </c>
      <c r="R149" s="144">
        <v>15.75</v>
      </c>
      <c r="S149" s="144">
        <v>15.75</v>
      </c>
      <c r="T149" s="144">
        <v>15.75</v>
      </c>
      <c r="U149" s="144">
        <v>15.75</v>
      </c>
      <c r="V149" s="144">
        <v>15.75</v>
      </c>
      <c r="W149" s="144">
        <v>15.75</v>
      </c>
      <c r="X149" s="144">
        <v>15.75</v>
      </c>
      <c r="Y149" s="144">
        <v>15.75</v>
      </c>
      <c r="Z149" s="144">
        <v>15.75</v>
      </c>
      <c r="AA149" s="58">
        <v>15.75</v>
      </c>
      <c r="AB149" s="68">
        <v>0.46</v>
      </c>
      <c r="AC149" s="144">
        <v>0.46</v>
      </c>
      <c r="AD149" s="144">
        <v>0.46</v>
      </c>
      <c r="AE149" s="144">
        <v>0.46</v>
      </c>
      <c r="AF149" s="144">
        <v>0.46</v>
      </c>
      <c r="AG149" s="144">
        <v>0.46</v>
      </c>
      <c r="AH149" s="144">
        <v>0.46</v>
      </c>
      <c r="AI149" s="144">
        <v>0.46</v>
      </c>
      <c r="AJ149" s="144">
        <v>0.46</v>
      </c>
      <c r="AK149" s="144">
        <v>0.46</v>
      </c>
      <c r="AL149" s="144">
        <v>0.46</v>
      </c>
      <c r="AM149" s="144">
        <v>0.46</v>
      </c>
      <c r="AN149" s="153">
        <v>0.46</v>
      </c>
      <c r="AO149" s="105">
        <v>0</v>
      </c>
      <c r="AP149" s="118">
        <f t="shared" si="48"/>
        <v>0</v>
      </c>
      <c r="AQ149" s="105">
        <v>0</v>
      </c>
      <c r="AR149" s="118">
        <f t="shared" si="2"/>
        <v>0</v>
      </c>
      <c r="AS149" s="105">
        <v>0</v>
      </c>
      <c r="AT149" s="127">
        <f t="shared" si="3"/>
        <v>0</v>
      </c>
      <c r="AU149" s="5">
        <v>0</v>
      </c>
      <c r="AV149" s="118">
        <f t="shared" si="4"/>
        <v>0</v>
      </c>
      <c r="AW149" s="105">
        <v>200</v>
      </c>
      <c r="AX149" s="118">
        <f t="shared" si="5"/>
        <v>92</v>
      </c>
      <c r="AY149" s="105">
        <v>0</v>
      </c>
      <c r="AZ149" s="127">
        <f t="shared" si="51"/>
        <v>0</v>
      </c>
      <c r="BA149" s="105">
        <v>0</v>
      </c>
      <c r="BB149" s="118">
        <f t="shared" si="7"/>
        <v>0</v>
      </c>
      <c r="BC149" s="105">
        <v>0</v>
      </c>
      <c r="BD149" s="118">
        <f t="shared" si="8"/>
        <v>0</v>
      </c>
      <c r="BE149" s="5">
        <v>0</v>
      </c>
      <c r="BF149" s="127">
        <f t="shared" si="54"/>
        <v>0</v>
      </c>
      <c r="BG149" s="105">
        <v>200</v>
      </c>
      <c r="BH149" s="118">
        <f t="shared" si="50"/>
        <v>92</v>
      </c>
      <c r="BI149" s="5">
        <v>0</v>
      </c>
      <c r="BJ149" s="118">
        <f t="shared" si="11"/>
        <v>0</v>
      </c>
      <c r="BK149" s="5">
        <v>0</v>
      </c>
      <c r="BL149" s="127">
        <f t="shared" si="55"/>
        <v>0</v>
      </c>
      <c r="BM149" s="220" t="s">
        <v>616</v>
      </c>
      <c r="BO149" s="1" t="s">
        <v>578</v>
      </c>
      <c r="BP149" s="233" t="s">
        <v>644</v>
      </c>
      <c r="BQ149" s="233"/>
      <c r="BR149" s="234"/>
    </row>
    <row r="150" spans="1:70">
      <c r="A150" s="219" t="s">
        <v>451</v>
      </c>
      <c r="B150" s="106" t="s">
        <v>244</v>
      </c>
      <c r="C150" s="66" t="s">
        <v>175</v>
      </c>
      <c r="D150" s="284"/>
      <c r="E150" s="77" t="s">
        <v>253</v>
      </c>
      <c r="F150" s="282"/>
      <c r="G150" s="71" t="s">
        <v>202</v>
      </c>
      <c r="H150" s="70" t="s">
        <v>615</v>
      </c>
      <c r="I150" s="70" t="s">
        <v>184</v>
      </c>
      <c r="J150" s="71" t="s">
        <v>567</v>
      </c>
      <c r="K150" s="70" t="s">
        <v>250</v>
      </c>
      <c r="L150" s="69" t="s">
        <v>257</v>
      </c>
      <c r="M150" s="180" t="s">
        <v>608</v>
      </c>
      <c r="N150" s="68">
        <v>15.75</v>
      </c>
      <c r="O150" s="58">
        <v>15.75</v>
      </c>
      <c r="P150" s="144">
        <v>15.75</v>
      </c>
      <c r="Q150" s="144">
        <v>15.75</v>
      </c>
      <c r="R150" s="144">
        <v>15.75</v>
      </c>
      <c r="S150" s="144">
        <v>15.75</v>
      </c>
      <c r="T150" s="144">
        <v>15.75</v>
      </c>
      <c r="U150" s="144">
        <v>15.75</v>
      </c>
      <c r="V150" s="144">
        <v>15.75</v>
      </c>
      <c r="W150" s="144">
        <v>15.75</v>
      </c>
      <c r="X150" s="144">
        <v>15.75</v>
      </c>
      <c r="Y150" s="144">
        <v>15.75</v>
      </c>
      <c r="Z150" s="144">
        <v>15.75</v>
      </c>
      <c r="AA150" s="58">
        <v>15.75</v>
      </c>
      <c r="AB150" s="68">
        <v>0.46</v>
      </c>
      <c r="AC150" s="144">
        <v>0.46</v>
      </c>
      <c r="AD150" s="144">
        <v>0.46</v>
      </c>
      <c r="AE150" s="144">
        <v>0.46</v>
      </c>
      <c r="AF150" s="144">
        <v>0.46</v>
      </c>
      <c r="AG150" s="144">
        <v>0.46</v>
      </c>
      <c r="AH150" s="144">
        <v>0.46</v>
      </c>
      <c r="AI150" s="144">
        <v>0.46</v>
      </c>
      <c r="AJ150" s="144">
        <v>0.46</v>
      </c>
      <c r="AK150" s="144">
        <v>0.46</v>
      </c>
      <c r="AL150" s="144">
        <v>0.46</v>
      </c>
      <c r="AM150" s="144">
        <v>0.46</v>
      </c>
      <c r="AN150" s="153">
        <v>0.46</v>
      </c>
      <c r="AO150" s="105">
        <v>0</v>
      </c>
      <c r="AP150" s="118">
        <f t="shared" si="48"/>
        <v>0</v>
      </c>
      <c r="AQ150" s="105">
        <v>0</v>
      </c>
      <c r="AR150" s="118">
        <f t="shared" si="2"/>
        <v>0</v>
      </c>
      <c r="AS150" s="105">
        <v>0</v>
      </c>
      <c r="AT150" s="127">
        <f t="shared" si="3"/>
        <v>0</v>
      </c>
      <c r="AU150" s="5">
        <v>0</v>
      </c>
      <c r="AV150" s="118">
        <f t="shared" si="4"/>
        <v>0</v>
      </c>
      <c r="AW150" s="105">
        <v>0</v>
      </c>
      <c r="AX150" s="118">
        <f t="shared" si="5"/>
        <v>0</v>
      </c>
      <c r="AY150" s="105">
        <v>0</v>
      </c>
      <c r="AZ150" s="127">
        <f t="shared" si="51"/>
        <v>0</v>
      </c>
      <c r="BA150" s="105">
        <v>0</v>
      </c>
      <c r="BB150" s="118">
        <f t="shared" si="7"/>
        <v>0</v>
      </c>
      <c r="BC150" s="105">
        <v>0</v>
      </c>
      <c r="BD150" s="118">
        <f t="shared" si="8"/>
        <v>0</v>
      </c>
      <c r="BE150" s="5">
        <v>0</v>
      </c>
      <c r="BF150" s="127">
        <f t="shared" si="54"/>
        <v>0</v>
      </c>
      <c r="BG150" s="105">
        <v>0</v>
      </c>
      <c r="BH150" s="118">
        <f t="shared" si="50"/>
        <v>0</v>
      </c>
      <c r="BI150" s="5">
        <v>0</v>
      </c>
      <c r="BJ150" s="118">
        <f t="shared" si="11"/>
        <v>0</v>
      </c>
      <c r="BK150" s="5">
        <v>0</v>
      </c>
      <c r="BL150" s="127">
        <f t="shared" si="55"/>
        <v>0</v>
      </c>
      <c r="BM150" s="220" t="s">
        <v>616</v>
      </c>
      <c r="BO150" s="1" t="s">
        <v>578</v>
      </c>
      <c r="BP150" s="233" t="s">
        <v>645</v>
      </c>
      <c r="BQ150" s="233"/>
      <c r="BR150" s="234"/>
    </row>
    <row r="151" spans="1:70">
      <c r="A151" s="219" t="s">
        <v>451</v>
      </c>
      <c r="B151" s="106" t="s">
        <v>244</v>
      </c>
      <c r="C151" s="66" t="s">
        <v>175</v>
      </c>
      <c r="D151" s="284"/>
      <c r="E151" s="77" t="s">
        <v>253</v>
      </c>
      <c r="F151" s="282"/>
      <c r="G151" s="71" t="s">
        <v>202</v>
      </c>
      <c r="H151" s="70" t="s">
        <v>615</v>
      </c>
      <c r="I151" s="70" t="s">
        <v>184</v>
      </c>
      <c r="J151" s="71" t="s">
        <v>567</v>
      </c>
      <c r="K151" s="70" t="s">
        <v>250</v>
      </c>
      <c r="L151" s="69" t="s">
        <v>257</v>
      </c>
      <c r="M151" s="180" t="s">
        <v>608</v>
      </c>
      <c r="N151" s="68">
        <v>15.75</v>
      </c>
      <c r="O151" s="58">
        <v>15.75</v>
      </c>
      <c r="P151" s="144">
        <v>15.75</v>
      </c>
      <c r="Q151" s="144">
        <v>15.75</v>
      </c>
      <c r="R151" s="144">
        <v>15.75</v>
      </c>
      <c r="S151" s="144">
        <v>15.75</v>
      </c>
      <c r="T151" s="144">
        <v>15.75</v>
      </c>
      <c r="U151" s="144">
        <v>15.75</v>
      </c>
      <c r="V151" s="144">
        <v>15.75</v>
      </c>
      <c r="W151" s="144">
        <v>15.75</v>
      </c>
      <c r="X151" s="144">
        <v>15.75</v>
      </c>
      <c r="Y151" s="144">
        <v>15.75</v>
      </c>
      <c r="Z151" s="144">
        <v>15.75</v>
      </c>
      <c r="AA151" s="58">
        <v>15.75</v>
      </c>
      <c r="AB151" s="68">
        <v>0.46</v>
      </c>
      <c r="AC151" s="144">
        <v>0.46</v>
      </c>
      <c r="AD151" s="144">
        <v>0.46</v>
      </c>
      <c r="AE151" s="144">
        <v>0.46</v>
      </c>
      <c r="AF151" s="144">
        <v>0.46</v>
      </c>
      <c r="AG151" s="144">
        <v>0.46</v>
      </c>
      <c r="AH151" s="144">
        <v>0.46</v>
      </c>
      <c r="AI151" s="144">
        <v>0.46</v>
      </c>
      <c r="AJ151" s="144">
        <v>0.46</v>
      </c>
      <c r="AK151" s="144">
        <v>0.46</v>
      </c>
      <c r="AL151" s="144">
        <v>0.46</v>
      </c>
      <c r="AM151" s="144">
        <v>0.46</v>
      </c>
      <c r="AN151" s="153">
        <v>0.46</v>
      </c>
      <c r="AO151" s="105">
        <v>200</v>
      </c>
      <c r="AP151" s="118">
        <f t="shared" si="48"/>
        <v>92</v>
      </c>
      <c r="AQ151" s="105">
        <v>0</v>
      </c>
      <c r="AR151" s="118">
        <f t="shared" si="2"/>
        <v>0</v>
      </c>
      <c r="AS151" s="105">
        <v>0</v>
      </c>
      <c r="AT151" s="127">
        <f t="shared" si="3"/>
        <v>0</v>
      </c>
      <c r="AU151" s="5">
        <v>0</v>
      </c>
      <c r="AV151" s="118">
        <f t="shared" si="4"/>
        <v>0</v>
      </c>
      <c r="AW151" s="105">
        <v>0</v>
      </c>
      <c r="AX151" s="118">
        <f t="shared" si="5"/>
        <v>0</v>
      </c>
      <c r="AY151" s="105">
        <v>0</v>
      </c>
      <c r="AZ151" s="127">
        <f t="shared" si="51"/>
        <v>0</v>
      </c>
      <c r="BA151" s="105">
        <v>200</v>
      </c>
      <c r="BB151" s="118">
        <f t="shared" si="7"/>
        <v>92</v>
      </c>
      <c r="BC151" s="105">
        <v>0</v>
      </c>
      <c r="BD151" s="118">
        <f t="shared" si="8"/>
        <v>0</v>
      </c>
      <c r="BE151" s="5">
        <v>0</v>
      </c>
      <c r="BF151" s="127">
        <f t="shared" si="54"/>
        <v>0</v>
      </c>
      <c r="BG151" s="105">
        <v>0</v>
      </c>
      <c r="BH151" s="118">
        <f t="shared" si="50"/>
        <v>0</v>
      </c>
      <c r="BI151" s="5">
        <v>0</v>
      </c>
      <c r="BJ151" s="118">
        <f t="shared" si="11"/>
        <v>0</v>
      </c>
      <c r="BK151" s="5">
        <v>0</v>
      </c>
      <c r="BL151" s="127">
        <f t="shared" si="55"/>
        <v>0</v>
      </c>
      <c r="BM151" s="220" t="s">
        <v>616</v>
      </c>
      <c r="BO151" s="1" t="s">
        <v>578</v>
      </c>
      <c r="BP151" s="233" t="s">
        <v>646</v>
      </c>
      <c r="BQ151" s="233"/>
      <c r="BR151" s="234"/>
    </row>
    <row r="152" spans="1:70">
      <c r="A152" s="219" t="s">
        <v>451</v>
      </c>
      <c r="B152" s="106" t="s">
        <v>244</v>
      </c>
      <c r="C152" s="66" t="s">
        <v>175</v>
      </c>
      <c r="D152" s="284"/>
      <c r="E152" s="77" t="s">
        <v>253</v>
      </c>
      <c r="F152" s="282"/>
      <c r="G152" s="71" t="s">
        <v>202</v>
      </c>
      <c r="H152" s="70" t="s">
        <v>615</v>
      </c>
      <c r="I152" s="70" t="s">
        <v>184</v>
      </c>
      <c r="J152" s="71" t="s">
        <v>567</v>
      </c>
      <c r="K152" s="70" t="s">
        <v>250</v>
      </c>
      <c r="L152" s="69" t="s">
        <v>257</v>
      </c>
      <c r="M152" s="180" t="s">
        <v>608</v>
      </c>
      <c r="N152" s="68">
        <v>15.75</v>
      </c>
      <c r="O152" s="58">
        <v>15.75</v>
      </c>
      <c r="P152" s="144">
        <v>15.75</v>
      </c>
      <c r="Q152" s="144">
        <v>15.75</v>
      </c>
      <c r="R152" s="144">
        <v>15.75</v>
      </c>
      <c r="S152" s="144">
        <v>15.75</v>
      </c>
      <c r="T152" s="144">
        <v>15.75</v>
      </c>
      <c r="U152" s="144">
        <v>15.75</v>
      </c>
      <c r="V152" s="144">
        <v>15.75</v>
      </c>
      <c r="W152" s="144">
        <v>15.75</v>
      </c>
      <c r="X152" s="144">
        <v>15.75</v>
      </c>
      <c r="Y152" s="144">
        <v>15.75</v>
      </c>
      <c r="Z152" s="144">
        <v>15.75</v>
      </c>
      <c r="AA152" s="58">
        <v>15.75</v>
      </c>
      <c r="AB152" s="68">
        <v>0.46</v>
      </c>
      <c r="AC152" s="144">
        <v>0.46</v>
      </c>
      <c r="AD152" s="144">
        <v>0.46</v>
      </c>
      <c r="AE152" s="144">
        <v>0.46</v>
      </c>
      <c r="AF152" s="144">
        <v>0.46</v>
      </c>
      <c r="AG152" s="144">
        <v>0.46</v>
      </c>
      <c r="AH152" s="144">
        <v>0.46</v>
      </c>
      <c r="AI152" s="144">
        <v>0.46</v>
      </c>
      <c r="AJ152" s="144">
        <v>0.46</v>
      </c>
      <c r="AK152" s="144">
        <v>0.46</v>
      </c>
      <c r="AL152" s="144">
        <v>0.46</v>
      </c>
      <c r="AM152" s="144">
        <v>0.46</v>
      </c>
      <c r="AN152" s="153">
        <v>0.46</v>
      </c>
      <c r="AO152" s="105">
        <v>0</v>
      </c>
      <c r="AP152" s="118">
        <f t="shared" si="48"/>
        <v>0</v>
      </c>
      <c r="AQ152" s="105">
        <v>0</v>
      </c>
      <c r="AR152" s="118">
        <f t="shared" si="2"/>
        <v>0</v>
      </c>
      <c r="AS152" s="105">
        <v>0</v>
      </c>
      <c r="AT152" s="127">
        <f t="shared" si="3"/>
        <v>0</v>
      </c>
      <c r="AU152" s="5">
        <v>0</v>
      </c>
      <c r="AV152" s="118">
        <f t="shared" si="4"/>
        <v>0</v>
      </c>
      <c r="AW152" s="105">
        <v>0</v>
      </c>
      <c r="AX152" s="118">
        <f t="shared" si="5"/>
        <v>0</v>
      </c>
      <c r="AY152" s="105">
        <v>0</v>
      </c>
      <c r="AZ152" s="127">
        <f t="shared" si="51"/>
        <v>0</v>
      </c>
      <c r="BA152" s="105">
        <v>0</v>
      </c>
      <c r="BB152" s="118">
        <f t="shared" si="7"/>
        <v>0</v>
      </c>
      <c r="BC152" s="105">
        <v>0</v>
      </c>
      <c r="BD152" s="118">
        <f t="shared" si="8"/>
        <v>0</v>
      </c>
      <c r="BE152" s="5">
        <v>0</v>
      </c>
      <c r="BF152" s="127">
        <f t="shared" si="54"/>
        <v>0</v>
      </c>
      <c r="BG152" s="105">
        <v>0</v>
      </c>
      <c r="BH152" s="118">
        <f t="shared" si="50"/>
        <v>0</v>
      </c>
      <c r="BI152" s="5">
        <v>0</v>
      </c>
      <c r="BJ152" s="118">
        <f t="shared" si="11"/>
        <v>0</v>
      </c>
      <c r="BK152" s="5">
        <v>0</v>
      </c>
      <c r="BL152" s="127">
        <f t="shared" si="55"/>
        <v>0</v>
      </c>
      <c r="BM152" s="220" t="s">
        <v>616</v>
      </c>
      <c r="BO152" s="1" t="s">
        <v>578</v>
      </c>
      <c r="BP152" s="233" t="s">
        <v>647</v>
      </c>
      <c r="BQ152" s="233"/>
      <c r="BR152" s="234"/>
    </row>
    <row r="153" spans="1:70">
      <c r="A153" s="219" t="s">
        <v>451</v>
      </c>
      <c r="B153" s="106" t="s">
        <v>244</v>
      </c>
      <c r="C153" s="66" t="s">
        <v>175</v>
      </c>
      <c r="D153" s="284"/>
      <c r="E153" s="77" t="s">
        <v>253</v>
      </c>
      <c r="F153" s="282"/>
      <c r="G153" s="71" t="s">
        <v>202</v>
      </c>
      <c r="H153" s="70" t="s">
        <v>648</v>
      </c>
      <c r="I153" s="70" t="s">
        <v>184</v>
      </c>
      <c r="J153" s="71" t="s">
        <v>567</v>
      </c>
      <c r="K153" s="70" t="s">
        <v>250</v>
      </c>
      <c r="L153" s="69" t="s">
        <v>257</v>
      </c>
      <c r="M153" s="180" t="s">
        <v>568</v>
      </c>
      <c r="N153" s="68">
        <v>15.75</v>
      </c>
      <c r="O153" s="58">
        <v>15.75</v>
      </c>
      <c r="P153" s="144">
        <v>15.75</v>
      </c>
      <c r="Q153" s="144">
        <v>15.75</v>
      </c>
      <c r="R153" s="144">
        <v>15.75</v>
      </c>
      <c r="S153" s="144">
        <v>15.75</v>
      </c>
      <c r="T153" s="144">
        <v>15.75</v>
      </c>
      <c r="U153" s="144">
        <v>15.75</v>
      </c>
      <c r="V153" s="144">
        <v>15.75</v>
      </c>
      <c r="W153" s="144">
        <v>15.75</v>
      </c>
      <c r="X153" s="144">
        <v>15.75</v>
      </c>
      <c r="Y153" s="144">
        <v>15.75</v>
      </c>
      <c r="Z153" s="144">
        <v>15.75</v>
      </c>
      <c r="AA153" s="58">
        <v>15.75</v>
      </c>
      <c r="AB153" s="68">
        <v>0.46</v>
      </c>
      <c r="AC153" s="144">
        <v>0.46</v>
      </c>
      <c r="AD153" s="144">
        <v>0.46</v>
      </c>
      <c r="AE153" s="144">
        <v>0.46</v>
      </c>
      <c r="AF153" s="144">
        <v>0.46</v>
      </c>
      <c r="AG153" s="144">
        <v>0.46</v>
      </c>
      <c r="AH153" s="144">
        <v>0.46</v>
      </c>
      <c r="AI153" s="144">
        <v>0.46</v>
      </c>
      <c r="AJ153" s="144">
        <v>0.46</v>
      </c>
      <c r="AK153" s="144">
        <v>0.46</v>
      </c>
      <c r="AL153" s="144">
        <v>0.46</v>
      </c>
      <c r="AM153" s="144">
        <v>0.46</v>
      </c>
      <c r="AN153" s="153">
        <v>0.46</v>
      </c>
      <c r="AO153" s="105">
        <v>0</v>
      </c>
      <c r="AP153" s="118">
        <f t="shared" si="48"/>
        <v>0</v>
      </c>
      <c r="AQ153" s="105">
        <v>0</v>
      </c>
      <c r="AR153" s="118">
        <f t="shared" si="2"/>
        <v>0</v>
      </c>
      <c r="AS153" s="105">
        <v>0</v>
      </c>
      <c r="AT153" s="127">
        <f t="shared" si="3"/>
        <v>0</v>
      </c>
      <c r="AU153" s="5">
        <v>0</v>
      </c>
      <c r="AV153" s="118">
        <f t="shared" si="4"/>
        <v>0</v>
      </c>
      <c r="AW153" s="105">
        <v>0</v>
      </c>
      <c r="AX153" s="118">
        <f t="shared" si="5"/>
        <v>0</v>
      </c>
      <c r="AY153" s="105">
        <v>0</v>
      </c>
      <c r="AZ153" s="127">
        <f t="shared" si="51"/>
        <v>0</v>
      </c>
      <c r="BA153" s="105">
        <v>0</v>
      </c>
      <c r="BB153" s="118">
        <f t="shared" si="7"/>
        <v>0</v>
      </c>
      <c r="BC153" s="105">
        <v>0</v>
      </c>
      <c r="BD153" s="118">
        <f t="shared" si="8"/>
        <v>0</v>
      </c>
      <c r="BE153" s="5">
        <v>0</v>
      </c>
      <c r="BF153" s="127">
        <f t="shared" si="54"/>
        <v>0</v>
      </c>
      <c r="BG153" s="105">
        <v>0</v>
      </c>
      <c r="BH153" s="118">
        <f t="shared" si="50"/>
        <v>0</v>
      </c>
      <c r="BI153" s="5">
        <v>0</v>
      </c>
      <c r="BJ153" s="118">
        <f t="shared" si="11"/>
        <v>0</v>
      </c>
      <c r="BK153" s="5">
        <v>0</v>
      </c>
      <c r="BL153" s="127">
        <f t="shared" si="55"/>
        <v>0</v>
      </c>
      <c r="BM153" s="220" t="s">
        <v>649</v>
      </c>
      <c r="BO153" s="1" t="s">
        <v>573</v>
      </c>
      <c r="BP153" s="233" t="s">
        <v>650</v>
      </c>
      <c r="BQ153" s="233"/>
      <c r="BR153" s="234"/>
    </row>
    <row r="154" spans="1:70">
      <c r="A154" s="219" t="s">
        <v>451</v>
      </c>
      <c r="B154" s="106" t="s">
        <v>244</v>
      </c>
      <c r="C154" s="66" t="s">
        <v>175</v>
      </c>
      <c r="D154" s="284"/>
      <c r="E154" s="77" t="s">
        <v>253</v>
      </c>
      <c r="F154" s="282"/>
      <c r="G154" s="71" t="s">
        <v>202</v>
      </c>
      <c r="H154" s="70" t="s">
        <v>648</v>
      </c>
      <c r="I154" s="70" t="s">
        <v>184</v>
      </c>
      <c r="J154" s="71" t="s">
        <v>567</v>
      </c>
      <c r="K154" s="70" t="s">
        <v>250</v>
      </c>
      <c r="L154" s="69" t="s">
        <v>257</v>
      </c>
      <c r="M154" s="180" t="s">
        <v>568</v>
      </c>
      <c r="N154" s="68">
        <v>15.75</v>
      </c>
      <c r="O154" s="58">
        <v>15.75</v>
      </c>
      <c r="P154" s="144">
        <v>15.75</v>
      </c>
      <c r="Q154" s="144">
        <v>15.75</v>
      </c>
      <c r="R154" s="144">
        <v>15.75</v>
      </c>
      <c r="S154" s="144">
        <v>15.75</v>
      </c>
      <c r="T154" s="144">
        <v>15.75</v>
      </c>
      <c r="U154" s="144">
        <v>15.75</v>
      </c>
      <c r="V154" s="144">
        <v>15.75</v>
      </c>
      <c r="W154" s="144">
        <v>15.75</v>
      </c>
      <c r="X154" s="144">
        <v>15.75</v>
      </c>
      <c r="Y154" s="144">
        <v>15.75</v>
      </c>
      <c r="Z154" s="144">
        <v>15.75</v>
      </c>
      <c r="AA154" s="58">
        <v>15.75</v>
      </c>
      <c r="AB154" s="68">
        <v>0.46</v>
      </c>
      <c r="AC154" s="144">
        <v>0.46</v>
      </c>
      <c r="AD154" s="144">
        <v>0.46</v>
      </c>
      <c r="AE154" s="144">
        <v>0.46</v>
      </c>
      <c r="AF154" s="144">
        <v>0.46</v>
      </c>
      <c r="AG154" s="144">
        <v>0.46</v>
      </c>
      <c r="AH154" s="144">
        <v>0.46</v>
      </c>
      <c r="AI154" s="144">
        <v>0.46</v>
      </c>
      <c r="AJ154" s="144">
        <v>0.46</v>
      </c>
      <c r="AK154" s="144">
        <v>0.46</v>
      </c>
      <c r="AL154" s="144">
        <v>0.46</v>
      </c>
      <c r="AM154" s="144">
        <v>0.46</v>
      </c>
      <c r="AN154" s="153">
        <v>0.46</v>
      </c>
      <c r="AO154" s="105">
        <v>0</v>
      </c>
      <c r="AP154" s="118">
        <f t="shared" si="48"/>
        <v>0</v>
      </c>
      <c r="AQ154" s="105">
        <v>0</v>
      </c>
      <c r="AR154" s="118">
        <f t="shared" si="2"/>
        <v>0</v>
      </c>
      <c r="AS154" s="105">
        <v>0</v>
      </c>
      <c r="AT154" s="127">
        <f t="shared" si="3"/>
        <v>0</v>
      </c>
      <c r="AU154" s="5">
        <v>0</v>
      </c>
      <c r="AV154" s="118">
        <f t="shared" si="4"/>
        <v>0</v>
      </c>
      <c r="AW154" s="105">
        <v>0</v>
      </c>
      <c r="AX154" s="118">
        <f t="shared" si="5"/>
        <v>0</v>
      </c>
      <c r="AY154" s="105">
        <v>0</v>
      </c>
      <c r="AZ154" s="127">
        <f t="shared" si="51"/>
        <v>0</v>
      </c>
      <c r="BA154" s="105">
        <v>0</v>
      </c>
      <c r="BB154" s="118">
        <f t="shared" si="7"/>
        <v>0</v>
      </c>
      <c r="BC154" s="105">
        <v>0</v>
      </c>
      <c r="BD154" s="118">
        <f t="shared" si="8"/>
        <v>0</v>
      </c>
      <c r="BE154" s="5">
        <v>0</v>
      </c>
      <c r="BF154" s="127">
        <f t="shared" si="54"/>
        <v>0</v>
      </c>
      <c r="BG154" s="105">
        <v>0</v>
      </c>
      <c r="BH154" s="118">
        <f t="shared" si="50"/>
        <v>0</v>
      </c>
      <c r="BI154" s="5">
        <v>1000</v>
      </c>
      <c r="BJ154" s="118">
        <f t="shared" si="11"/>
        <v>460</v>
      </c>
      <c r="BK154" s="5">
        <v>3000</v>
      </c>
      <c r="BL154" s="127">
        <f t="shared" si="55"/>
        <v>1380</v>
      </c>
      <c r="BM154" s="220" t="s">
        <v>649</v>
      </c>
      <c r="BO154" s="1" t="s">
        <v>575</v>
      </c>
      <c r="BP154" s="233" t="s">
        <v>651</v>
      </c>
      <c r="BQ154" s="233"/>
      <c r="BR154" s="234"/>
    </row>
    <row r="155" spans="1:70">
      <c r="A155" s="219" t="s">
        <v>451</v>
      </c>
      <c r="B155" s="106" t="s">
        <v>244</v>
      </c>
      <c r="C155" s="66" t="s">
        <v>175</v>
      </c>
      <c r="D155" s="284"/>
      <c r="E155" s="77" t="s">
        <v>253</v>
      </c>
      <c r="F155" s="282"/>
      <c r="G155" s="71" t="s">
        <v>202</v>
      </c>
      <c r="H155" s="70" t="s">
        <v>648</v>
      </c>
      <c r="I155" s="70" t="s">
        <v>184</v>
      </c>
      <c r="J155" s="71" t="s">
        <v>567</v>
      </c>
      <c r="K155" s="70" t="s">
        <v>250</v>
      </c>
      <c r="L155" s="69" t="s">
        <v>257</v>
      </c>
      <c r="M155" s="180" t="s">
        <v>568</v>
      </c>
      <c r="N155" s="68">
        <v>15.75</v>
      </c>
      <c r="O155" s="58">
        <v>15.75</v>
      </c>
      <c r="P155" s="144">
        <v>15.75</v>
      </c>
      <c r="Q155" s="144">
        <v>15.75</v>
      </c>
      <c r="R155" s="144">
        <v>15.75</v>
      </c>
      <c r="S155" s="144">
        <v>15.75</v>
      </c>
      <c r="T155" s="144">
        <v>15.75</v>
      </c>
      <c r="U155" s="144">
        <v>15.75</v>
      </c>
      <c r="V155" s="144">
        <v>15.75</v>
      </c>
      <c r="W155" s="144">
        <v>15.75</v>
      </c>
      <c r="X155" s="144">
        <v>15.75</v>
      </c>
      <c r="Y155" s="144">
        <v>15.75</v>
      </c>
      <c r="Z155" s="144">
        <v>15.75</v>
      </c>
      <c r="AA155" s="58">
        <v>15.75</v>
      </c>
      <c r="AB155" s="68">
        <v>0.46</v>
      </c>
      <c r="AC155" s="144">
        <v>0.46</v>
      </c>
      <c r="AD155" s="144">
        <v>0.46</v>
      </c>
      <c r="AE155" s="144">
        <v>0.46</v>
      </c>
      <c r="AF155" s="144">
        <v>0.46</v>
      </c>
      <c r="AG155" s="144">
        <v>0.46</v>
      </c>
      <c r="AH155" s="144">
        <v>0.46</v>
      </c>
      <c r="AI155" s="144">
        <v>0.46</v>
      </c>
      <c r="AJ155" s="144">
        <v>0.46</v>
      </c>
      <c r="AK155" s="144">
        <v>0.46</v>
      </c>
      <c r="AL155" s="144">
        <v>0.46</v>
      </c>
      <c r="AM155" s="144">
        <v>0.46</v>
      </c>
      <c r="AN155" s="153">
        <v>0.46</v>
      </c>
      <c r="AO155" s="105">
        <v>0</v>
      </c>
      <c r="AP155" s="118">
        <f t="shared" si="48"/>
        <v>0</v>
      </c>
      <c r="AQ155" s="105">
        <v>0</v>
      </c>
      <c r="AR155" s="118">
        <f t="shared" si="2"/>
        <v>0</v>
      </c>
      <c r="AS155" s="105">
        <v>0</v>
      </c>
      <c r="AT155" s="127">
        <f t="shared" si="3"/>
        <v>0</v>
      </c>
      <c r="AU155" s="5">
        <v>0</v>
      </c>
      <c r="AV155" s="118">
        <f t="shared" si="4"/>
        <v>0</v>
      </c>
      <c r="AW155" s="105">
        <v>0</v>
      </c>
      <c r="AX155" s="118">
        <f t="shared" si="5"/>
        <v>0</v>
      </c>
      <c r="AY155" s="105">
        <v>0</v>
      </c>
      <c r="AZ155" s="127">
        <f t="shared" si="51"/>
        <v>0</v>
      </c>
      <c r="BA155" s="105">
        <v>0</v>
      </c>
      <c r="BB155" s="118">
        <f t="shared" si="7"/>
        <v>0</v>
      </c>
      <c r="BC155" s="105">
        <v>0</v>
      </c>
      <c r="BD155" s="118">
        <f t="shared" si="8"/>
        <v>0</v>
      </c>
      <c r="BE155" s="5">
        <v>0</v>
      </c>
      <c r="BF155" s="127">
        <f t="shared" si="54"/>
        <v>0</v>
      </c>
      <c r="BG155" s="105">
        <v>0</v>
      </c>
      <c r="BH155" s="118">
        <f t="shared" si="50"/>
        <v>0</v>
      </c>
      <c r="BI155" s="5">
        <v>0</v>
      </c>
      <c r="BJ155" s="118">
        <f t="shared" si="11"/>
        <v>0</v>
      </c>
      <c r="BK155" s="5">
        <v>0</v>
      </c>
      <c r="BL155" s="127">
        <f t="shared" si="55"/>
        <v>0</v>
      </c>
      <c r="BM155" s="220" t="s">
        <v>649</v>
      </c>
      <c r="BO155" s="1" t="s">
        <v>570</v>
      </c>
      <c r="BP155" s="233" t="s">
        <v>652</v>
      </c>
      <c r="BQ155" s="233"/>
      <c r="BR155" s="234"/>
    </row>
    <row r="156" spans="1:70">
      <c r="A156" s="219" t="s">
        <v>451</v>
      </c>
      <c r="B156" s="106" t="s">
        <v>244</v>
      </c>
      <c r="C156" s="66" t="s">
        <v>175</v>
      </c>
      <c r="D156" s="284"/>
      <c r="E156" s="77" t="s">
        <v>253</v>
      </c>
      <c r="F156" s="282"/>
      <c r="G156" s="71" t="s">
        <v>202</v>
      </c>
      <c r="H156" s="70" t="s">
        <v>648</v>
      </c>
      <c r="I156" s="70" t="s">
        <v>184</v>
      </c>
      <c r="J156" s="71" t="s">
        <v>567</v>
      </c>
      <c r="K156" s="70" t="s">
        <v>250</v>
      </c>
      <c r="L156" s="69" t="s">
        <v>257</v>
      </c>
      <c r="M156" s="180" t="s">
        <v>568</v>
      </c>
      <c r="N156" s="68">
        <v>15.75</v>
      </c>
      <c r="O156" s="58">
        <v>15.75</v>
      </c>
      <c r="P156" s="144">
        <v>15.75</v>
      </c>
      <c r="Q156" s="144">
        <v>15.75</v>
      </c>
      <c r="R156" s="144">
        <v>15.75</v>
      </c>
      <c r="S156" s="144">
        <v>15.75</v>
      </c>
      <c r="T156" s="144">
        <v>15.75</v>
      </c>
      <c r="U156" s="144">
        <v>15.75</v>
      </c>
      <c r="V156" s="144">
        <v>15.75</v>
      </c>
      <c r="W156" s="144">
        <v>15.75</v>
      </c>
      <c r="X156" s="144">
        <v>15.75</v>
      </c>
      <c r="Y156" s="144">
        <v>15.75</v>
      </c>
      <c r="Z156" s="144">
        <v>15.75</v>
      </c>
      <c r="AA156" s="58">
        <v>15.75</v>
      </c>
      <c r="AB156" s="68">
        <v>0.46</v>
      </c>
      <c r="AC156" s="144">
        <v>0.46</v>
      </c>
      <c r="AD156" s="144">
        <v>0.46</v>
      </c>
      <c r="AE156" s="144">
        <v>0.46</v>
      </c>
      <c r="AF156" s="144">
        <v>0.46</v>
      </c>
      <c r="AG156" s="144">
        <v>0.46</v>
      </c>
      <c r="AH156" s="144">
        <v>0.46</v>
      </c>
      <c r="AI156" s="144">
        <v>0.46</v>
      </c>
      <c r="AJ156" s="144">
        <v>0.46</v>
      </c>
      <c r="AK156" s="144">
        <v>0.46</v>
      </c>
      <c r="AL156" s="144">
        <v>0.46</v>
      </c>
      <c r="AM156" s="144">
        <v>0.46</v>
      </c>
      <c r="AN156" s="153">
        <v>0.46</v>
      </c>
      <c r="AO156" s="105">
        <v>0</v>
      </c>
      <c r="AP156" s="118">
        <f t="shared" si="48"/>
        <v>0</v>
      </c>
      <c r="AQ156" s="105">
        <v>0</v>
      </c>
      <c r="AR156" s="118">
        <f t="shared" si="2"/>
        <v>0</v>
      </c>
      <c r="AS156" s="105">
        <v>0</v>
      </c>
      <c r="AT156" s="127">
        <f t="shared" si="3"/>
        <v>0</v>
      </c>
      <c r="AU156" s="5">
        <v>0</v>
      </c>
      <c r="AV156" s="118">
        <f t="shared" si="4"/>
        <v>0</v>
      </c>
      <c r="AW156" s="105">
        <v>0</v>
      </c>
      <c r="AX156" s="118">
        <f t="shared" si="5"/>
        <v>0</v>
      </c>
      <c r="AY156" s="105">
        <v>0</v>
      </c>
      <c r="AZ156" s="127">
        <f t="shared" si="51"/>
        <v>0</v>
      </c>
      <c r="BA156" s="105">
        <v>0</v>
      </c>
      <c r="BB156" s="118">
        <f t="shared" si="7"/>
        <v>0</v>
      </c>
      <c r="BC156" s="105">
        <v>0</v>
      </c>
      <c r="BD156" s="118">
        <f t="shared" si="8"/>
        <v>0</v>
      </c>
      <c r="BE156" s="5">
        <v>0</v>
      </c>
      <c r="BF156" s="127">
        <f t="shared" si="54"/>
        <v>0</v>
      </c>
      <c r="BG156" s="105">
        <v>0</v>
      </c>
      <c r="BH156" s="118">
        <f t="shared" si="50"/>
        <v>0</v>
      </c>
      <c r="BI156" s="5">
        <v>0</v>
      </c>
      <c r="BJ156" s="118">
        <f t="shared" si="11"/>
        <v>0</v>
      </c>
      <c r="BK156" s="5">
        <v>0</v>
      </c>
      <c r="BL156" s="127">
        <f t="shared" si="55"/>
        <v>0</v>
      </c>
      <c r="BM156" s="220" t="s">
        <v>649</v>
      </c>
      <c r="BO156" s="1" t="s">
        <v>570</v>
      </c>
      <c r="BP156" s="233" t="s">
        <v>653</v>
      </c>
      <c r="BQ156" s="233"/>
      <c r="BR156" s="234"/>
    </row>
    <row r="157" spans="1:70">
      <c r="A157" s="219" t="s">
        <v>451</v>
      </c>
      <c r="B157" s="106" t="s">
        <v>244</v>
      </c>
      <c r="C157" s="66" t="s">
        <v>175</v>
      </c>
      <c r="D157" s="284"/>
      <c r="E157" s="77" t="s">
        <v>253</v>
      </c>
      <c r="F157" s="282"/>
      <c r="G157" s="71" t="s">
        <v>202</v>
      </c>
      <c r="H157" s="70" t="s">
        <v>648</v>
      </c>
      <c r="I157" s="70" t="s">
        <v>184</v>
      </c>
      <c r="J157" s="71" t="s">
        <v>567</v>
      </c>
      <c r="K157" s="70" t="s">
        <v>250</v>
      </c>
      <c r="L157" s="69" t="s">
        <v>257</v>
      </c>
      <c r="M157" s="180" t="s">
        <v>608</v>
      </c>
      <c r="N157" s="68">
        <v>15.75</v>
      </c>
      <c r="O157" s="58">
        <v>15.75</v>
      </c>
      <c r="P157" s="144">
        <v>15.75</v>
      </c>
      <c r="Q157" s="144">
        <v>15.75</v>
      </c>
      <c r="R157" s="144">
        <v>15.75</v>
      </c>
      <c r="S157" s="144">
        <v>15.75</v>
      </c>
      <c r="T157" s="144">
        <v>15.75</v>
      </c>
      <c r="U157" s="144">
        <v>15.75</v>
      </c>
      <c r="V157" s="144">
        <v>15.75</v>
      </c>
      <c r="W157" s="144">
        <v>15.75</v>
      </c>
      <c r="X157" s="144">
        <v>15.75</v>
      </c>
      <c r="Y157" s="144">
        <v>15.75</v>
      </c>
      <c r="Z157" s="144">
        <v>15.75</v>
      </c>
      <c r="AA157" s="58">
        <v>15.75</v>
      </c>
      <c r="AB157" s="68">
        <v>0.46</v>
      </c>
      <c r="AC157" s="144">
        <v>0.46</v>
      </c>
      <c r="AD157" s="144">
        <v>0.46</v>
      </c>
      <c r="AE157" s="144">
        <v>0.46</v>
      </c>
      <c r="AF157" s="144">
        <v>0.46</v>
      </c>
      <c r="AG157" s="144">
        <v>0.46</v>
      </c>
      <c r="AH157" s="144">
        <v>0.46</v>
      </c>
      <c r="AI157" s="144">
        <v>0.46</v>
      </c>
      <c r="AJ157" s="144">
        <v>0.46</v>
      </c>
      <c r="AK157" s="144">
        <v>0.46</v>
      </c>
      <c r="AL157" s="144">
        <v>0.46</v>
      </c>
      <c r="AM157" s="144">
        <v>0.46</v>
      </c>
      <c r="AN157" s="153">
        <v>0.46</v>
      </c>
      <c r="AO157" s="105">
        <v>0</v>
      </c>
      <c r="AP157" s="118">
        <f t="shared" si="48"/>
        <v>0</v>
      </c>
      <c r="AQ157" s="105">
        <v>0</v>
      </c>
      <c r="AR157" s="118">
        <f t="shared" si="2"/>
        <v>0</v>
      </c>
      <c r="AS157" s="105">
        <v>0</v>
      </c>
      <c r="AT157" s="127">
        <f t="shared" si="3"/>
        <v>0</v>
      </c>
      <c r="AU157" s="5">
        <v>0</v>
      </c>
      <c r="AV157" s="118">
        <f t="shared" si="4"/>
        <v>0</v>
      </c>
      <c r="AW157" s="105">
        <v>0</v>
      </c>
      <c r="AX157" s="118">
        <f t="shared" si="5"/>
        <v>0</v>
      </c>
      <c r="AY157" s="105">
        <v>0</v>
      </c>
      <c r="AZ157" s="127">
        <f t="shared" si="51"/>
        <v>0</v>
      </c>
      <c r="BA157" s="105">
        <v>0</v>
      </c>
      <c r="BB157" s="118">
        <f t="shared" si="7"/>
        <v>0</v>
      </c>
      <c r="BC157" s="105">
        <v>0</v>
      </c>
      <c r="BD157" s="118">
        <f t="shared" si="8"/>
        <v>0</v>
      </c>
      <c r="BE157" s="5">
        <v>0</v>
      </c>
      <c r="BF157" s="127">
        <f t="shared" si="54"/>
        <v>0</v>
      </c>
      <c r="BG157" s="105">
        <v>0</v>
      </c>
      <c r="BH157" s="118">
        <f t="shared" si="50"/>
        <v>0</v>
      </c>
      <c r="BI157" s="5">
        <v>0</v>
      </c>
      <c r="BJ157" s="118">
        <f t="shared" si="11"/>
        <v>0</v>
      </c>
      <c r="BK157" s="5">
        <v>0</v>
      </c>
      <c r="BL157" s="127">
        <f t="shared" si="55"/>
        <v>0</v>
      </c>
      <c r="BM157" s="220" t="s">
        <v>649</v>
      </c>
      <c r="BO157" s="1" t="s">
        <v>578</v>
      </c>
      <c r="BP157" s="233" t="s">
        <v>654</v>
      </c>
      <c r="BQ157" s="233"/>
      <c r="BR157" s="234"/>
    </row>
    <row r="158" spans="1:70">
      <c r="A158" s="219" t="s">
        <v>451</v>
      </c>
      <c r="B158" s="106" t="s">
        <v>244</v>
      </c>
      <c r="C158" s="66" t="s">
        <v>175</v>
      </c>
      <c r="D158" s="284"/>
      <c r="E158" s="77" t="s">
        <v>253</v>
      </c>
      <c r="F158" s="282"/>
      <c r="G158" s="71" t="s">
        <v>202</v>
      </c>
      <c r="H158" s="70" t="s">
        <v>648</v>
      </c>
      <c r="I158" s="70" t="s">
        <v>184</v>
      </c>
      <c r="J158" s="71" t="s">
        <v>567</v>
      </c>
      <c r="K158" s="70" t="s">
        <v>250</v>
      </c>
      <c r="L158" s="69" t="s">
        <v>257</v>
      </c>
      <c r="M158" s="180" t="s">
        <v>608</v>
      </c>
      <c r="N158" s="68">
        <v>15.75</v>
      </c>
      <c r="O158" s="58">
        <v>15.75</v>
      </c>
      <c r="P158" s="144">
        <v>15.75</v>
      </c>
      <c r="Q158" s="144">
        <v>15.75</v>
      </c>
      <c r="R158" s="144">
        <v>15.75</v>
      </c>
      <c r="S158" s="144">
        <v>15.75</v>
      </c>
      <c r="T158" s="144">
        <v>15.75</v>
      </c>
      <c r="U158" s="144">
        <v>15.75</v>
      </c>
      <c r="V158" s="144">
        <v>15.75</v>
      </c>
      <c r="W158" s="144">
        <v>15.75</v>
      </c>
      <c r="X158" s="144">
        <v>15.75</v>
      </c>
      <c r="Y158" s="144">
        <v>15.75</v>
      </c>
      <c r="Z158" s="144">
        <v>15.75</v>
      </c>
      <c r="AA158" s="58">
        <v>15.75</v>
      </c>
      <c r="AB158" s="68">
        <v>0.46</v>
      </c>
      <c r="AC158" s="144">
        <v>0.46</v>
      </c>
      <c r="AD158" s="144">
        <v>0.46</v>
      </c>
      <c r="AE158" s="144">
        <v>0.46</v>
      </c>
      <c r="AF158" s="144">
        <v>0.46</v>
      </c>
      <c r="AG158" s="144">
        <v>0.46</v>
      </c>
      <c r="AH158" s="144">
        <v>0.46</v>
      </c>
      <c r="AI158" s="144">
        <v>0.46</v>
      </c>
      <c r="AJ158" s="144">
        <v>0.46</v>
      </c>
      <c r="AK158" s="144">
        <v>0.46</v>
      </c>
      <c r="AL158" s="144">
        <v>0.46</v>
      </c>
      <c r="AM158" s="144">
        <v>0.46</v>
      </c>
      <c r="AN158" s="153">
        <v>0.46</v>
      </c>
      <c r="AO158" s="105">
        <v>0</v>
      </c>
      <c r="AP158" s="118">
        <f t="shared" ref="AP158:AP216" si="56">AC158*AO158</f>
        <v>0</v>
      </c>
      <c r="AQ158" s="105">
        <v>0</v>
      </c>
      <c r="AR158" s="118">
        <f t="shared" si="2"/>
        <v>0</v>
      </c>
      <c r="AS158" s="105">
        <v>0</v>
      </c>
      <c r="AT158" s="127">
        <f t="shared" si="3"/>
        <v>0</v>
      </c>
      <c r="AU158" s="5">
        <v>0</v>
      </c>
      <c r="AV158" s="118">
        <f t="shared" si="4"/>
        <v>0</v>
      </c>
      <c r="AW158" s="105">
        <v>0</v>
      </c>
      <c r="AX158" s="118">
        <f t="shared" si="5"/>
        <v>0</v>
      </c>
      <c r="AY158" s="105">
        <v>0</v>
      </c>
      <c r="AZ158" s="127">
        <f t="shared" si="51"/>
        <v>0</v>
      </c>
      <c r="BA158" s="105">
        <v>0</v>
      </c>
      <c r="BB158" s="118">
        <f t="shared" si="7"/>
        <v>0</v>
      </c>
      <c r="BC158" s="105">
        <v>0</v>
      </c>
      <c r="BD158" s="118">
        <f t="shared" si="8"/>
        <v>0</v>
      </c>
      <c r="BE158" s="5">
        <v>0</v>
      </c>
      <c r="BF158" s="127">
        <f t="shared" si="54"/>
        <v>0</v>
      </c>
      <c r="BG158" s="105">
        <v>0</v>
      </c>
      <c r="BH158" s="118">
        <f t="shared" si="50"/>
        <v>0</v>
      </c>
      <c r="BI158" s="5">
        <v>0</v>
      </c>
      <c r="BJ158" s="118">
        <f t="shared" si="11"/>
        <v>0</v>
      </c>
      <c r="BK158" s="5">
        <v>0</v>
      </c>
      <c r="BL158" s="127">
        <f t="shared" si="55"/>
        <v>0</v>
      </c>
      <c r="BM158" s="220" t="s">
        <v>649</v>
      </c>
      <c r="BO158" s="1" t="s">
        <v>578</v>
      </c>
      <c r="BP158" s="233" t="s">
        <v>655</v>
      </c>
      <c r="BQ158" s="233"/>
      <c r="BR158" s="234"/>
    </row>
    <row r="159" spans="1:70">
      <c r="A159" s="219" t="s">
        <v>451</v>
      </c>
      <c r="B159" s="106" t="s">
        <v>244</v>
      </c>
      <c r="C159" s="66" t="s">
        <v>175</v>
      </c>
      <c r="D159" s="284"/>
      <c r="E159" s="77" t="s">
        <v>253</v>
      </c>
      <c r="F159" s="282"/>
      <c r="G159" s="71" t="s">
        <v>202</v>
      </c>
      <c r="H159" s="70" t="s">
        <v>648</v>
      </c>
      <c r="I159" s="70" t="s">
        <v>184</v>
      </c>
      <c r="J159" s="71" t="s">
        <v>567</v>
      </c>
      <c r="K159" s="70" t="s">
        <v>250</v>
      </c>
      <c r="L159" s="69" t="s">
        <v>257</v>
      </c>
      <c r="M159" s="180" t="s">
        <v>608</v>
      </c>
      <c r="N159" s="68">
        <v>15.75</v>
      </c>
      <c r="O159" s="58">
        <v>15.75</v>
      </c>
      <c r="P159" s="144">
        <v>15.75</v>
      </c>
      <c r="Q159" s="144">
        <v>15.75</v>
      </c>
      <c r="R159" s="144">
        <v>15.75</v>
      </c>
      <c r="S159" s="144">
        <v>15.75</v>
      </c>
      <c r="T159" s="144">
        <v>15.75</v>
      </c>
      <c r="U159" s="144">
        <v>15.75</v>
      </c>
      <c r="V159" s="144">
        <v>15.75</v>
      </c>
      <c r="W159" s="144">
        <v>15.75</v>
      </c>
      <c r="X159" s="144">
        <v>15.75</v>
      </c>
      <c r="Y159" s="144">
        <v>15.75</v>
      </c>
      <c r="Z159" s="144">
        <v>15.75</v>
      </c>
      <c r="AA159" s="58">
        <v>15.75</v>
      </c>
      <c r="AB159" s="68">
        <v>0.46</v>
      </c>
      <c r="AC159" s="144">
        <v>0.46</v>
      </c>
      <c r="AD159" s="144">
        <v>0.46</v>
      </c>
      <c r="AE159" s="144">
        <v>0.46</v>
      </c>
      <c r="AF159" s="144">
        <v>0.46</v>
      </c>
      <c r="AG159" s="144">
        <v>0.46</v>
      </c>
      <c r="AH159" s="144">
        <v>0.46</v>
      </c>
      <c r="AI159" s="144">
        <v>0.46</v>
      </c>
      <c r="AJ159" s="144">
        <v>0.46</v>
      </c>
      <c r="AK159" s="144">
        <v>0.46</v>
      </c>
      <c r="AL159" s="144">
        <v>0.46</v>
      </c>
      <c r="AM159" s="144">
        <v>0.46</v>
      </c>
      <c r="AN159" s="153">
        <v>0.46</v>
      </c>
      <c r="AO159" s="105">
        <v>0</v>
      </c>
      <c r="AP159" s="118">
        <f t="shared" si="56"/>
        <v>0</v>
      </c>
      <c r="AQ159" s="105">
        <v>0</v>
      </c>
      <c r="AR159" s="118">
        <f t="shared" si="2"/>
        <v>0</v>
      </c>
      <c r="AS159" s="105">
        <v>0</v>
      </c>
      <c r="AT159" s="127">
        <f t="shared" si="3"/>
        <v>0</v>
      </c>
      <c r="AU159" s="5">
        <v>0</v>
      </c>
      <c r="AV159" s="118">
        <f t="shared" si="4"/>
        <v>0</v>
      </c>
      <c r="AW159" s="105">
        <v>0</v>
      </c>
      <c r="AX159" s="118">
        <f t="shared" si="5"/>
        <v>0</v>
      </c>
      <c r="AY159" s="105">
        <v>0</v>
      </c>
      <c r="AZ159" s="127">
        <f t="shared" si="51"/>
        <v>0</v>
      </c>
      <c r="BA159" s="105">
        <v>0</v>
      </c>
      <c r="BB159" s="118">
        <f t="shared" si="7"/>
        <v>0</v>
      </c>
      <c r="BC159" s="105">
        <v>0</v>
      </c>
      <c r="BD159" s="118">
        <f t="shared" si="8"/>
        <v>0</v>
      </c>
      <c r="BE159" s="5">
        <v>0</v>
      </c>
      <c r="BF159" s="127">
        <f t="shared" si="54"/>
        <v>0</v>
      </c>
      <c r="BG159" s="105">
        <v>0</v>
      </c>
      <c r="BH159" s="118">
        <f t="shared" si="50"/>
        <v>0</v>
      </c>
      <c r="BI159" s="5">
        <v>0</v>
      </c>
      <c r="BJ159" s="118">
        <f t="shared" si="11"/>
        <v>0</v>
      </c>
      <c r="BK159" s="5">
        <v>0</v>
      </c>
      <c r="BL159" s="127">
        <f t="shared" si="55"/>
        <v>0</v>
      </c>
      <c r="BM159" s="220" t="s">
        <v>649</v>
      </c>
      <c r="BO159" s="1" t="s">
        <v>578</v>
      </c>
      <c r="BP159" s="233" t="s">
        <v>656</v>
      </c>
      <c r="BQ159" s="233"/>
      <c r="BR159" s="234"/>
    </row>
    <row r="160" spans="1:70">
      <c r="A160" s="219" t="s">
        <v>451</v>
      </c>
      <c r="B160" s="106" t="s">
        <v>244</v>
      </c>
      <c r="C160" s="66" t="s">
        <v>175</v>
      </c>
      <c r="D160" s="284"/>
      <c r="E160" s="77" t="s">
        <v>253</v>
      </c>
      <c r="F160" s="282"/>
      <c r="G160" s="71" t="s">
        <v>202</v>
      </c>
      <c r="H160" s="70" t="s">
        <v>648</v>
      </c>
      <c r="I160" s="70" t="s">
        <v>184</v>
      </c>
      <c r="J160" s="71" t="s">
        <v>567</v>
      </c>
      <c r="K160" s="70" t="s">
        <v>250</v>
      </c>
      <c r="L160" s="69" t="s">
        <v>257</v>
      </c>
      <c r="M160" s="180" t="s">
        <v>608</v>
      </c>
      <c r="N160" s="68">
        <v>15.75</v>
      </c>
      <c r="O160" s="58">
        <v>15.75</v>
      </c>
      <c r="P160" s="144">
        <v>15.75</v>
      </c>
      <c r="Q160" s="144">
        <v>15.75</v>
      </c>
      <c r="R160" s="144">
        <v>15.75</v>
      </c>
      <c r="S160" s="144">
        <v>15.75</v>
      </c>
      <c r="T160" s="144">
        <v>15.75</v>
      </c>
      <c r="U160" s="144">
        <v>15.75</v>
      </c>
      <c r="V160" s="144">
        <v>15.75</v>
      </c>
      <c r="W160" s="144">
        <v>15.75</v>
      </c>
      <c r="X160" s="144">
        <v>15.75</v>
      </c>
      <c r="Y160" s="144">
        <v>15.75</v>
      </c>
      <c r="Z160" s="144">
        <v>15.75</v>
      </c>
      <c r="AA160" s="58">
        <v>15.75</v>
      </c>
      <c r="AB160" s="68">
        <v>0.46</v>
      </c>
      <c r="AC160" s="144">
        <v>0.46</v>
      </c>
      <c r="AD160" s="144">
        <v>0.46</v>
      </c>
      <c r="AE160" s="144">
        <v>0.46</v>
      </c>
      <c r="AF160" s="144">
        <v>0.46</v>
      </c>
      <c r="AG160" s="144">
        <v>0.46</v>
      </c>
      <c r="AH160" s="144">
        <v>0.46</v>
      </c>
      <c r="AI160" s="144">
        <v>0.46</v>
      </c>
      <c r="AJ160" s="144">
        <v>0.46</v>
      </c>
      <c r="AK160" s="144">
        <v>0.46</v>
      </c>
      <c r="AL160" s="144">
        <v>0.46</v>
      </c>
      <c r="AM160" s="144">
        <v>0.46</v>
      </c>
      <c r="AN160" s="153">
        <v>0.46</v>
      </c>
      <c r="AO160" s="105">
        <v>0</v>
      </c>
      <c r="AP160" s="118">
        <f t="shared" si="56"/>
        <v>0</v>
      </c>
      <c r="AQ160" s="105">
        <v>0</v>
      </c>
      <c r="AR160" s="118">
        <f t="shared" si="2"/>
        <v>0</v>
      </c>
      <c r="AS160" s="105">
        <v>0</v>
      </c>
      <c r="AT160" s="127">
        <f t="shared" si="3"/>
        <v>0</v>
      </c>
      <c r="AU160" s="5">
        <v>0</v>
      </c>
      <c r="AV160" s="118">
        <f t="shared" si="4"/>
        <v>0</v>
      </c>
      <c r="AW160" s="105">
        <v>0</v>
      </c>
      <c r="AX160" s="118">
        <f t="shared" si="5"/>
        <v>0</v>
      </c>
      <c r="AY160" s="105">
        <v>0</v>
      </c>
      <c r="AZ160" s="127">
        <f t="shared" si="51"/>
        <v>0</v>
      </c>
      <c r="BA160" s="105">
        <v>0</v>
      </c>
      <c r="BB160" s="118">
        <f t="shared" si="7"/>
        <v>0</v>
      </c>
      <c r="BC160" s="105">
        <v>0</v>
      </c>
      <c r="BD160" s="118">
        <f t="shared" si="8"/>
        <v>0</v>
      </c>
      <c r="BE160" s="5">
        <v>0</v>
      </c>
      <c r="BF160" s="127">
        <f t="shared" si="54"/>
        <v>0</v>
      </c>
      <c r="BG160" s="105">
        <v>0</v>
      </c>
      <c r="BH160" s="118">
        <f t="shared" si="50"/>
        <v>0</v>
      </c>
      <c r="BI160" s="5">
        <v>0</v>
      </c>
      <c r="BJ160" s="118">
        <f t="shared" si="11"/>
        <v>0</v>
      </c>
      <c r="BK160" s="5">
        <v>0</v>
      </c>
      <c r="BL160" s="127">
        <f t="shared" si="55"/>
        <v>0</v>
      </c>
      <c r="BM160" s="220" t="s">
        <v>649</v>
      </c>
      <c r="BO160" s="1" t="s">
        <v>578</v>
      </c>
      <c r="BP160" s="233" t="s">
        <v>657</v>
      </c>
      <c r="BQ160" s="233"/>
      <c r="BR160" s="234"/>
    </row>
    <row r="161" spans="1:70">
      <c r="A161" s="219" t="s">
        <v>451</v>
      </c>
      <c r="B161" s="106" t="s">
        <v>244</v>
      </c>
      <c r="C161" s="66" t="s">
        <v>175</v>
      </c>
      <c r="D161" s="284"/>
      <c r="E161" s="77" t="s">
        <v>253</v>
      </c>
      <c r="F161" s="282"/>
      <c r="G161" s="71" t="s">
        <v>202</v>
      </c>
      <c r="H161" s="70" t="s">
        <v>648</v>
      </c>
      <c r="I161" s="70" t="s">
        <v>184</v>
      </c>
      <c r="J161" s="71" t="s">
        <v>567</v>
      </c>
      <c r="K161" s="70" t="s">
        <v>250</v>
      </c>
      <c r="L161" s="69" t="s">
        <v>257</v>
      </c>
      <c r="M161" s="180" t="s">
        <v>608</v>
      </c>
      <c r="N161" s="68">
        <v>15.75</v>
      </c>
      <c r="O161" s="58">
        <v>15.75</v>
      </c>
      <c r="P161" s="144">
        <v>15.75</v>
      </c>
      <c r="Q161" s="144">
        <v>15.75</v>
      </c>
      <c r="R161" s="144">
        <v>15.75</v>
      </c>
      <c r="S161" s="144">
        <v>15.75</v>
      </c>
      <c r="T161" s="144">
        <v>15.75</v>
      </c>
      <c r="U161" s="144">
        <v>15.75</v>
      </c>
      <c r="V161" s="144">
        <v>15.75</v>
      </c>
      <c r="W161" s="144">
        <v>15.75</v>
      </c>
      <c r="X161" s="144">
        <v>15.75</v>
      </c>
      <c r="Y161" s="144">
        <v>15.75</v>
      </c>
      <c r="Z161" s="144">
        <v>15.75</v>
      </c>
      <c r="AA161" s="58">
        <v>15.75</v>
      </c>
      <c r="AB161" s="68">
        <v>0.46</v>
      </c>
      <c r="AC161" s="144">
        <v>0.46</v>
      </c>
      <c r="AD161" s="144">
        <v>0.46</v>
      </c>
      <c r="AE161" s="144">
        <v>0.46</v>
      </c>
      <c r="AF161" s="144">
        <v>0.46</v>
      </c>
      <c r="AG161" s="144">
        <v>0.46</v>
      </c>
      <c r="AH161" s="144">
        <v>0.46</v>
      </c>
      <c r="AI161" s="144">
        <v>0.46</v>
      </c>
      <c r="AJ161" s="144">
        <v>0.46</v>
      </c>
      <c r="AK161" s="144">
        <v>0.46</v>
      </c>
      <c r="AL161" s="144">
        <v>0.46</v>
      </c>
      <c r="AM161" s="144">
        <v>0.46</v>
      </c>
      <c r="AN161" s="153">
        <v>0.46</v>
      </c>
      <c r="AO161" s="105">
        <v>0</v>
      </c>
      <c r="AP161" s="118">
        <f t="shared" si="56"/>
        <v>0</v>
      </c>
      <c r="AQ161" s="105">
        <v>0</v>
      </c>
      <c r="AR161" s="118">
        <f t="shared" si="2"/>
        <v>0</v>
      </c>
      <c r="AS161" s="105">
        <v>0</v>
      </c>
      <c r="AT161" s="127">
        <f t="shared" si="3"/>
        <v>0</v>
      </c>
      <c r="AU161" s="5">
        <v>0</v>
      </c>
      <c r="AV161" s="118">
        <f t="shared" si="4"/>
        <v>0</v>
      </c>
      <c r="AW161" s="105">
        <v>0</v>
      </c>
      <c r="AX161" s="118">
        <f t="shared" si="5"/>
        <v>0</v>
      </c>
      <c r="AY161" s="105">
        <v>0</v>
      </c>
      <c r="AZ161" s="127">
        <f t="shared" si="51"/>
        <v>0</v>
      </c>
      <c r="BA161" s="105">
        <v>0</v>
      </c>
      <c r="BB161" s="118">
        <f t="shared" si="7"/>
        <v>0</v>
      </c>
      <c r="BC161" s="105">
        <v>0</v>
      </c>
      <c r="BD161" s="118">
        <f t="shared" si="8"/>
        <v>0</v>
      </c>
      <c r="BE161" s="5">
        <v>0</v>
      </c>
      <c r="BF161" s="127">
        <f t="shared" si="54"/>
        <v>0</v>
      </c>
      <c r="BG161" s="105">
        <v>0</v>
      </c>
      <c r="BH161" s="118">
        <f t="shared" si="50"/>
        <v>0</v>
      </c>
      <c r="BI161" s="5">
        <v>0</v>
      </c>
      <c r="BJ161" s="118">
        <f t="shared" si="11"/>
        <v>0</v>
      </c>
      <c r="BK161" s="5">
        <v>0</v>
      </c>
      <c r="BL161" s="127">
        <f t="shared" si="55"/>
        <v>0</v>
      </c>
      <c r="BM161" s="220" t="s">
        <v>649</v>
      </c>
      <c r="BO161" s="1" t="s">
        <v>578</v>
      </c>
      <c r="BP161" s="233" t="s">
        <v>658</v>
      </c>
      <c r="BQ161" s="233"/>
      <c r="BR161" s="234"/>
    </row>
    <row r="162" spans="1:70">
      <c r="A162" s="219" t="s">
        <v>451</v>
      </c>
      <c r="B162" s="106" t="s">
        <v>244</v>
      </c>
      <c r="C162" s="66" t="s">
        <v>175</v>
      </c>
      <c r="D162" s="284"/>
      <c r="E162" s="77" t="s">
        <v>253</v>
      </c>
      <c r="F162" s="282"/>
      <c r="G162" s="71" t="s">
        <v>202</v>
      </c>
      <c r="H162" s="70" t="s">
        <v>648</v>
      </c>
      <c r="I162" s="70" t="s">
        <v>184</v>
      </c>
      <c r="J162" s="71" t="s">
        <v>567</v>
      </c>
      <c r="K162" s="70" t="s">
        <v>250</v>
      </c>
      <c r="L162" s="69" t="s">
        <v>257</v>
      </c>
      <c r="M162" s="180" t="s">
        <v>608</v>
      </c>
      <c r="N162" s="68">
        <v>15.75</v>
      </c>
      <c r="O162" s="58">
        <v>15.75</v>
      </c>
      <c r="P162" s="144">
        <v>15.75</v>
      </c>
      <c r="Q162" s="144">
        <v>15.75</v>
      </c>
      <c r="R162" s="144">
        <v>15.75</v>
      </c>
      <c r="S162" s="144">
        <v>15.75</v>
      </c>
      <c r="T162" s="144">
        <v>15.75</v>
      </c>
      <c r="U162" s="144">
        <v>15.75</v>
      </c>
      <c r="V162" s="144">
        <v>15.75</v>
      </c>
      <c r="W162" s="144">
        <v>15.75</v>
      </c>
      <c r="X162" s="144">
        <v>15.75</v>
      </c>
      <c r="Y162" s="144">
        <v>15.75</v>
      </c>
      <c r="Z162" s="144">
        <v>15.75</v>
      </c>
      <c r="AA162" s="58">
        <v>15.75</v>
      </c>
      <c r="AB162" s="68">
        <v>0.46</v>
      </c>
      <c r="AC162" s="144">
        <v>0.46</v>
      </c>
      <c r="AD162" s="144">
        <v>0.46</v>
      </c>
      <c r="AE162" s="144">
        <v>0.46</v>
      </c>
      <c r="AF162" s="144">
        <v>0.46</v>
      </c>
      <c r="AG162" s="144">
        <v>0.46</v>
      </c>
      <c r="AH162" s="144">
        <v>0.46</v>
      </c>
      <c r="AI162" s="144">
        <v>0.46</v>
      </c>
      <c r="AJ162" s="144">
        <v>0.46</v>
      </c>
      <c r="AK162" s="144">
        <v>0.46</v>
      </c>
      <c r="AL162" s="144">
        <v>0.46</v>
      </c>
      <c r="AM162" s="144">
        <v>0.46</v>
      </c>
      <c r="AN162" s="153">
        <v>0.46</v>
      </c>
      <c r="AO162" s="105">
        <v>0</v>
      </c>
      <c r="AP162" s="118">
        <f t="shared" si="56"/>
        <v>0</v>
      </c>
      <c r="AQ162" s="105">
        <v>0</v>
      </c>
      <c r="AR162" s="118">
        <f t="shared" si="2"/>
        <v>0</v>
      </c>
      <c r="AS162" s="105">
        <v>0</v>
      </c>
      <c r="AT162" s="127">
        <f t="shared" si="3"/>
        <v>0</v>
      </c>
      <c r="AU162" s="5">
        <v>0</v>
      </c>
      <c r="AV162" s="118">
        <f t="shared" si="4"/>
        <v>0</v>
      </c>
      <c r="AW162" s="105">
        <v>0</v>
      </c>
      <c r="AX162" s="118">
        <f t="shared" si="5"/>
        <v>0</v>
      </c>
      <c r="AY162" s="105">
        <v>0</v>
      </c>
      <c r="AZ162" s="127">
        <f t="shared" si="51"/>
        <v>0</v>
      </c>
      <c r="BA162" s="105">
        <v>0</v>
      </c>
      <c r="BB162" s="118">
        <f t="shared" si="7"/>
        <v>0</v>
      </c>
      <c r="BC162" s="105">
        <v>0</v>
      </c>
      <c r="BD162" s="118">
        <f t="shared" si="8"/>
        <v>0</v>
      </c>
      <c r="BE162" s="5">
        <v>0</v>
      </c>
      <c r="BF162" s="127">
        <f t="shared" si="54"/>
        <v>0</v>
      </c>
      <c r="BG162" s="105">
        <v>0</v>
      </c>
      <c r="BH162" s="118">
        <f t="shared" si="50"/>
        <v>0</v>
      </c>
      <c r="BI162" s="5">
        <v>0</v>
      </c>
      <c r="BJ162" s="118">
        <f t="shared" si="11"/>
        <v>0</v>
      </c>
      <c r="BK162" s="5">
        <v>0</v>
      </c>
      <c r="BL162" s="127">
        <f t="shared" si="55"/>
        <v>0</v>
      </c>
      <c r="BM162" s="220" t="s">
        <v>649</v>
      </c>
      <c r="BO162" s="1" t="s">
        <v>578</v>
      </c>
      <c r="BP162" s="233" t="s">
        <v>659</v>
      </c>
      <c r="BQ162" s="233"/>
      <c r="BR162" s="234"/>
    </row>
    <row r="163" spans="1:70">
      <c r="A163" s="219" t="s">
        <v>451</v>
      </c>
      <c r="B163" s="106" t="s">
        <v>244</v>
      </c>
      <c r="C163" s="66" t="s">
        <v>175</v>
      </c>
      <c r="D163" s="284"/>
      <c r="E163" s="77" t="s">
        <v>253</v>
      </c>
      <c r="F163" s="282"/>
      <c r="G163" s="71" t="s">
        <v>202</v>
      </c>
      <c r="H163" s="70" t="s">
        <v>648</v>
      </c>
      <c r="I163" s="70" t="s">
        <v>184</v>
      </c>
      <c r="J163" s="71" t="s">
        <v>567</v>
      </c>
      <c r="K163" s="70" t="s">
        <v>250</v>
      </c>
      <c r="L163" s="69" t="s">
        <v>257</v>
      </c>
      <c r="M163" s="180" t="s">
        <v>608</v>
      </c>
      <c r="N163" s="68">
        <v>15.75</v>
      </c>
      <c r="O163" s="58">
        <v>15.75</v>
      </c>
      <c r="P163" s="144">
        <v>15.75</v>
      </c>
      <c r="Q163" s="144">
        <v>15.75</v>
      </c>
      <c r="R163" s="144">
        <v>15.75</v>
      </c>
      <c r="S163" s="144">
        <v>15.75</v>
      </c>
      <c r="T163" s="144">
        <v>15.75</v>
      </c>
      <c r="U163" s="144">
        <v>15.75</v>
      </c>
      <c r="V163" s="144">
        <v>15.75</v>
      </c>
      <c r="W163" s="144">
        <v>15.75</v>
      </c>
      <c r="X163" s="144">
        <v>15.75</v>
      </c>
      <c r="Y163" s="144">
        <v>15.75</v>
      </c>
      <c r="Z163" s="144">
        <v>15.75</v>
      </c>
      <c r="AA163" s="58">
        <v>15.75</v>
      </c>
      <c r="AB163" s="68">
        <v>0.46</v>
      </c>
      <c r="AC163" s="144">
        <v>0.46</v>
      </c>
      <c r="AD163" s="144">
        <v>0.46</v>
      </c>
      <c r="AE163" s="144">
        <v>0.46</v>
      </c>
      <c r="AF163" s="144">
        <v>0.46</v>
      </c>
      <c r="AG163" s="144">
        <v>0.46</v>
      </c>
      <c r="AH163" s="144">
        <v>0.46</v>
      </c>
      <c r="AI163" s="144">
        <v>0.46</v>
      </c>
      <c r="AJ163" s="144">
        <v>0.46</v>
      </c>
      <c r="AK163" s="144">
        <v>0.46</v>
      </c>
      <c r="AL163" s="144">
        <v>0.46</v>
      </c>
      <c r="AM163" s="144">
        <v>0.46</v>
      </c>
      <c r="AN163" s="153">
        <v>0.46</v>
      </c>
      <c r="AO163" s="105">
        <v>600</v>
      </c>
      <c r="AP163" s="118">
        <f t="shared" si="56"/>
        <v>276</v>
      </c>
      <c r="AQ163" s="105">
        <v>0</v>
      </c>
      <c r="AR163" s="118">
        <f t="shared" si="2"/>
        <v>0</v>
      </c>
      <c r="AS163" s="105">
        <v>0</v>
      </c>
      <c r="AT163" s="127">
        <f t="shared" si="3"/>
        <v>0</v>
      </c>
      <c r="AU163" s="5">
        <v>0</v>
      </c>
      <c r="AV163" s="118">
        <f t="shared" si="4"/>
        <v>0</v>
      </c>
      <c r="AW163" s="105">
        <v>0</v>
      </c>
      <c r="AX163" s="118">
        <f t="shared" si="5"/>
        <v>0</v>
      </c>
      <c r="AY163" s="105">
        <v>0</v>
      </c>
      <c r="AZ163" s="127">
        <f t="shared" si="51"/>
        <v>0</v>
      </c>
      <c r="BA163" s="105">
        <v>0</v>
      </c>
      <c r="BB163" s="118">
        <f t="shared" si="7"/>
        <v>0</v>
      </c>
      <c r="BC163" s="105">
        <v>0</v>
      </c>
      <c r="BD163" s="118">
        <f t="shared" si="8"/>
        <v>0</v>
      </c>
      <c r="BE163" s="5">
        <v>0</v>
      </c>
      <c r="BF163" s="127">
        <f t="shared" si="54"/>
        <v>0</v>
      </c>
      <c r="BG163" s="105">
        <v>0</v>
      </c>
      <c r="BH163" s="118">
        <f t="shared" si="50"/>
        <v>0</v>
      </c>
      <c r="BI163" s="5">
        <v>0</v>
      </c>
      <c r="BJ163" s="118">
        <f t="shared" si="11"/>
        <v>0</v>
      </c>
      <c r="BK163" s="5">
        <v>0</v>
      </c>
      <c r="BL163" s="127">
        <f t="shared" si="55"/>
        <v>0</v>
      </c>
      <c r="BM163" s="220" t="s">
        <v>649</v>
      </c>
      <c r="BO163" s="1" t="s">
        <v>578</v>
      </c>
      <c r="BP163" s="233" t="s">
        <v>660</v>
      </c>
      <c r="BQ163" s="233"/>
      <c r="BR163" s="234"/>
    </row>
    <row r="164" spans="1:70">
      <c r="A164" s="219" t="s">
        <v>451</v>
      </c>
      <c r="B164" s="106" t="s">
        <v>244</v>
      </c>
      <c r="C164" s="66" t="s">
        <v>175</v>
      </c>
      <c r="D164" s="284"/>
      <c r="E164" s="77" t="s">
        <v>253</v>
      </c>
      <c r="F164" s="282"/>
      <c r="G164" s="71" t="s">
        <v>202</v>
      </c>
      <c r="H164" s="70" t="s">
        <v>648</v>
      </c>
      <c r="I164" s="70" t="s">
        <v>184</v>
      </c>
      <c r="J164" s="71" t="s">
        <v>567</v>
      </c>
      <c r="K164" s="70" t="s">
        <v>250</v>
      </c>
      <c r="L164" s="69" t="s">
        <v>257</v>
      </c>
      <c r="M164" s="180" t="s">
        <v>608</v>
      </c>
      <c r="N164" s="68">
        <v>15.75</v>
      </c>
      <c r="O164" s="58">
        <v>15.75</v>
      </c>
      <c r="P164" s="144">
        <v>15.75</v>
      </c>
      <c r="Q164" s="144">
        <v>15.75</v>
      </c>
      <c r="R164" s="144">
        <v>15.75</v>
      </c>
      <c r="S164" s="144">
        <v>15.75</v>
      </c>
      <c r="T164" s="144">
        <v>15.75</v>
      </c>
      <c r="U164" s="144">
        <v>15.75</v>
      </c>
      <c r="V164" s="144">
        <v>15.75</v>
      </c>
      <c r="W164" s="144">
        <v>15.75</v>
      </c>
      <c r="X164" s="144">
        <v>15.75</v>
      </c>
      <c r="Y164" s="144">
        <v>15.75</v>
      </c>
      <c r="Z164" s="144">
        <v>15.75</v>
      </c>
      <c r="AA164" s="58">
        <v>15.75</v>
      </c>
      <c r="AB164" s="68">
        <v>0.46</v>
      </c>
      <c r="AC164" s="144">
        <v>0.46</v>
      </c>
      <c r="AD164" s="144">
        <v>0.46</v>
      </c>
      <c r="AE164" s="144">
        <v>0.46</v>
      </c>
      <c r="AF164" s="144">
        <v>0.46</v>
      </c>
      <c r="AG164" s="144">
        <v>0.46</v>
      </c>
      <c r="AH164" s="144">
        <v>0.46</v>
      </c>
      <c r="AI164" s="144">
        <v>0.46</v>
      </c>
      <c r="AJ164" s="144">
        <v>0.46</v>
      </c>
      <c r="AK164" s="144">
        <v>0.46</v>
      </c>
      <c r="AL164" s="144">
        <v>0.46</v>
      </c>
      <c r="AM164" s="144">
        <v>0.46</v>
      </c>
      <c r="AN164" s="153">
        <v>0.46</v>
      </c>
      <c r="AO164" s="105">
        <v>0</v>
      </c>
      <c r="AP164" s="118">
        <f t="shared" si="56"/>
        <v>0</v>
      </c>
      <c r="AQ164" s="105">
        <v>0</v>
      </c>
      <c r="AR164" s="118">
        <f t="shared" si="2"/>
        <v>0</v>
      </c>
      <c r="AS164" s="105">
        <v>0</v>
      </c>
      <c r="AT164" s="127">
        <f t="shared" si="3"/>
        <v>0</v>
      </c>
      <c r="AU164" s="5">
        <v>0</v>
      </c>
      <c r="AV164" s="118">
        <f t="shared" si="4"/>
        <v>0</v>
      </c>
      <c r="AW164" s="105">
        <v>0</v>
      </c>
      <c r="AX164" s="118">
        <f t="shared" si="5"/>
        <v>0</v>
      </c>
      <c r="AY164" s="105">
        <v>0</v>
      </c>
      <c r="AZ164" s="127">
        <f t="shared" si="51"/>
        <v>0</v>
      </c>
      <c r="BA164" s="105">
        <v>0</v>
      </c>
      <c r="BB164" s="118">
        <f t="shared" si="7"/>
        <v>0</v>
      </c>
      <c r="BC164" s="105">
        <v>0</v>
      </c>
      <c r="BD164" s="118">
        <f t="shared" si="8"/>
        <v>0</v>
      </c>
      <c r="BE164" s="5">
        <v>0</v>
      </c>
      <c r="BF164" s="127">
        <f t="shared" si="54"/>
        <v>0</v>
      </c>
      <c r="BG164" s="105">
        <v>0</v>
      </c>
      <c r="BH164" s="118">
        <f t="shared" ref="BH164:BH227" si="57">AL164*BG164</f>
        <v>0</v>
      </c>
      <c r="BI164" s="5">
        <v>0</v>
      </c>
      <c r="BJ164" s="118">
        <f t="shared" si="11"/>
        <v>0</v>
      </c>
      <c r="BK164" s="5">
        <v>0</v>
      </c>
      <c r="BL164" s="127">
        <f t="shared" si="55"/>
        <v>0</v>
      </c>
      <c r="BM164" s="220" t="s">
        <v>649</v>
      </c>
      <c r="BO164" s="1" t="s">
        <v>578</v>
      </c>
      <c r="BP164" s="233" t="s">
        <v>661</v>
      </c>
      <c r="BQ164" s="233"/>
      <c r="BR164" s="234"/>
    </row>
    <row r="165" spans="1:70">
      <c r="A165" s="219" t="s">
        <v>451</v>
      </c>
      <c r="B165" s="106" t="s">
        <v>244</v>
      </c>
      <c r="C165" s="66" t="s">
        <v>175</v>
      </c>
      <c r="D165" s="284"/>
      <c r="E165" s="77" t="s">
        <v>253</v>
      </c>
      <c r="F165" s="282"/>
      <c r="G165" s="71" t="s">
        <v>202</v>
      </c>
      <c r="H165" s="70" t="s">
        <v>648</v>
      </c>
      <c r="I165" s="70" t="s">
        <v>184</v>
      </c>
      <c r="J165" s="71" t="s">
        <v>567</v>
      </c>
      <c r="K165" s="70" t="s">
        <v>250</v>
      </c>
      <c r="L165" s="69" t="s">
        <v>257</v>
      </c>
      <c r="M165" s="180" t="s">
        <v>608</v>
      </c>
      <c r="N165" s="68">
        <v>15.75</v>
      </c>
      <c r="O165" s="58">
        <v>15.75</v>
      </c>
      <c r="P165" s="144">
        <v>15.75</v>
      </c>
      <c r="Q165" s="144">
        <v>15.75</v>
      </c>
      <c r="R165" s="144">
        <v>15.75</v>
      </c>
      <c r="S165" s="144">
        <v>15.75</v>
      </c>
      <c r="T165" s="144">
        <v>15.75</v>
      </c>
      <c r="U165" s="144">
        <v>15.75</v>
      </c>
      <c r="V165" s="144">
        <v>15.75</v>
      </c>
      <c r="W165" s="144">
        <v>15.75</v>
      </c>
      <c r="X165" s="144">
        <v>15.75</v>
      </c>
      <c r="Y165" s="144">
        <v>15.75</v>
      </c>
      <c r="Z165" s="144">
        <v>15.75</v>
      </c>
      <c r="AA165" s="58">
        <v>15.75</v>
      </c>
      <c r="AB165" s="68">
        <v>0.46</v>
      </c>
      <c r="AC165" s="144">
        <v>0.46</v>
      </c>
      <c r="AD165" s="144">
        <v>0.46</v>
      </c>
      <c r="AE165" s="144">
        <v>0.46</v>
      </c>
      <c r="AF165" s="144">
        <v>0.46</v>
      </c>
      <c r="AG165" s="144">
        <v>0.46</v>
      </c>
      <c r="AH165" s="144">
        <v>0.46</v>
      </c>
      <c r="AI165" s="144">
        <v>0.46</v>
      </c>
      <c r="AJ165" s="144">
        <v>0.46</v>
      </c>
      <c r="AK165" s="144">
        <v>0.46</v>
      </c>
      <c r="AL165" s="144">
        <v>0.46</v>
      </c>
      <c r="AM165" s="144">
        <v>0.46</v>
      </c>
      <c r="AN165" s="153">
        <v>0.46</v>
      </c>
      <c r="AO165" s="105">
        <v>0</v>
      </c>
      <c r="AP165" s="118">
        <f t="shared" si="56"/>
        <v>0</v>
      </c>
      <c r="AQ165" s="105">
        <v>0</v>
      </c>
      <c r="AR165" s="118">
        <f t="shared" si="2"/>
        <v>0</v>
      </c>
      <c r="AS165" s="105">
        <v>0</v>
      </c>
      <c r="AT165" s="127">
        <f t="shared" si="3"/>
        <v>0</v>
      </c>
      <c r="AU165" s="5">
        <v>0</v>
      </c>
      <c r="AV165" s="118">
        <f t="shared" si="4"/>
        <v>0</v>
      </c>
      <c r="AW165" s="105">
        <v>0</v>
      </c>
      <c r="AX165" s="118">
        <f t="shared" si="5"/>
        <v>0</v>
      </c>
      <c r="AY165" s="105">
        <v>0</v>
      </c>
      <c r="AZ165" s="127">
        <f t="shared" si="51"/>
        <v>0</v>
      </c>
      <c r="BA165" s="105">
        <v>0</v>
      </c>
      <c r="BB165" s="118">
        <f t="shared" si="7"/>
        <v>0</v>
      </c>
      <c r="BC165" s="105">
        <v>0</v>
      </c>
      <c r="BD165" s="118">
        <f t="shared" si="8"/>
        <v>0</v>
      </c>
      <c r="BE165" s="5">
        <v>0</v>
      </c>
      <c r="BF165" s="127">
        <f t="shared" si="54"/>
        <v>0</v>
      </c>
      <c r="BG165" s="105">
        <v>0</v>
      </c>
      <c r="BH165" s="118">
        <f t="shared" si="57"/>
        <v>0</v>
      </c>
      <c r="BI165" s="5">
        <v>0</v>
      </c>
      <c r="BJ165" s="118">
        <f t="shared" si="11"/>
        <v>0</v>
      </c>
      <c r="BK165" s="5">
        <v>0</v>
      </c>
      <c r="BL165" s="127">
        <f t="shared" si="55"/>
        <v>0</v>
      </c>
      <c r="BM165" s="220" t="s">
        <v>649</v>
      </c>
      <c r="BO165" s="1" t="s">
        <v>578</v>
      </c>
      <c r="BP165" s="233" t="s">
        <v>662</v>
      </c>
      <c r="BQ165" s="233"/>
      <c r="BR165" s="234"/>
    </row>
    <row r="166" spans="1:70">
      <c r="A166" s="219" t="s">
        <v>451</v>
      </c>
      <c r="B166" s="106" t="s">
        <v>244</v>
      </c>
      <c r="C166" s="66" t="s">
        <v>175</v>
      </c>
      <c r="D166" s="284"/>
      <c r="E166" s="77" t="s">
        <v>253</v>
      </c>
      <c r="F166" s="282"/>
      <c r="G166" s="71" t="s">
        <v>202</v>
      </c>
      <c r="H166" s="70" t="s">
        <v>648</v>
      </c>
      <c r="I166" s="70" t="s">
        <v>184</v>
      </c>
      <c r="J166" s="71" t="s">
        <v>567</v>
      </c>
      <c r="K166" s="70" t="s">
        <v>250</v>
      </c>
      <c r="L166" s="69" t="s">
        <v>257</v>
      </c>
      <c r="M166" s="180" t="s">
        <v>608</v>
      </c>
      <c r="N166" s="68">
        <v>15.75</v>
      </c>
      <c r="O166" s="58">
        <v>15.75</v>
      </c>
      <c r="P166" s="144">
        <v>15.75</v>
      </c>
      <c r="Q166" s="144">
        <v>15.75</v>
      </c>
      <c r="R166" s="144">
        <v>15.75</v>
      </c>
      <c r="S166" s="144">
        <v>15.75</v>
      </c>
      <c r="T166" s="144">
        <v>15.75</v>
      </c>
      <c r="U166" s="144">
        <v>15.75</v>
      </c>
      <c r="V166" s="144">
        <v>15.75</v>
      </c>
      <c r="W166" s="144">
        <v>15.75</v>
      </c>
      <c r="X166" s="144">
        <v>15.75</v>
      </c>
      <c r="Y166" s="144">
        <v>15.75</v>
      </c>
      <c r="Z166" s="144">
        <v>15.75</v>
      </c>
      <c r="AA166" s="58">
        <v>15.75</v>
      </c>
      <c r="AB166" s="68">
        <v>0.46</v>
      </c>
      <c r="AC166" s="144">
        <v>0.46</v>
      </c>
      <c r="AD166" s="144">
        <v>0.46</v>
      </c>
      <c r="AE166" s="144">
        <v>0.46</v>
      </c>
      <c r="AF166" s="144">
        <v>0.46</v>
      </c>
      <c r="AG166" s="144">
        <v>0.46</v>
      </c>
      <c r="AH166" s="144">
        <v>0.46</v>
      </c>
      <c r="AI166" s="144">
        <v>0.46</v>
      </c>
      <c r="AJ166" s="144">
        <v>0.46</v>
      </c>
      <c r="AK166" s="144">
        <v>0.46</v>
      </c>
      <c r="AL166" s="144">
        <v>0.46</v>
      </c>
      <c r="AM166" s="144">
        <v>0.46</v>
      </c>
      <c r="AN166" s="153">
        <v>0.46</v>
      </c>
      <c r="AO166" s="105">
        <v>0</v>
      </c>
      <c r="AP166" s="118">
        <f t="shared" si="56"/>
        <v>0</v>
      </c>
      <c r="AQ166" s="105">
        <v>0</v>
      </c>
      <c r="AR166" s="118">
        <f t="shared" si="2"/>
        <v>0</v>
      </c>
      <c r="AS166" s="105">
        <v>0</v>
      </c>
      <c r="AT166" s="127">
        <f t="shared" si="3"/>
        <v>0</v>
      </c>
      <c r="AU166" s="5">
        <v>0</v>
      </c>
      <c r="AV166" s="118">
        <f t="shared" si="4"/>
        <v>0</v>
      </c>
      <c r="AW166" s="105">
        <v>0</v>
      </c>
      <c r="AX166" s="118">
        <f t="shared" si="5"/>
        <v>0</v>
      </c>
      <c r="AY166" s="105">
        <v>0</v>
      </c>
      <c r="AZ166" s="127">
        <f t="shared" si="51"/>
        <v>0</v>
      </c>
      <c r="BA166" s="105">
        <v>0</v>
      </c>
      <c r="BB166" s="118">
        <f t="shared" si="7"/>
        <v>0</v>
      </c>
      <c r="BC166" s="105">
        <v>0</v>
      </c>
      <c r="BD166" s="118">
        <f t="shared" si="8"/>
        <v>0</v>
      </c>
      <c r="BE166" s="5">
        <v>0</v>
      </c>
      <c r="BF166" s="127">
        <f t="shared" si="54"/>
        <v>0</v>
      </c>
      <c r="BG166" s="105">
        <v>0</v>
      </c>
      <c r="BH166" s="118">
        <f t="shared" si="57"/>
        <v>0</v>
      </c>
      <c r="BI166" s="5">
        <v>0</v>
      </c>
      <c r="BJ166" s="118">
        <f t="shared" si="11"/>
        <v>0</v>
      </c>
      <c r="BK166" s="5">
        <v>0</v>
      </c>
      <c r="BL166" s="127">
        <f t="shared" si="55"/>
        <v>0</v>
      </c>
      <c r="BM166" s="220" t="s">
        <v>649</v>
      </c>
      <c r="BO166" s="1" t="s">
        <v>578</v>
      </c>
      <c r="BP166" s="233" t="s">
        <v>663</v>
      </c>
      <c r="BQ166" s="233"/>
      <c r="BR166" s="234"/>
    </row>
    <row r="167" spans="1:70">
      <c r="A167" s="219" t="s">
        <v>451</v>
      </c>
      <c r="B167" s="106" t="s">
        <v>244</v>
      </c>
      <c r="C167" s="66" t="s">
        <v>175</v>
      </c>
      <c r="D167" s="284"/>
      <c r="E167" s="77" t="s">
        <v>253</v>
      </c>
      <c r="F167" s="282"/>
      <c r="G167" s="71" t="s">
        <v>202</v>
      </c>
      <c r="H167" s="70" t="s">
        <v>648</v>
      </c>
      <c r="I167" s="70" t="s">
        <v>184</v>
      </c>
      <c r="J167" s="71" t="s">
        <v>567</v>
      </c>
      <c r="K167" s="70" t="s">
        <v>250</v>
      </c>
      <c r="L167" s="69" t="s">
        <v>257</v>
      </c>
      <c r="M167" s="180" t="s">
        <v>608</v>
      </c>
      <c r="N167" s="68">
        <v>15.75</v>
      </c>
      <c r="O167" s="58">
        <v>15.75</v>
      </c>
      <c r="P167" s="144">
        <v>15.75</v>
      </c>
      <c r="Q167" s="144">
        <v>15.75</v>
      </c>
      <c r="R167" s="144">
        <v>15.75</v>
      </c>
      <c r="S167" s="144">
        <v>15.75</v>
      </c>
      <c r="T167" s="144">
        <v>15.75</v>
      </c>
      <c r="U167" s="144">
        <v>15.75</v>
      </c>
      <c r="V167" s="144">
        <v>15.75</v>
      </c>
      <c r="W167" s="144">
        <v>15.75</v>
      </c>
      <c r="X167" s="144">
        <v>15.75</v>
      </c>
      <c r="Y167" s="144">
        <v>15.75</v>
      </c>
      <c r="Z167" s="144">
        <v>15.75</v>
      </c>
      <c r="AA167" s="58">
        <v>15.75</v>
      </c>
      <c r="AB167" s="68">
        <v>0.46</v>
      </c>
      <c r="AC167" s="144">
        <v>0.46</v>
      </c>
      <c r="AD167" s="144">
        <v>0.46</v>
      </c>
      <c r="AE167" s="144">
        <v>0.46</v>
      </c>
      <c r="AF167" s="144">
        <v>0.46</v>
      </c>
      <c r="AG167" s="144">
        <v>0.46</v>
      </c>
      <c r="AH167" s="144">
        <v>0.46</v>
      </c>
      <c r="AI167" s="144">
        <v>0.46</v>
      </c>
      <c r="AJ167" s="144">
        <v>0.46</v>
      </c>
      <c r="AK167" s="144">
        <v>0.46</v>
      </c>
      <c r="AL167" s="144">
        <v>0.46</v>
      </c>
      <c r="AM167" s="144">
        <v>0.46</v>
      </c>
      <c r="AN167" s="153">
        <v>0.46</v>
      </c>
      <c r="AO167" s="105">
        <v>0</v>
      </c>
      <c r="AP167" s="118">
        <f t="shared" si="56"/>
        <v>0</v>
      </c>
      <c r="AQ167" s="105">
        <v>0</v>
      </c>
      <c r="AR167" s="118">
        <f t="shared" si="2"/>
        <v>0</v>
      </c>
      <c r="AS167" s="105">
        <v>0</v>
      </c>
      <c r="AT167" s="127">
        <f t="shared" si="3"/>
        <v>0</v>
      </c>
      <c r="AU167" s="5">
        <v>0</v>
      </c>
      <c r="AV167" s="118">
        <f t="shared" si="4"/>
        <v>0</v>
      </c>
      <c r="AW167" s="105">
        <v>0</v>
      </c>
      <c r="AX167" s="118">
        <f t="shared" si="5"/>
        <v>0</v>
      </c>
      <c r="AY167" s="105">
        <v>0</v>
      </c>
      <c r="AZ167" s="127">
        <f t="shared" si="51"/>
        <v>0</v>
      </c>
      <c r="BA167" s="105">
        <v>0</v>
      </c>
      <c r="BB167" s="118">
        <f t="shared" si="7"/>
        <v>0</v>
      </c>
      <c r="BC167" s="105">
        <v>0</v>
      </c>
      <c r="BD167" s="118">
        <f t="shared" si="8"/>
        <v>0</v>
      </c>
      <c r="BE167" s="5">
        <v>0</v>
      </c>
      <c r="BF167" s="127">
        <f t="shared" si="54"/>
        <v>0</v>
      </c>
      <c r="BG167" s="105">
        <v>0</v>
      </c>
      <c r="BH167" s="118">
        <f t="shared" si="57"/>
        <v>0</v>
      </c>
      <c r="BI167" s="5">
        <v>0</v>
      </c>
      <c r="BJ167" s="118">
        <f t="shared" si="11"/>
        <v>0</v>
      </c>
      <c r="BK167" s="5">
        <v>0</v>
      </c>
      <c r="BL167" s="127">
        <f t="shared" si="55"/>
        <v>0</v>
      </c>
      <c r="BM167" s="220" t="s">
        <v>649</v>
      </c>
      <c r="BO167" s="1" t="s">
        <v>578</v>
      </c>
      <c r="BP167" s="233" t="s">
        <v>664</v>
      </c>
      <c r="BQ167" s="233"/>
      <c r="BR167" s="234"/>
    </row>
    <row r="168" spans="1:70">
      <c r="A168" s="219" t="s">
        <v>451</v>
      </c>
      <c r="B168" s="106" t="s">
        <v>244</v>
      </c>
      <c r="C168" s="66" t="s">
        <v>175</v>
      </c>
      <c r="D168" s="284"/>
      <c r="E168" s="77" t="s">
        <v>253</v>
      </c>
      <c r="F168" s="282"/>
      <c r="G168" s="71" t="s">
        <v>202</v>
      </c>
      <c r="H168" s="70" t="s">
        <v>648</v>
      </c>
      <c r="I168" s="70" t="s">
        <v>184</v>
      </c>
      <c r="J168" s="71" t="s">
        <v>567</v>
      </c>
      <c r="K168" s="70" t="s">
        <v>250</v>
      </c>
      <c r="L168" s="69" t="s">
        <v>257</v>
      </c>
      <c r="M168" s="180" t="s">
        <v>608</v>
      </c>
      <c r="N168" s="68">
        <v>15.75</v>
      </c>
      <c r="O168" s="58">
        <v>15.75</v>
      </c>
      <c r="P168" s="144">
        <v>15.75</v>
      </c>
      <c r="Q168" s="144">
        <v>15.75</v>
      </c>
      <c r="R168" s="144">
        <v>15.75</v>
      </c>
      <c r="S168" s="144">
        <v>15.75</v>
      </c>
      <c r="T168" s="144">
        <v>15.75</v>
      </c>
      <c r="U168" s="144">
        <v>15.75</v>
      </c>
      <c r="V168" s="144">
        <v>15.75</v>
      </c>
      <c r="W168" s="144">
        <v>15.75</v>
      </c>
      <c r="X168" s="144">
        <v>15.75</v>
      </c>
      <c r="Y168" s="144">
        <v>15.75</v>
      </c>
      <c r="Z168" s="144">
        <v>15.75</v>
      </c>
      <c r="AA168" s="58">
        <v>15.75</v>
      </c>
      <c r="AB168" s="68">
        <v>0.46</v>
      </c>
      <c r="AC168" s="144">
        <v>0.46</v>
      </c>
      <c r="AD168" s="144">
        <v>0.46</v>
      </c>
      <c r="AE168" s="144">
        <v>0.46</v>
      </c>
      <c r="AF168" s="144">
        <v>0.46</v>
      </c>
      <c r="AG168" s="144">
        <v>0.46</v>
      </c>
      <c r="AH168" s="144">
        <v>0.46</v>
      </c>
      <c r="AI168" s="144">
        <v>0.46</v>
      </c>
      <c r="AJ168" s="144">
        <v>0.46</v>
      </c>
      <c r="AK168" s="144">
        <v>0.46</v>
      </c>
      <c r="AL168" s="144">
        <v>0.46</v>
      </c>
      <c r="AM168" s="144">
        <v>0.46</v>
      </c>
      <c r="AN168" s="153">
        <v>0.46</v>
      </c>
      <c r="AO168" s="105">
        <v>400</v>
      </c>
      <c r="AP168" s="118">
        <f t="shared" si="56"/>
        <v>184</v>
      </c>
      <c r="AQ168" s="105">
        <v>0</v>
      </c>
      <c r="AR168" s="118">
        <f t="shared" si="2"/>
        <v>0</v>
      </c>
      <c r="AS168" s="105">
        <v>0</v>
      </c>
      <c r="AT168" s="127">
        <f t="shared" si="3"/>
        <v>0</v>
      </c>
      <c r="AU168" s="5">
        <v>0</v>
      </c>
      <c r="AV168" s="118">
        <f t="shared" si="4"/>
        <v>0</v>
      </c>
      <c r="AW168" s="105">
        <v>0</v>
      </c>
      <c r="AX168" s="118">
        <f t="shared" si="5"/>
        <v>0</v>
      </c>
      <c r="AY168" s="105">
        <v>0</v>
      </c>
      <c r="AZ168" s="127">
        <f t="shared" si="51"/>
        <v>0</v>
      </c>
      <c r="BA168" s="105">
        <v>0</v>
      </c>
      <c r="BB168" s="118">
        <f t="shared" si="7"/>
        <v>0</v>
      </c>
      <c r="BC168" s="105">
        <v>0</v>
      </c>
      <c r="BD168" s="118">
        <f t="shared" si="8"/>
        <v>0</v>
      </c>
      <c r="BE168" s="5">
        <v>0</v>
      </c>
      <c r="BF168" s="127">
        <f t="shared" si="54"/>
        <v>0</v>
      </c>
      <c r="BG168" s="105">
        <v>0</v>
      </c>
      <c r="BH168" s="118">
        <f t="shared" si="57"/>
        <v>0</v>
      </c>
      <c r="BI168" s="5">
        <v>0</v>
      </c>
      <c r="BJ168" s="118">
        <f t="shared" si="11"/>
        <v>0</v>
      </c>
      <c r="BK168" s="5">
        <v>0</v>
      </c>
      <c r="BL168" s="127">
        <f t="shared" si="55"/>
        <v>0</v>
      </c>
      <c r="BM168" s="220" t="s">
        <v>649</v>
      </c>
      <c r="BO168" s="1" t="s">
        <v>578</v>
      </c>
      <c r="BP168" s="233" t="s">
        <v>665</v>
      </c>
      <c r="BQ168" s="233"/>
      <c r="BR168" s="234"/>
    </row>
    <row r="169" spans="1:70">
      <c r="A169" s="219" t="s">
        <v>451</v>
      </c>
      <c r="B169" s="106" t="s">
        <v>244</v>
      </c>
      <c r="C169" s="66" t="s">
        <v>175</v>
      </c>
      <c r="D169" s="284"/>
      <c r="E169" s="77" t="s">
        <v>253</v>
      </c>
      <c r="F169" s="282"/>
      <c r="G169" s="71" t="s">
        <v>202</v>
      </c>
      <c r="H169" s="70" t="s">
        <v>648</v>
      </c>
      <c r="I169" s="70" t="s">
        <v>184</v>
      </c>
      <c r="J169" s="71" t="s">
        <v>567</v>
      </c>
      <c r="K169" s="70" t="s">
        <v>250</v>
      </c>
      <c r="L169" s="69" t="s">
        <v>257</v>
      </c>
      <c r="M169" s="180" t="s">
        <v>608</v>
      </c>
      <c r="N169" s="68">
        <v>15.75</v>
      </c>
      <c r="O169" s="58">
        <v>15.75</v>
      </c>
      <c r="P169" s="144">
        <v>15.75</v>
      </c>
      <c r="Q169" s="144">
        <v>15.75</v>
      </c>
      <c r="R169" s="144">
        <v>15.75</v>
      </c>
      <c r="S169" s="144">
        <v>15.75</v>
      </c>
      <c r="T169" s="144">
        <v>15.75</v>
      </c>
      <c r="U169" s="144">
        <v>15.75</v>
      </c>
      <c r="V169" s="144">
        <v>15.75</v>
      </c>
      <c r="W169" s="144">
        <v>15.75</v>
      </c>
      <c r="X169" s="144">
        <v>15.75</v>
      </c>
      <c r="Y169" s="144">
        <v>15.75</v>
      </c>
      <c r="Z169" s="144">
        <v>15.75</v>
      </c>
      <c r="AA169" s="58">
        <v>15.75</v>
      </c>
      <c r="AB169" s="68">
        <v>0.46</v>
      </c>
      <c r="AC169" s="144">
        <v>0.46</v>
      </c>
      <c r="AD169" s="144">
        <v>0.46</v>
      </c>
      <c r="AE169" s="144">
        <v>0.46</v>
      </c>
      <c r="AF169" s="144">
        <v>0.46</v>
      </c>
      <c r="AG169" s="144">
        <v>0.46</v>
      </c>
      <c r="AH169" s="144">
        <v>0.46</v>
      </c>
      <c r="AI169" s="144">
        <v>0.46</v>
      </c>
      <c r="AJ169" s="144">
        <v>0.46</v>
      </c>
      <c r="AK169" s="144">
        <v>0.46</v>
      </c>
      <c r="AL169" s="144">
        <v>0.46</v>
      </c>
      <c r="AM169" s="144">
        <v>0.46</v>
      </c>
      <c r="AN169" s="153">
        <v>0.46</v>
      </c>
      <c r="AO169" s="105">
        <v>0</v>
      </c>
      <c r="AP169" s="118">
        <f t="shared" si="56"/>
        <v>0</v>
      </c>
      <c r="AQ169" s="105">
        <v>0</v>
      </c>
      <c r="AR169" s="118">
        <f t="shared" si="2"/>
        <v>0</v>
      </c>
      <c r="AS169" s="105">
        <v>0</v>
      </c>
      <c r="AT169" s="127">
        <f t="shared" si="3"/>
        <v>0</v>
      </c>
      <c r="AU169" s="5">
        <v>0</v>
      </c>
      <c r="AV169" s="118">
        <f t="shared" si="4"/>
        <v>0</v>
      </c>
      <c r="AW169" s="105">
        <v>0</v>
      </c>
      <c r="AX169" s="118">
        <f t="shared" si="5"/>
        <v>0</v>
      </c>
      <c r="AY169" s="105">
        <v>0</v>
      </c>
      <c r="AZ169" s="127">
        <f t="shared" si="51"/>
        <v>0</v>
      </c>
      <c r="BA169" s="105">
        <v>0</v>
      </c>
      <c r="BB169" s="118">
        <f t="shared" si="7"/>
        <v>0</v>
      </c>
      <c r="BC169" s="105">
        <v>0</v>
      </c>
      <c r="BD169" s="118">
        <f t="shared" si="8"/>
        <v>0</v>
      </c>
      <c r="BE169" s="5">
        <v>0</v>
      </c>
      <c r="BF169" s="127">
        <f t="shared" si="54"/>
        <v>0</v>
      </c>
      <c r="BG169" s="105">
        <v>0</v>
      </c>
      <c r="BH169" s="118">
        <f t="shared" si="57"/>
        <v>0</v>
      </c>
      <c r="BI169" s="5">
        <v>0</v>
      </c>
      <c r="BJ169" s="118">
        <f t="shared" si="11"/>
        <v>0</v>
      </c>
      <c r="BK169" s="5">
        <v>0</v>
      </c>
      <c r="BL169" s="127">
        <f t="shared" si="55"/>
        <v>0</v>
      </c>
      <c r="BM169" s="220" t="s">
        <v>649</v>
      </c>
      <c r="BO169" s="1" t="s">
        <v>578</v>
      </c>
      <c r="BP169" s="233" t="s">
        <v>666</v>
      </c>
      <c r="BQ169" s="233"/>
      <c r="BR169" s="234"/>
    </row>
    <row r="170" spans="1:70">
      <c r="A170" s="219" t="s">
        <v>451</v>
      </c>
      <c r="B170" s="106" t="s">
        <v>244</v>
      </c>
      <c r="C170" s="66" t="s">
        <v>175</v>
      </c>
      <c r="D170" s="284"/>
      <c r="E170" s="77" t="s">
        <v>253</v>
      </c>
      <c r="F170" s="282"/>
      <c r="G170" s="71" t="s">
        <v>202</v>
      </c>
      <c r="H170" s="70" t="s">
        <v>648</v>
      </c>
      <c r="I170" s="70" t="s">
        <v>184</v>
      </c>
      <c r="J170" s="71" t="s">
        <v>567</v>
      </c>
      <c r="K170" s="70" t="s">
        <v>250</v>
      </c>
      <c r="L170" s="69" t="s">
        <v>257</v>
      </c>
      <c r="M170" s="180" t="s">
        <v>608</v>
      </c>
      <c r="N170" s="68">
        <v>15.75</v>
      </c>
      <c r="O170" s="58">
        <v>15.75</v>
      </c>
      <c r="P170" s="144">
        <v>15.75</v>
      </c>
      <c r="Q170" s="144">
        <v>15.75</v>
      </c>
      <c r="R170" s="144">
        <v>15.75</v>
      </c>
      <c r="S170" s="144">
        <v>15.75</v>
      </c>
      <c r="T170" s="144">
        <v>15.75</v>
      </c>
      <c r="U170" s="144">
        <v>15.75</v>
      </c>
      <c r="V170" s="144">
        <v>15.75</v>
      </c>
      <c r="W170" s="144">
        <v>15.75</v>
      </c>
      <c r="X170" s="144">
        <v>15.75</v>
      </c>
      <c r="Y170" s="144">
        <v>15.75</v>
      </c>
      <c r="Z170" s="144">
        <v>15.75</v>
      </c>
      <c r="AA170" s="58">
        <v>15.75</v>
      </c>
      <c r="AB170" s="68">
        <v>0.46</v>
      </c>
      <c r="AC170" s="144">
        <v>0.46</v>
      </c>
      <c r="AD170" s="144">
        <v>0.46</v>
      </c>
      <c r="AE170" s="144">
        <v>0.46</v>
      </c>
      <c r="AF170" s="144">
        <v>0.46</v>
      </c>
      <c r="AG170" s="144">
        <v>0.46</v>
      </c>
      <c r="AH170" s="144">
        <v>0.46</v>
      </c>
      <c r="AI170" s="144">
        <v>0.46</v>
      </c>
      <c r="AJ170" s="144">
        <v>0.46</v>
      </c>
      <c r="AK170" s="144">
        <v>0.46</v>
      </c>
      <c r="AL170" s="144">
        <v>0.46</v>
      </c>
      <c r="AM170" s="144">
        <v>0.46</v>
      </c>
      <c r="AN170" s="153">
        <v>0.46</v>
      </c>
      <c r="AO170" s="105">
        <v>0</v>
      </c>
      <c r="AP170" s="118">
        <f t="shared" si="56"/>
        <v>0</v>
      </c>
      <c r="AQ170" s="105">
        <v>0</v>
      </c>
      <c r="AR170" s="118">
        <f t="shared" si="2"/>
        <v>0</v>
      </c>
      <c r="AS170" s="105">
        <v>0</v>
      </c>
      <c r="AT170" s="127">
        <f t="shared" si="3"/>
        <v>0</v>
      </c>
      <c r="AU170" s="5">
        <v>0</v>
      </c>
      <c r="AV170" s="118">
        <f t="shared" si="4"/>
        <v>0</v>
      </c>
      <c r="AW170" s="105">
        <v>0</v>
      </c>
      <c r="AX170" s="118">
        <f t="shared" si="5"/>
        <v>0</v>
      </c>
      <c r="AY170" s="105">
        <v>200</v>
      </c>
      <c r="AZ170" s="127">
        <f t="shared" si="51"/>
        <v>92</v>
      </c>
      <c r="BA170" s="105">
        <v>0</v>
      </c>
      <c r="BB170" s="118">
        <f t="shared" si="7"/>
        <v>0</v>
      </c>
      <c r="BC170" s="105">
        <v>0</v>
      </c>
      <c r="BD170" s="118">
        <f t="shared" si="8"/>
        <v>0</v>
      </c>
      <c r="BE170" s="5">
        <v>0</v>
      </c>
      <c r="BF170" s="127">
        <f t="shared" si="54"/>
        <v>0</v>
      </c>
      <c r="BG170" s="105">
        <v>0</v>
      </c>
      <c r="BH170" s="118">
        <f t="shared" si="57"/>
        <v>0</v>
      </c>
      <c r="BI170" s="5">
        <v>0</v>
      </c>
      <c r="BJ170" s="118">
        <f t="shared" si="11"/>
        <v>0</v>
      </c>
      <c r="BK170" s="5">
        <v>0</v>
      </c>
      <c r="BL170" s="127">
        <f t="shared" si="55"/>
        <v>0</v>
      </c>
      <c r="BM170" s="220" t="s">
        <v>649</v>
      </c>
      <c r="BO170" s="1" t="s">
        <v>578</v>
      </c>
      <c r="BP170" s="233" t="s">
        <v>667</v>
      </c>
      <c r="BQ170" s="233"/>
      <c r="BR170" s="234"/>
    </row>
    <row r="171" spans="1:70">
      <c r="A171" s="219" t="s">
        <v>451</v>
      </c>
      <c r="B171" s="106" t="s">
        <v>244</v>
      </c>
      <c r="C171" s="66" t="s">
        <v>175</v>
      </c>
      <c r="D171" s="284"/>
      <c r="E171" s="77" t="s">
        <v>253</v>
      </c>
      <c r="F171" s="282"/>
      <c r="G171" s="71" t="s">
        <v>202</v>
      </c>
      <c r="H171" s="70" t="s">
        <v>648</v>
      </c>
      <c r="I171" s="70" t="s">
        <v>184</v>
      </c>
      <c r="J171" s="71" t="s">
        <v>567</v>
      </c>
      <c r="K171" s="70" t="s">
        <v>250</v>
      </c>
      <c r="L171" s="69" t="s">
        <v>257</v>
      </c>
      <c r="M171" s="180" t="s">
        <v>608</v>
      </c>
      <c r="N171" s="68">
        <v>15.75</v>
      </c>
      <c r="O171" s="58">
        <v>15.75</v>
      </c>
      <c r="P171" s="144">
        <v>15.75</v>
      </c>
      <c r="Q171" s="144">
        <v>15.75</v>
      </c>
      <c r="R171" s="144">
        <v>15.75</v>
      </c>
      <c r="S171" s="144">
        <v>15.75</v>
      </c>
      <c r="T171" s="144">
        <v>15.75</v>
      </c>
      <c r="U171" s="144">
        <v>15.75</v>
      </c>
      <c r="V171" s="144">
        <v>15.75</v>
      </c>
      <c r="W171" s="144">
        <v>15.75</v>
      </c>
      <c r="X171" s="144">
        <v>15.75</v>
      </c>
      <c r="Y171" s="144">
        <v>15.75</v>
      </c>
      <c r="Z171" s="144">
        <v>15.75</v>
      </c>
      <c r="AA171" s="58">
        <v>15.75</v>
      </c>
      <c r="AB171" s="68">
        <v>0.46</v>
      </c>
      <c r="AC171" s="144">
        <v>0.46</v>
      </c>
      <c r="AD171" s="144">
        <v>0.46</v>
      </c>
      <c r="AE171" s="144">
        <v>0.46</v>
      </c>
      <c r="AF171" s="144">
        <v>0.46</v>
      </c>
      <c r="AG171" s="144">
        <v>0.46</v>
      </c>
      <c r="AH171" s="144">
        <v>0.46</v>
      </c>
      <c r="AI171" s="144">
        <v>0.46</v>
      </c>
      <c r="AJ171" s="144">
        <v>0.46</v>
      </c>
      <c r="AK171" s="144">
        <v>0.46</v>
      </c>
      <c r="AL171" s="144">
        <v>0.46</v>
      </c>
      <c r="AM171" s="144">
        <v>0.46</v>
      </c>
      <c r="AN171" s="153">
        <v>0.46</v>
      </c>
      <c r="AO171" s="105">
        <v>0</v>
      </c>
      <c r="AP171" s="118">
        <f t="shared" si="56"/>
        <v>0</v>
      </c>
      <c r="AQ171" s="105">
        <v>0</v>
      </c>
      <c r="AR171" s="118">
        <f t="shared" si="2"/>
        <v>0</v>
      </c>
      <c r="AS171" s="105">
        <v>0</v>
      </c>
      <c r="AT171" s="127">
        <f t="shared" si="3"/>
        <v>0</v>
      </c>
      <c r="AU171" s="5">
        <v>0</v>
      </c>
      <c r="AV171" s="118">
        <f t="shared" si="4"/>
        <v>0</v>
      </c>
      <c r="AW171" s="105">
        <v>0</v>
      </c>
      <c r="AX171" s="118">
        <f t="shared" si="5"/>
        <v>0</v>
      </c>
      <c r="AY171" s="105">
        <v>0</v>
      </c>
      <c r="AZ171" s="127">
        <f t="shared" si="51"/>
        <v>0</v>
      </c>
      <c r="BA171" s="105">
        <v>0</v>
      </c>
      <c r="BB171" s="118">
        <f t="shared" si="7"/>
        <v>0</v>
      </c>
      <c r="BC171" s="105">
        <v>0</v>
      </c>
      <c r="BD171" s="118">
        <f t="shared" si="8"/>
        <v>0</v>
      </c>
      <c r="BE171" s="5">
        <v>0</v>
      </c>
      <c r="BF171" s="127">
        <f t="shared" si="54"/>
        <v>0</v>
      </c>
      <c r="BG171" s="105">
        <v>0</v>
      </c>
      <c r="BH171" s="118">
        <f t="shared" si="57"/>
        <v>0</v>
      </c>
      <c r="BI171" s="5">
        <v>0</v>
      </c>
      <c r="BJ171" s="118">
        <f t="shared" si="11"/>
        <v>0</v>
      </c>
      <c r="BK171" s="5">
        <v>0</v>
      </c>
      <c r="BL171" s="127">
        <f t="shared" si="55"/>
        <v>0</v>
      </c>
      <c r="BM171" s="220" t="s">
        <v>649</v>
      </c>
      <c r="BO171" s="1" t="s">
        <v>578</v>
      </c>
      <c r="BP171" s="233" t="s">
        <v>668</v>
      </c>
      <c r="BQ171" s="233"/>
      <c r="BR171" s="234"/>
    </row>
    <row r="172" spans="1:70">
      <c r="A172" s="219" t="s">
        <v>451</v>
      </c>
      <c r="B172" s="106" t="s">
        <v>244</v>
      </c>
      <c r="C172" s="66" t="s">
        <v>175</v>
      </c>
      <c r="D172" s="284"/>
      <c r="E172" s="77" t="s">
        <v>253</v>
      </c>
      <c r="F172" s="282"/>
      <c r="G172" s="71" t="s">
        <v>202</v>
      </c>
      <c r="H172" s="70" t="s">
        <v>648</v>
      </c>
      <c r="I172" s="70" t="s">
        <v>184</v>
      </c>
      <c r="J172" s="71" t="s">
        <v>567</v>
      </c>
      <c r="K172" s="70" t="s">
        <v>250</v>
      </c>
      <c r="L172" s="69" t="s">
        <v>257</v>
      </c>
      <c r="M172" s="180" t="s">
        <v>608</v>
      </c>
      <c r="N172" s="68">
        <v>15.75</v>
      </c>
      <c r="O172" s="58">
        <v>15.75</v>
      </c>
      <c r="P172" s="144">
        <v>15.75</v>
      </c>
      <c r="Q172" s="144">
        <v>15.75</v>
      </c>
      <c r="R172" s="144">
        <v>15.75</v>
      </c>
      <c r="S172" s="144">
        <v>15.75</v>
      </c>
      <c r="T172" s="144">
        <v>15.75</v>
      </c>
      <c r="U172" s="144">
        <v>15.75</v>
      </c>
      <c r="V172" s="144">
        <v>15.75</v>
      </c>
      <c r="W172" s="144">
        <v>15.75</v>
      </c>
      <c r="X172" s="144">
        <v>15.75</v>
      </c>
      <c r="Y172" s="144">
        <v>15.75</v>
      </c>
      <c r="Z172" s="144">
        <v>15.75</v>
      </c>
      <c r="AA172" s="58">
        <v>15.75</v>
      </c>
      <c r="AB172" s="68">
        <v>0.46</v>
      </c>
      <c r="AC172" s="144">
        <v>0.46</v>
      </c>
      <c r="AD172" s="144">
        <v>0.46</v>
      </c>
      <c r="AE172" s="144">
        <v>0.46</v>
      </c>
      <c r="AF172" s="144">
        <v>0.46</v>
      </c>
      <c r="AG172" s="144">
        <v>0.46</v>
      </c>
      <c r="AH172" s="144">
        <v>0.46</v>
      </c>
      <c r="AI172" s="144">
        <v>0.46</v>
      </c>
      <c r="AJ172" s="144">
        <v>0.46</v>
      </c>
      <c r="AK172" s="144">
        <v>0.46</v>
      </c>
      <c r="AL172" s="144">
        <v>0.46</v>
      </c>
      <c r="AM172" s="144">
        <v>0.46</v>
      </c>
      <c r="AN172" s="153">
        <v>0.46</v>
      </c>
      <c r="AO172" s="105">
        <v>0</v>
      </c>
      <c r="AP172" s="118">
        <f t="shared" si="56"/>
        <v>0</v>
      </c>
      <c r="AQ172" s="105">
        <v>0</v>
      </c>
      <c r="AR172" s="118">
        <f t="shared" si="2"/>
        <v>0</v>
      </c>
      <c r="AS172" s="105">
        <v>0</v>
      </c>
      <c r="AT172" s="127">
        <f t="shared" si="3"/>
        <v>0</v>
      </c>
      <c r="AU172" s="5">
        <v>0</v>
      </c>
      <c r="AV172" s="118">
        <f t="shared" si="4"/>
        <v>0</v>
      </c>
      <c r="AW172" s="105">
        <v>0</v>
      </c>
      <c r="AX172" s="118">
        <f t="shared" si="5"/>
        <v>0</v>
      </c>
      <c r="AY172" s="105">
        <v>0</v>
      </c>
      <c r="AZ172" s="127">
        <f t="shared" si="51"/>
        <v>0</v>
      </c>
      <c r="BA172" s="105">
        <v>0</v>
      </c>
      <c r="BB172" s="118">
        <f t="shared" si="7"/>
        <v>0</v>
      </c>
      <c r="BC172" s="105">
        <v>0</v>
      </c>
      <c r="BD172" s="118">
        <f t="shared" si="8"/>
        <v>0</v>
      </c>
      <c r="BE172" s="5">
        <v>0</v>
      </c>
      <c r="BF172" s="127">
        <f t="shared" si="54"/>
        <v>0</v>
      </c>
      <c r="BG172" s="105">
        <v>0</v>
      </c>
      <c r="BH172" s="118">
        <f t="shared" si="57"/>
        <v>0</v>
      </c>
      <c r="BI172" s="5">
        <v>0</v>
      </c>
      <c r="BJ172" s="118">
        <f t="shared" si="11"/>
        <v>0</v>
      </c>
      <c r="BK172" s="5">
        <v>0</v>
      </c>
      <c r="BL172" s="127">
        <f t="shared" si="55"/>
        <v>0</v>
      </c>
      <c r="BM172" s="220" t="s">
        <v>649</v>
      </c>
      <c r="BO172" s="1" t="s">
        <v>578</v>
      </c>
      <c r="BP172" s="233" t="s">
        <v>669</v>
      </c>
      <c r="BQ172" s="233"/>
      <c r="BR172" s="234"/>
    </row>
    <row r="173" spans="1:70">
      <c r="A173" s="219" t="s">
        <v>451</v>
      </c>
      <c r="B173" s="106" t="s">
        <v>244</v>
      </c>
      <c r="C173" s="66" t="s">
        <v>175</v>
      </c>
      <c r="D173" s="284"/>
      <c r="E173" s="77" t="s">
        <v>253</v>
      </c>
      <c r="F173" s="282"/>
      <c r="G173" s="71" t="s">
        <v>202</v>
      </c>
      <c r="H173" s="70" t="s">
        <v>648</v>
      </c>
      <c r="I173" s="70" t="s">
        <v>184</v>
      </c>
      <c r="J173" s="71" t="s">
        <v>567</v>
      </c>
      <c r="K173" s="70" t="s">
        <v>250</v>
      </c>
      <c r="L173" s="69" t="s">
        <v>257</v>
      </c>
      <c r="M173" s="180" t="s">
        <v>608</v>
      </c>
      <c r="N173" s="68">
        <v>15.75</v>
      </c>
      <c r="O173" s="58">
        <v>15.75</v>
      </c>
      <c r="P173" s="144">
        <v>15.75</v>
      </c>
      <c r="Q173" s="144">
        <v>15.75</v>
      </c>
      <c r="R173" s="144">
        <v>15.75</v>
      </c>
      <c r="S173" s="144">
        <v>15.75</v>
      </c>
      <c r="T173" s="144">
        <v>15.75</v>
      </c>
      <c r="U173" s="144">
        <v>15.75</v>
      </c>
      <c r="V173" s="144">
        <v>15.75</v>
      </c>
      <c r="W173" s="144">
        <v>15.75</v>
      </c>
      <c r="X173" s="144">
        <v>15.75</v>
      </c>
      <c r="Y173" s="144">
        <v>15.75</v>
      </c>
      <c r="Z173" s="144">
        <v>15.75</v>
      </c>
      <c r="AA173" s="58">
        <v>15.75</v>
      </c>
      <c r="AB173" s="68">
        <v>0.46</v>
      </c>
      <c r="AC173" s="144">
        <v>0.46</v>
      </c>
      <c r="AD173" s="144">
        <v>0.46</v>
      </c>
      <c r="AE173" s="144">
        <v>0.46</v>
      </c>
      <c r="AF173" s="144">
        <v>0.46</v>
      </c>
      <c r="AG173" s="144">
        <v>0.46</v>
      </c>
      <c r="AH173" s="144">
        <v>0.46</v>
      </c>
      <c r="AI173" s="144">
        <v>0.46</v>
      </c>
      <c r="AJ173" s="144">
        <v>0.46</v>
      </c>
      <c r="AK173" s="144">
        <v>0.46</v>
      </c>
      <c r="AL173" s="144">
        <v>0.46</v>
      </c>
      <c r="AM173" s="144">
        <v>0.46</v>
      </c>
      <c r="AN173" s="153">
        <v>0.46</v>
      </c>
      <c r="AO173" s="105">
        <v>0</v>
      </c>
      <c r="AP173" s="118">
        <f t="shared" si="56"/>
        <v>0</v>
      </c>
      <c r="AQ173" s="105">
        <v>0</v>
      </c>
      <c r="AR173" s="118">
        <f t="shared" si="2"/>
        <v>0</v>
      </c>
      <c r="AS173" s="105">
        <v>0</v>
      </c>
      <c r="AT173" s="127">
        <f t="shared" si="3"/>
        <v>0</v>
      </c>
      <c r="AU173" s="5">
        <v>0</v>
      </c>
      <c r="AV173" s="118">
        <f t="shared" si="4"/>
        <v>0</v>
      </c>
      <c r="AW173" s="105">
        <v>0</v>
      </c>
      <c r="AX173" s="118">
        <f t="shared" si="5"/>
        <v>0</v>
      </c>
      <c r="AY173" s="105">
        <v>0</v>
      </c>
      <c r="AZ173" s="127">
        <f t="shared" si="51"/>
        <v>0</v>
      </c>
      <c r="BA173" s="105">
        <v>0</v>
      </c>
      <c r="BB173" s="118">
        <f t="shared" si="7"/>
        <v>0</v>
      </c>
      <c r="BC173" s="105">
        <v>0</v>
      </c>
      <c r="BD173" s="118">
        <f t="shared" si="8"/>
        <v>0</v>
      </c>
      <c r="BE173" s="5">
        <v>0</v>
      </c>
      <c r="BF173" s="127">
        <f t="shared" si="54"/>
        <v>0</v>
      </c>
      <c r="BG173" s="105">
        <v>0</v>
      </c>
      <c r="BH173" s="118">
        <f t="shared" si="57"/>
        <v>0</v>
      </c>
      <c r="BI173" s="5">
        <v>0</v>
      </c>
      <c r="BJ173" s="118">
        <f t="shared" si="11"/>
        <v>0</v>
      </c>
      <c r="BK173" s="5">
        <v>0</v>
      </c>
      <c r="BL173" s="127">
        <f t="shared" si="55"/>
        <v>0</v>
      </c>
      <c r="BM173" s="220" t="s">
        <v>649</v>
      </c>
      <c r="BO173" s="1" t="s">
        <v>578</v>
      </c>
      <c r="BP173" s="233" t="s">
        <v>670</v>
      </c>
      <c r="BQ173" s="233"/>
      <c r="BR173" s="234"/>
    </row>
    <row r="174" spans="1:70">
      <c r="A174" s="219" t="s">
        <v>451</v>
      </c>
      <c r="B174" s="106" t="s">
        <v>244</v>
      </c>
      <c r="C174" s="66" t="s">
        <v>175</v>
      </c>
      <c r="D174" s="284"/>
      <c r="E174" s="77" t="s">
        <v>253</v>
      </c>
      <c r="F174" s="282"/>
      <c r="G174" s="71" t="s">
        <v>202</v>
      </c>
      <c r="H174" s="70" t="s">
        <v>648</v>
      </c>
      <c r="I174" s="70" t="s">
        <v>184</v>
      </c>
      <c r="J174" s="71" t="s">
        <v>567</v>
      </c>
      <c r="K174" s="70" t="s">
        <v>250</v>
      </c>
      <c r="L174" s="69" t="s">
        <v>257</v>
      </c>
      <c r="M174" s="180" t="s">
        <v>608</v>
      </c>
      <c r="N174" s="68">
        <v>15.75</v>
      </c>
      <c r="O174" s="58">
        <v>15.75</v>
      </c>
      <c r="P174" s="144">
        <v>15.75</v>
      </c>
      <c r="Q174" s="144">
        <v>15.75</v>
      </c>
      <c r="R174" s="144">
        <v>15.75</v>
      </c>
      <c r="S174" s="144">
        <v>15.75</v>
      </c>
      <c r="T174" s="144">
        <v>15.75</v>
      </c>
      <c r="U174" s="144">
        <v>15.75</v>
      </c>
      <c r="V174" s="144">
        <v>15.75</v>
      </c>
      <c r="W174" s="144">
        <v>15.75</v>
      </c>
      <c r="X174" s="144">
        <v>15.75</v>
      </c>
      <c r="Y174" s="144">
        <v>15.75</v>
      </c>
      <c r="Z174" s="144">
        <v>15.75</v>
      </c>
      <c r="AA174" s="58">
        <v>15.75</v>
      </c>
      <c r="AB174" s="68">
        <v>0.46</v>
      </c>
      <c r="AC174" s="144">
        <v>0.46</v>
      </c>
      <c r="AD174" s="144">
        <v>0.46</v>
      </c>
      <c r="AE174" s="144">
        <v>0.46</v>
      </c>
      <c r="AF174" s="144">
        <v>0.46</v>
      </c>
      <c r="AG174" s="144">
        <v>0.46</v>
      </c>
      <c r="AH174" s="144">
        <v>0.46</v>
      </c>
      <c r="AI174" s="144">
        <v>0.46</v>
      </c>
      <c r="AJ174" s="144">
        <v>0.46</v>
      </c>
      <c r="AK174" s="144">
        <v>0.46</v>
      </c>
      <c r="AL174" s="144">
        <v>0.46</v>
      </c>
      <c r="AM174" s="144">
        <v>0.46</v>
      </c>
      <c r="AN174" s="153">
        <v>0.46</v>
      </c>
      <c r="AO174" s="105">
        <v>0</v>
      </c>
      <c r="AP174" s="118">
        <f t="shared" si="56"/>
        <v>0</v>
      </c>
      <c r="AQ174" s="105">
        <v>0</v>
      </c>
      <c r="AR174" s="118">
        <f t="shared" si="2"/>
        <v>0</v>
      </c>
      <c r="AS174" s="105">
        <v>0</v>
      </c>
      <c r="AT174" s="127">
        <f t="shared" si="3"/>
        <v>0</v>
      </c>
      <c r="AU174" s="5">
        <v>0</v>
      </c>
      <c r="AV174" s="118">
        <f t="shared" si="4"/>
        <v>0</v>
      </c>
      <c r="AW174" s="105">
        <v>0</v>
      </c>
      <c r="AX174" s="118">
        <f t="shared" si="5"/>
        <v>0</v>
      </c>
      <c r="AY174" s="105">
        <v>0</v>
      </c>
      <c r="AZ174" s="127">
        <f t="shared" si="51"/>
        <v>0</v>
      </c>
      <c r="BA174" s="105">
        <v>0</v>
      </c>
      <c r="BB174" s="118">
        <f t="shared" si="7"/>
        <v>0</v>
      </c>
      <c r="BC174" s="105">
        <v>0</v>
      </c>
      <c r="BD174" s="118">
        <f t="shared" si="8"/>
        <v>0</v>
      </c>
      <c r="BE174" s="5">
        <v>0</v>
      </c>
      <c r="BF174" s="127">
        <f t="shared" si="54"/>
        <v>0</v>
      </c>
      <c r="BG174" s="105">
        <v>0</v>
      </c>
      <c r="BH174" s="118">
        <f t="shared" si="57"/>
        <v>0</v>
      </c>
      <c r="BI174" s="5">
        <v>0</v>
      </c>
      <c r="BJ174" s="118">
        <f t="shared" si="11"/>
        <v>0</v>
      </c>
      <c r="BK174" s="5">
        <v>0</v>
      </c>
      <c r="BL174" s="127">
        <f t="shared" si="55"/>
        <v>0</v>
      </c>
      <c r="BM174" s="220" t="s">
        <v>649</v>
      </c>
      <c r="BO174" s="1" t="s">
        <v>578</v>
      </c>
      <c r="BP174" s="233" t="s">
        <v>671</v>
      </c>
      <c r="BQ174" s="233"/>
      <c r="BR174" s="234"/>
    </row>
    <row r="175" spans="1:70">
      <c r="A175" s="219" t="s">
        <v>451</v>
      </c>
      <c r="B175" s="106" t="s">
        <v>244</v>
      </c>
      <c r="C175" s="66" t="s">
        <v>175</v>
      </c>
      <c r="D175" s="284"/>
      <c r="E175" s="77" t="s">
        <v>253</v>
      </c>
      <c r="F175" s="282"/>
      <c r="G175" s="71" t="s">
        <v>202</v>
      </c>
      <c r="H175" s="70" t="s">
        <v>648</v>
      </c>
      <c r="I175" s="70" t="s">
        <v>184</v>
      </c>
      <c r="J175" s="71" t="s">
        <v>567</v>
      </c>
      <c r="K175" s="70" t="s">
        <v>250</v>
      </c>
      <c r="L175" s="69" t="s">
        <v>257</v>
      </c>
      <c r="M175" s="180" t="s">
        <v>608</v>
      </c>
      <c r="N175" s="68">
        <v>15.75</v>
      </c>
      <c r="O175" s="58">
        <v>15.75</v>
      </c>
      <c r="P175" s="144">
        <v>15.75</v>
      </c>
      <c r="Q175" s="144">
        <v>15.75</v>
      </c>
      <c r="R175" s="144">
        <v>15.75</v>
      </c>
      <c r="S175" s="144">
        <v>15.75</v>
      </c>
      <c r="T175" s="144">
        <v>15.75</v>
      </c>
      <c r="U175" s="144">
        <v>15.75</v>
      </c>
      <c r="V175" s="144">
        <v>15.75</v>
      </c>
      <c r="W175" s="144">
        <v>15.75</v>
      </c>
      <c r="X175" s="144">
        <v>15.75</v>
      </c>
      <c r="Y175" s="144">
        <v>15.75</v>
      </c>
      <c r="Z175" s="144">
        <v>15.75</v>
      </c>
      <c r="AA175" s="58">
        <v>15.75</v>
      </c>
      <c r="AB175" s="68">
        <v>0.46</v>
      </c>
      <c r="AC175" s="144">
        <v>0.46</v>
      </c>
      <c r="AD175" s="144">
        <v>0.46</v>
      </c>
      <c r="AE175" s="144">
        <v>0.46</v>
      </c>
      <c r="AF175" s="144">
        <v>0.46</v>
      </c>
      <c r="AG175" s="144">
        <v>0.46</v>
      </c>
      <c r="AH175" s="144">
        <v>0.46</v>
      </c>
      <c r="AI175" s="144">
        <v>0.46</v>
      </c>
      <c r="AJ175" s="144">
        <v>0.46</v>
      </c>
      <c r="AK175" s="144">
        <v>0.46</v>
      </c>
      <c r="AL175" s="144">
        <v>0.46</v>
      </c>
      <c r="AM175" s="144">
        <v>0.46</v>
      </c>
      <c r="AN175" s="153">
        <v>0.46</v>
      </c>
      <c r="AO175" s="105">
        <v>0</v>
      </c>
      <c r="AP175" s="118">
        <f t="shared" si="56"/>
        <v>0</v>
      </c>
      <c r="AQ175" s="105">
        <v>0</v>
      </c>
      <c r="AR175" s="118">
        <f t="shared" si="2"/>
        <v>0</v>
      </c>
      <c r="AS175" s="105">
        <v>0</v>
      </c>
      <c r="AT175" s="127">
        <f t="shared" si="3"/>
        <v>0</v>
      </c>
      <c r="AU175" s="5">
        <v>0</v>
      </c>
      <c r="AV175" s="118">
        <f t="shared" si="4"/>
        <v>0</v>
      </c>
      <c r="AW175" s="105">
        <v>0</v>
      </c>
      <c r="AX175" s="118">
        <f t="shared" si="5"/>
        <v>0</v>
      </c>
      <c r="AY175" s="105">
        <v>0</v>
      </c>
      <c r="AZ175" s="127">
        <f t="shared" si="51"/>
        <v>0</v>
      </c>
      <c r="BA175" s="105">
        <v>0</v>
      </c>
      <c r="BB175" s="118">
        <f t="shared" si="7"/>
        <v>0</v>
      </c>
      <c r="BC175" s="105">
        <v>0</v>
      </c>
      <c r="BD175" s="118">
        <f t="shared" si="8"/>
        <v>0</v>
      </c>
      <c r="BE175" s="5">
        <v>0</v>
      </c>
      <c r="BF175" s="127">
        <f t="shared" si="54"/>
        <v>0</v>
      </c>
      <c r="BG175" s="105">
        <v>0</v>
      </c>
      <c r="BH175" s="118">
        <f t="shared" si="57"/>
        <v>0</v>
      </c>
      <c r="BI175" s="5">
        <v>0</v>
      </c>
      <c r="BJ175" s="118">
        <f t="shared" si="11"/>
        <v>0</v>
      </c>
      <c r="BK175" s="5">
        <v>0</v>
      </c>
      <c r="BL175" s="127">
        <f t="shared" si="55"/>
        <v>0</v>
      </c>
      <c r="BM175" s="220" t="s">
        <v>649</v>
      </c>
      <c r="BO175" s="1" t="s">
        <v>578</v>
      </c>
      <c r="BP175" s="233" t="s">
        <v>672</v>
      </c>
      <c r="BQ175" s="233"/>
      <c r="BR175" s="234"/>
    </row>
    <row r="176" spans="1:70">
      <c r="A176" s="219" t="s">
        <v>451</v>
      </c>
      <c r="B176" s="106" t="s">
        <v>244</v>
      </c>
      <c r="C176" s="66" t="s">
        <v>175</v>
      </c>
      <c r="D176" s="284"/>
      <c r="E176" s="77" t="s">
        <v>253</v>
      </c>
      <c r="F176" s="282"/>
      <c r="G176" s="71" t="s">
        <v>202</v>
      </c>
      <c r="H176" s="70" t="s">
        <v>648</v>
      </c>
      <c r="I176" s="70" t="s">
        <v>184</v>
      </c>
      <c r="J176" s="71" t="s">
        <v>567</v>
      </c>
      <c r="K176" s="70" t="s">
        <v>250</v>
      </c>
      <c r="L176" s="69" t="s">
        <v>257</v>
      </c>
      <c r="M176" s="180" t="s">
        <v>608</v>
      </c>
      <c r="N176" s="68">
        <v>15.75</v>
      </c>
      <c r="O176" s="58">
        <v>15.75</v>
      </c>
      <c r="P176" s="144">
        <v>15.75</v>
      </c>
      <c r="Q176" s="144">
        <v>15.75</v>
      </c>
      <c r="R176" s="144">
        <v>15.75</v>
      </c>
      <c r="S176" s="144">
        <v>15.75</v>
      </c>
      <c r="T176" s="144">
        <v>15.75</v>
      </c>
      <c r="U176" s="144">
        <v>15.75</v>
      </c>
      <c r="V176" s="144">
        <v>15.75</v>
      </c>
      <c r="W176" s="144">
        <v>15.75</v>
      </c>
      <c r="X176" s="144">
        <v>15.75</v>
      </c>
      <c r="Y176" s="144">
        <v>15.75</v>
      </c>
      <c r="Z176" s="144">
        <v>15.75</v>
      </c>
      <c r="AA176" s="58">
        <v>15.75</v>
      </c>
      <c r="AB176" s="68">
        <v>0.46</v>
      </c>
      <c r="AC176" s="144">
        <v>0.46</v>
      </c>
      <c r="AD176" s="144">
        <v>0.46</v>
      </c>
      <c r="AE176" s="144">
        <v>0.46</v>
      </c>
      <c r="AF176" s="144">
        <v>0.46</v>
      </c>
      <c r="AG176" s="144">
        <v>0.46</v>
      </c>
      <c r="AH176" s="144">
        <v>0.46</v>
      </c>
      <c r="AI176" s="144">
        <v>0.46</v>
      </c>
      <c r="AJ176" s="144">
        <v>0.46</v>
      </c>
      <c r="AK176" s="144">
        <v>0.46</v>
      </c>
      <c r="AL176" s="144">
        <v>0.46</v>
      </c>
      <c r="AM176" s="144">
        <v>0.46</v>
      </c>
      <c r="AN176" s="153">
        <v>0.46</v>
      </c>
      <c r="AO176" s="105">
        <v>0</v>
      </c>
      <c r="AP176" s="118">
        <f t="shared" si="56"/>
        <v>0</v>
      </c>
      <c r="AQ176" s="105">
        <v>0</v>
      </c>
      <c r="AR176" s="118">
        <f t="shared" si="2"/>
        <v>0</v>
      </c>
      <c r="AS176" s="105">
        <v>0</v>
      </c>
      <c r="AT176" s="127">
        <f t="shared" si="3"/>
        <v>0</v>
      </c>
      <c r="AU176" s="5">
        <v>0</v>
      </c>
      <c r="AV176" s="118">
        <f t="shared" si="4"/>
        <v>0</v>
      </c>
      <c r="AW176" s="105">
        <v>0</v>
      </c>
      <c r="AX176" s="118">
        <f t="shared" si="5"/>
        <v>0</v>
      </c>
      <c r="AY176" s="105">
        <v>0</v>
      </c>
      <c r="AZ176" s="127">
        <f t="shared" si="51"/>
        <v>0</v>
      </c>
      <c r="BA176" s="105">
        <v>0</v>
      </c>
      <c r="BB176" s="118">
        <f t="shared" si="7"/>
        <v>0</v>
      </c>
      <c r="BC176" s="105">
        <v>0</v>
      </c>
      <c r="BD176" s="118">
        <f t="shared" si="8"/>
        <v>0</v>
      </c>
      <c r="BE176" s="5">
        <v>0</v>
      </c>
      <c r="BF176" s="127">
        <f t="shared" si="54"/>
        <v>0</v>
      </c>
      <c r="BG176" s="105">
        <v>0</v>
      </c>
      <c r="BH176" s="118">
        <f t="shared" si="57"/>
        <v>0</v>
      </c>
      <c r="BI176" s="5">
        <v>0</v>
      </c>
      <c r="BJ176" s="118">
        <f t="shared" si="11"/>
        <v>0</v>
      </c>
      <c r="BK176" s="5">
        <v>0</v>
      </c>
      <c r="BL176" s="127">
        <f t="shared" si="55"/>
        <v>0</v>
      </c>
      <c r="BM176" s="220" t="s">
        <v>649</v>
      </c>
      <c r="BO176" s="1" t="s">
        <v>578</v>
      </c>
      <c r="BP176" s="233" t="s">
        <v>673</v>
      </c>
      <c r="BQ176" s="233"/>
      <c r="BR176" s="234"/>
    </row>
    <row r="177" spans="1:70">
      <c r="A177" s="219" t="s">
        <v>451</v>
      </c>
      <c r="B177" s="106" t="s">
        <v>244</v>
      </c>
      <c r="C177" s="66" t="s">
        <v>175</v>
      </c>
      <c r="D177" s="284"/>
      <c r="E177" s="77" t="s">
        <v>253</v>
      </c>
      <c r="F177" s="282"/>
      <c r="G177" s="71" t="s">
        <v>202</v>
      </c>
      <c r="H177" s="70" t="s">
        <v>648</v>
      </c>
      <c r="I177" s="70" t="s">
        <v>184</v>
      </c>
      <c r="J177" s="71" t="s">
        <v>567</v>
      </c>
      <c r="K177" s="70" t="s">
        <v>250</v>
      </c>
      <c r="L177" s="69" t="s">
        <v>257</v>
      </c>
      <c r="M177" s="180" t="s">
        <v>608</v>
      </c>
      <c r="N177" s="68">
        <v>15.75</v>
      </c>
      <c r="O177" s="58">
        <v>15.75</v>
      </c>
      <c r="P177" s="144">
        <v>15.75</v>
      </c>
      <c r="Q177" s="144">
        <v>15.75</v>
      </c>
      <c r="R177" s="144">
        <v>15.75</v>
      </c>
      <c r="S177" s="144">
        <v>15.75</v>
      </c>
      <c r="T177" s="144">
        <v>15.75</v>
      </c>
      <c r="U177" s="144">
        <v>15.75</v>
      </c>
      <c r="V177" s="144">
        <v>15.75</v>
      </c>
      <c r="W177" s="144">
        <v>15.75</v>
      </c>
      <c r="X177" s="144">
        <v>15.75</v>
      </c>
      <c r="Y177" s="144">
        <v>15.75</v>
      </c>
      <c r="Z177" s="144">
        <v>15.75</v>
      </c>
      <c r="AA177" s="58">
        <v>15.75</v>
      </c>
      <c r="AB177" s="68">
        <v>0.46</v>
      </c>
      <c r="AC177" s="144">
        <v>0.46</v>
      </c>
      <c r="AD177" s="144">
        <v>0.46</v>
      </c>
      <c r="AE177" s="144">
        <v>0.46</v>
      </c>
      <c r="AF177" s="144">
        <v>0.46</v>
      </c>
      <c r="AG177" s="144">
        <v>0.46</v>
      </c>
      <c r="AH177" s="144">
        <v>0.46</v>
      </c>
      <c r="AI177" s="144">
        <v>0.46</v>
      </c>
      <c r="AJ177" s="144">
        <v>0.46</v>
      </c>
      <c r="AK177" s="144">
        <v>0.46</v>
      </c>
      <c r="AL177" s="144">
        <v>0.46</v>
      </c>
      <c r="AM177" s="144">
        <v>0.46</v>
      </c>
      <c r="AN177" s="153">
        <v>0.46</v>
      </c>
      <c r="AO177" s="105">
        <v>0</v>
      </c>
      <c r="AP177" s="118">
        <f t="shared" si="56"/>
        <v>0</v>
      </c>
      <c r="AQ177" s="105">
        <v>0</v>
      </c>
      <c r="AR177" s="118">
        <f t="shared" si="2"/>
        <v>0</v>
      </c>
      <c r="AS177" s="105">
        <v>0</v>
      </c>
      <c r="AT177" s="127">
        <f t="shared" si="3"/>
        <v>0</v>
      </c>
      <c r="AU177" s="5">
        <v>0</v>
      </c>
      <c r="AV177" s="118">
        <f t="shared" si="4"/>
        <v>0</v>
      </c>
      <c r="AW177" s="105">
        <v>0</v>
      </c>
      <c r="AX177" s="118">
        <f t="shared" si="5"/>
        <v>0</v>
      </c>
      <c r="AY177" s="105">
        <v>0</v>
      </c>
      <c r="AZ177" s="127">
        <f t="shared" si="51"/>
        <v>0</v>
      </c>
      <c r="BA177" s="105">
        <v>0</v>
      </c>
      <c r="BB177" s="118">
        <f t="shared" si="7"/>
        <v>0</v>
      </c>
      <c r="BC177" s="105">
        <v>0</v>
      </c>
      <c r="BD177" s="118">
        <f t="shared" si="8"/>
        <v>0</v>
      </c>
      <c r="BE177" s="5">
        <v>0</v>
      </c>
      <c r="BF177" s="127">
        <f t="shared" si="54"/>
        <v>0</v>
      </c>
      <c r="BG177" s="105">
        <v>0</v>
      </c>
      <c r="BH177" s="118">
        <f t="shared" si="57"/>
        <v>0</v>
      </c>
      <c r="BI177" s="5">
        <v>0</v>
      </c>
      <c r="BJ177" s="118">
        <f t="shared" si="11"/>
        <v>0</v>
      </c>
      <c r="BK177" s="5">
        <v>0</v>
      </c>
      <c r="BL177" s="127">
        <f t="shared" si="55"/>
        <v>0</v>
      </c>
      <c r="BM177" s="220" t="s">
        <v>649</v>
      </c>
      <c r="BO177" s="1" t="s">
        <v>578</v>
      </c>
      <c r="BP177" s="233" t="s">
        <v>674</v>
      </c>
      <c r="BQ177" s="233"/>
      <c r="BR177" s="234"/>
    </row>
    <row r="178" spans="1:70">
      <c r="A178" s="219" t="s">
        <v>451</v>
      </c>
      <c r="B178" s="106" t="s">
        <v>244</v>
      </c>
      <c r="C178" s="66" t="s">
        <v>175</v>
      </c>
      <c r="D178" s="284"/>
      <c r="E178" s="77" t="s">
        <v>253</v>
      </c>
      <c r="F178" s="282"/>
      <c r="G178" s="71" t="s">
        <v>202</v>
      </c>
      <c r="H178" s="70" t="s">
        <v>648</v>
      </c>
      <c r="I178" s="70" t="s">
        <v>184</v>
      </c>
      <c r="J178" s="71" t="s">
        <v>567</v>
      </c>
      <c r="K178" s="70" t="s">
        <v>250</v>
      </c>
      <c r="L178" s="69" t="s">
        <v>257</v>
      </c>
      <c r="M178" s="180" t="s">
        <v>608</v>
      </c>
      <c r="N178" s="68">
        <v>15.75</v>
      </c>
      <c r="O178" s="58">
        <v>15.75</v>
      </c>
      <c r="P178" s="144">
        <v>15.75</v>
      </c>
      <c r="Q178" s="144">
        <v>15.75</v>
      </c>
      <c r="R178" s="144">
        <v>15.75</v>
      </c>
      <c r="S178" s="144">
        <v>15.75</v>
      </c>
      <c r="T178" s="144">
        <v>15.75</v>
      </c>
      <c r="U178" s="144">
        <v>15.75</v>
      </c>
      <c r="V178" s="144">
        <v>15.75</v>
      </c>
      <c r="W178" s="144">
        <v>15.75</v>
      </c>
      <c r="X178" s="144">
        <v>15.75</v>
      </c>
      <c r="Y178" s="144">
        <v>15.75</v>
      </c>
      <c r="Z178" s="144">
        <v>15.75</v>
      </c>
      <c r="AA178" s="58">
        <v>15.75</v>
      </c>
      <c r="AB178" s="68">
        <v>0.46</v>
      </c>
      <c r="AC178" s="144">
        <v>0.46</v>
      </c>
      <c r="AD178" s="144">
        <v>0.46</v>
      </c>
      <c r="AE178" s="144">
        <v>0.46</v>
      </c>
      <c r="AF178" s="144">
        <v>0.46</v>
      </c>
      <c r="AG178" s="144">
        <v>0.46</v>
      </c>
      <c r="AH178" s="144">
        <v>0.46</v>
      </c>
      <c r="AI178" s="144">
        <v>0.46</v>
      </c>
      <c r="AJ178" s="144">
        <v>0.46</v>
      </c>
      <c r="AK178" s="144">
        <v>0.46</v>
      </c>
      <c r="AL178" s="144">
        <v>0.46</v>
      </c>
      <c r="AM178" s="144">
        <v>0.46</v>
      </c>
      <c r="AN178" s="153">
        <v>0.46</v>
      </c>
      <c r="AO178" s="105">
        <v>0</v>
      </c>
      <c r="AP178" s="118">
        <f t="shared" si="56"/>
        <v>0</v>
      </c>
      <c r="AQ178" s="105">
        <v>0</v>
      </c>
      <c r="AR178" s="118">
        <f t="shared" si="2"/>
        <v>0</v>
      </c>
      <c r="AS178" s="105">
        <v>0</v>
      </c>
      <c r="AT178" s="127">
        <f t="shared" si="3"/>
        <v>0</v>
      </c>
      <c r="AU178" s="5">
        <v>0</v>
      </c>
      <c r="AV178" s="118">
        <f t="shared" si="4"/>
        <v>0</v>
      </c>
      <c r="AW178" s="105">
        <v>0</v>
      </c>
      <c r="AX178" s="118">
        <f t="shared" si="5"/>
        <v>0</v>
      </c>
      <c r="AY178" s="105">
        <v>0</v>
      </c>
      <c r="AZ178" s="127">
        <f t="shared" si="51"/>
        <v>0</v>
      </c>
      <c r="BA178" s="105">
        <v>0</v>
      </c>
      <c r="BB178" s="118">
        <f t="shared" si="7"/>
        <v>0</v>
      </c>
      <c r="BC178" s="105">
        <v>0</v>
      </c>
      <c r="BD178" s="118">
        <f t="shared" si="8"/>
        <v>0</v>
      </c>
      <c r="BE178" s="5">
        <v>0</v>
      </c>
      <c r="BF178" s="127">
        <f t="shared" si="54"/>
        <v>0</v>
      </c>
      <c r="BG178" s="105">
        <v>0</v>
      </c>
      <c r="BH178" s="118">
        <f t="shared" si="57"/>
        <v>0</v>
      </c>
      <c r="BI178" s="5">
        <v>0</v>
      </c>
      <c r="BJ178" s="118">
        <f t="shared" si="11"/>
        <v>0</v>
      </c>
      <c r="BK178" s="5">
        <v>0</v>
      </c>
      <c r="BL178" s="127">
        <f t="shared" si="55"/>
        <v>0</v>
      </c>
      <c r="BM178" s="220" t="s">
        <v>649</v>
      </c>
      <c r="BO178" s="1" t="s">
        <v>578</v>
      </c>
      <c r="BP178" s="233" t="s">
        <v>675</v>
      </c>
      <c r="BQ178" s="233"/>
      <c r="BR178" s="234"/>
    </row>
    <row r="179" spans="1:70">
      <c r="A179" s="219" t="s">
        <v>451</v>
      </c>
      <c r="B179" s="106" t="s">
        <v>244</v>
      </c>
      <c r="C179" s="66" t="s">
        <v>175</v>
      </c>
      <c r="D179" s="284"/>
      <c r="E179" s="77" t="s">
        <v>253</v>
      </c>
      <c r="F179" s="282"/>
      <c r="G179" s="71" t="s">
        <v>202</v>
      </c>
      <c r="H179" s="70" t="s">
        <v>648</v>
      </c>
      <c r="I179" s="70" t="s">
        <v>184</v>
      </c>
      <c r="J179" s="71" t="s">
        <v>567</v>
      </c>
      <c r="K179" s="70" t="s">
        <v>250</v>
      </c>
      <c r="L179" s="69" t="s">
        <v>257</v>
      </c>
      <c r="M179" s="180" t="s">
        <v>608</v>
      </c>
      <c r="N179" s="68">
        <v>15.75</v>
      </c>
      <c r="O179" s="58">
        <v>15.75</v>
      </c>
      <c r="P179" s="144">
        <v>15.75</v>
      </c>
      <c r="Q179" s="144">
        <v>15.75</v>
      </c>
      <c r="R179" s="144">
        <v>15.75</v>
      </c>
      <c r="S179" s="144">
        <v>15.75</v>
      </c>
      <c r="T179" s="144">
        <v>15.75</v>
      </c>
      <c r="U179" s="144">
        <v>15.75</v>
      </c>
      <c r="V179" s="144">
        <v>15.75</v>
      </c>
      <c r="W179" s="144">
        <v>15.75</v>
      </c>
      <c r="X179" s="144">
        <v>15.75</v>
      </c>
      <c r="Y179" s="144">
        <v>15.75</v>
      </c>
      <c r="Z179" s="144">
        <v>15.75</v>
      </c>
      <c r="AA179" s="58">
        <v>15.75</v>
      </c>
      <c r="AB179" s="68">
        <v>0.46</v>
      </c>
      <c r="AC179" s="144">
        <v>0.46</v>
      </c>
      <c r="AD179" s="144">
        <v>0.46</v>
      </c>
      <c r="AE179" s="144">
        <v>0.46</v>
      </c>
      <c r="AF179" s="144">
        <v>0.46</v>
      </c>
      <c r="AG179" s="144">
        <v>0.46</v>
      </c>
      <c r="AH179" s="144">
        <v>0.46</v>
      </c>
      <c r="AI179" s="144">
        <v>0.46</v>
      </c>
      <c r="AJ179" s="144">
        <v>0.46</v>
      </c>
      <c r="AK179" s="144">
        <v>0.46</v>
      </c>
      <c r="AL179" s="144">
        <v>0.46</v>
      </c>
      <c r="AM179" s="144">
        <v>0.46</v>
      </c>
      <c r="AN179" s="153">
        <v>0.46</v>
      </c>
      <c r="AO179" s="105">
        <v>0</v>
      </c>
      <c r="AP179" s="118">
        <f t="shared" si="56"/>
        <v>0</v>
      </c>
      <c r="AQ179" s="105">
        <v>0</v>
      </c>
      <c r="AR179" s="118">
        <f t="shared" si="2"/>
        <v>0</v>
      </c>
      <c r="AS179" s="105">
        <v>0</v>
      </c>
      <c r="AT179" s="127">
        <f t="shared" si="3"/>
        <v>0</v>
      </c>
      <c r="AU179" s="5">
        <v>0</v>
      </c>
      <c r="AV179" s="118">
        <f t="shared" si="4"/>
        <v>0</v>
      </c>
      <c r="AW179" s="105">
        <v>0</v>
      </c>
      <c r="AX179" s="118">
        <f t="shared" si="5"/>
        <v>0</v>
      </c>
      <c r="AY179" s="105">
        <v>0</v>
      </c>
      <c r="AZ179" s="127">
        <f t="shared" si="51"/>
        <v>0</v>
      </c>
      <c r="BA179" s="105">
        <v>0</v>
      </c>
      <c r="BB179" s="118">
        <f t="shared" si="7"/>
        <v>0</v>
      </c>
      <c r="BC179" s="105">
        <v>0</v>
      </c>
      <c r="BD179" s="118">
        <f t="shared" si="8"/>
        <v>0</v>
      </c>
      <c r="BE179" s="5">
        <v>0</v>
      </c>
      <c r="BF179" s="127">
        <f t="shared" si="54"/>
        <v>0</v>
      </c>
      <c r="BG179" s="105">
        <v>0</v>
      </c>
      <c r="BH179" s="118">
        <f t="shared" si="57"/>
        <v>0</v>
      </c>
      <c r="BI179" s="5">
        <v>0</v>
      </c>
      <c r="BJ179" s="118">
        <f t="shared" si="11"/>
        <v>0</v>
      </c>
      <c r="BK179" s="5">
        <v>0</v>
      </c>
      <c r="BL179" s="127">
        <f t="shared" si="55"/>
        <v>0</v>
      </c>
      <c r="BM179" s="220" t="s">
        <v>649</v>
      </c>
      <c r="BO179" s="1" t="s">
        <v>578</v>
      </c>
      <c r="BP179" s="233" t="s">
        <v>676</v>
      </c>
      <c r="BQ179" s="233"/>
      <c r="BR179" s="234"/>
    </row>
    <row r="180" spans="1:70">
      <c r="A180" s="219" t="s">
        <v>451</v>
      </c>
      <c r="B180" s="106" t="s">
        <v>244</v>
      </c>
      <c r="C180" s="66" t="s">
        <v>175</v>
      </c>
      <c r="D180" s="284"/>
      <c r="E180" s="77" t="s">
        <v>253</v>
      </c>
      <c r="F180" s="282"/>
      <c r="G180" s="71" t="s">
        <v>202</v>
      </c>
      <c r="H180" s="70" t="s">
        <v>648</v>
      </c>
      <c r="I180" s="70" t="s">
        <v>184</v>
      </c>
      <c r="J180" s="71" t="s">
        <v>567</v>
      </c>
      <c r="K180" s="70" t="s">
        <v>250</v>
      </c>
      <c r="L180" s="69" t="s">
        <v>257</v>
      </c>
      <c r="M180" s="180" t="s">
        <v>608</v>
      </c>
      <c r="N180" s="68">
        <v>15.75</v>
      </c>
      <c r="O180" s="58">
        <v>15.75</v>
      </c>
      <c r="P180" s="144">
        <v>15.75</v>
      </c>
      <c r="Q180" s="144">
        <v>15.75</v>
      </c>
      <c r="R180" s="144">
        <v>15.75</v>
      </c>
      <c r="S180" s="144">
        <v>15.75</v>
      </c>
      <c r="T180" s="144">
        <v>15.75</v>
      </c>
      <c r="U180" s="144">
        <v>15.75</v>
      </c>
      <c r="V180" s="144">
        <v>15.75</v>
      </c>
      <c r="W180" s="144">
        <v>15.75</v>
      </c>
      <c r="X180" s="144">
        <v>15.75</v>
      </c>
      <c r="Y180" s="144">
        <v>15.75</v>
      </c>
      <c r="Z180" s="144">
        <v>15.75</v>
      </c>
      <c r="AA180" s="58">
        <v>15.75</v>
      </c>
      <c r="AB180" s="68">
        <v>0.46</v>
      </c>
      <c r="AC180" s="144">
        <v>0.46</v>
      </c>
      <c r="AD180" s="144">
        <v>0.46</v>
      </c>
      <c r="AE180" s="144">
        <v>0.46</v>
      </c>
      <c r="AF180" s="144">
        <v>0.46</v>
      </c>
      <c r="AG180" s="144">
        <v>0.46</v>
      </c>
      <c r="AH180" s="144">
        <v>0.46</v>
      </c>
      <c r="AI180" s="144">
        <v>0.46</v>
      </c>
      <c r="AJ180" s="144">
        <v>0.46</v>
      </c>
      <c r="AK180" s="144">
        <v>0.46</v>
      </c>
      <c r="AL180" s="144">
        <v>0.46</v>
      </c>
      <c r="AM180" s="144">
        <v>0.46</v>
      </c>
      <c r="AN180" s="153">
        <v>0.46</v>
      </c>
      <c r="AO180" s="105">
        <v>0</v>
      </c>
      <c r="AP180" s="118">
        <f t="shared" si="56"/>
        <v>0</v>
      </c>
      <c r="AQ180" s="105">
        <v>0</v>
      </c>
      <c r="AR180" s="118">
        <f t="shared" si="2"/>
        <v>0</v>
      </c>
      <c r="AS180" s="105">
        <v>0</v>
      </c>
      <c r="AT180" s="127">
        <f t="shared" si="3"/>
        <v>0</v>
      </c>
      <c r="AU180" s="5">
        <v>0</v>
      </c>
      <c r="AV180" s="118">
        <f t="shared" si="4"/>
        <v>0</v>
      </c>
      <c r="AW180" s="105">
        <v>0</v>
      </c>
      <c r="AX180" s="118">
        <f t="shared" si="5"/>
        <v>0</v>
      </c>
      <c r="AY180" s="105">
        <v>0</v>
      </c>
      <c r="AZ180" s="127">
        <f t="shared" ref="AZ180:AZ216" si="58">AH180*AY180</f>
        <v>0</v>
      </c>
      <c r="BA180" s="105">
        <v>0</v>
      </c>
      <c r="BB180" s="118">
        <f t="shared" si="7"/>
        <v>0</v>
      </c>
      <c r="BC180" s="105">
        <v>0</v>
      </c>
      <c r="BD180" s="118">
        <f t="shared" si="8"/>
        <v>0</v>
      </c>
      <c r="BE180" s="5">
        <v>0</v>
      </c>
      <c r="BF180" s="127">
        <f t="shared" si="54"/>
        <v>0</v>
      </c>
      <c r="BG180" s="105">
        <v>0</v>
      </c>
      <c r="BH180" s="118">
        <f t="shared" si="57"/>
        <v>0</v>
      </c>
      <c r="BI180" s="5">
        <v>0</v>
      </c>
      <c r="BJ180" s="118">
        <f t="shared" si="11"/>
        <v>0</v>
      </c>
      <c r="BK180" s="5">
        <v>0</v>
      </c>
      <c r="BL180" s="127">
        <f t="shared" si="55"/>
        <v>0</v>
      </c>
      <c r="BM180" s="220" t="s">
        <v>649</v>
      </c>
      <c r="BO180" s="1" t="s">
        <v>578</v>
      </c>
      <c r="BP180" s="233" t="s">
        <v>677</v>
      </c>
      <c r="BQ180" s="233"/>
      <c r="BR180" s="234"/>
    </row>
    <row r="181" spans="1:70">
      <c r="A181" s="219" t="s">
        <v>451</v>
      </c>
      <c r="B181" s="106" t="s">
        <v>244</v>
      </c>
      <c r="C181" s="66" t="s">
        <v>175</v>
      </c>
      <c r="D181" s="284"/>
      <c r="E181" s="77" t="s">
        <v>253</v>
      </c>
      <c r="F181" s="282"/>
      <c r="G181" s="71" t="s">
        <v>202</v>
      </c>
      <c r="H181" s="70" t="s">
        <v>648</v>
      </c>
      <c r="I181" s="70" t="s">
        <v>184</v>
      </c>
      <c r="J181" s="71" t="s">
        <v>567</v>
      </c>
      <c r="K181" s="70" t="s">
        <v>250</v>
      </c>
      <c r="L181" s="69" t="s">
        <v>257</v>
      </c>
      <c r="M181" s="180" t="s">
        <v>608</v>
      </c>
      <c r="N181" s="68">
        <v>15.75</v>
      </c>
      <c r="O181" s="58">
        <v>15.75</v>
      </c>
      <c r="P181" s="144">
        <v>15.75</v>
      </c>
      <c r="Q181" s="144">
        <v>15.75</v>
      </c>
      <c r="R181" s="144">
        <v>15.75</v>
      </c>
      <c r="S181" s="144">
        <v>15.75</v>
      </c>
      <c r="T181" s="144">
        <v>15.75</v>
      </c>
      <c r="U181" s="144">
        <v>15.75</v>
      </c>
      <c r="V181" s="144">
        <v>15.75</v>
      </c>
      <c r="W181" s="144">
        <v>15.75</v>
      </c>
      <c r="X181" s="144">
        <v>15.75</v>
      </c>
      <c r="Y181" s="144">
        <v>15.75</v>
      </c>
      <c r="Z181" s="144">
        <v>15.75</v>
      </c>
      <c r="AA181" s="58">
        <v>15.75</v>
      </c>
      <c r="AB181" s="68">
        <v>0.46</v>
      </c>
      <c r="AC181" s="144">
        <v>0.46</v>
      </c>
      <c r="AD181" s="144">
        <v>0.46</v>
      </c>
      <c r="AE181" s="144">
        <v>0.46</v>
      </c>
      <c r="AF181" s="144">
        <v>0.46</v>
      </c>
      <c r="AG181" s="144">
        <v>0.46</v>
      </c>
      <c r="AH181" s="144">
        <v>0.46</v>
      </c>
      <c r="AI181" s="144">
        <v>0.46</v>
      </c>
      <c r="AJ181" s="144">
        <v>0.46</v>
      </c>
      <c r="AK181" s="144">
        <v>0.46</v>
      </c>
      <c r="AL181" s="144">
        <v>0.46</v>
      </c>
      <c r="AM181" s="144">
        <v>0.46</v>
      </c>
      <c r="AN181" s="153">
        <v>0.46</v>
      </c>
      <c r="AO181" s="105">
        <v>0</v>
      </c>
      <c r="AP181" s="118">
        <f t="shared" si="56"/>
        <v>0</v>
      </c>
      <c r="AQ181" s="105">
        <v>0</v>
      </c>
      <c r="AR181" s="118">
        <f t="shared" si="2"/>
        <v>0</v>
      </c>
      <c r="AS181" s="105">
        <v>0</v>
      </c>
      <c r="AT181" s="127">
        <f t="shared" si="3"/>
        <v>0</v>
      </c>
      <c r="AU181" s="5">
        <v>0</v>
      </c>
      <c r="AV181" s="118">
        <f t="shared" si="4"/>
        <v>0</v>
      </c>
      <c r="AW181" s="105">
        <v>0</v>
      </c>
      <c r="AX181" s="118">
        <f t="shared" si="5"/>
        <v>0</v>
      </c>
      <c r="AY181" s="105">
        <v>0</v>
      </c>
      <c r="AZ181" s="127">
        <f t="shared" si="58"/>
        <v>0</v>
      </c>
      <c r="BA181" s="105">
        <v>0</v>
      </c>
      <c r="BB181" s="118">
        <f t="shared" si="7"/>
        <v>0</v>
      </c>
      <c r="BC181" s="105">
        <v>200</v>
      </c>
      <c r="BD181" s="118">
        <f t="shared" si="8"/>
        <v>92</v>
      </c>
      <c r="BE181" s="5">
        <v>0</v>
      </c>
      <c r="BF181" s="127">
        <f t="shared" si="54"/>
        <v>0</v>
      </c>
      <c r="BG181" s="105">
        <v>0</v>
      </c>
      <c r="BH181" s="118">
        <f t="shared" si="57"/>
        <v>0</v>
      </c>
      <c r="BI181" s="5">
        <v>0</v>
      </c>
      <c r="BJ181" s="118">
        <f t="shared" si="11"/>
        <v>0</v>
      </c>
      <c r="BK181" s="5">
        <v>0</v>
      </c>
      <c r="BL181" s="127">
        <f t="shared" si="55"/>
        <v>0</v>
      </c>
      <c r="BM181" s="220" t="s">
        <v>649</v>
      </c>
      <c r="BO181" s="1" t="s">
        <v>578</v>
      </c>
      <c r="BP181" s="233" t="s">
        <v>678</v>
      </c>
      <c r="BQ181" s="233"/>
      <c r="BR181" s="234"/>
    </row>
    <row r="182" spans="1:70">
      <c r="A182" s="219" t="s">
        <v>451</v>
      </c>
      <c r="B182" s="106" t="s">
        <v>244</v>
      </c>
      <c r="C182" s="66" t="s">
        <v>175</v>
      </c>
      <c r="D182" s="284"/>
      <c r="E182" s="77" t="s">
        <v>253</v>
      </c>
      <c r="F182" s="282"/>
      <c r="G182" s="71" t="s">
        <v>202</v>
      </c>
      <c r="H182" s="70" t="s">
        <v>648</v>
      </c>
      <c r="I182" s="70" t="s">
        <v>184</v>
      </c>
      <c r="J182" s="71" t="s">
        <v>567</v>
      </c>
      <c r="K182" s="70" t="s">
        <v>250</v>
      </c>
      <c r="L182" s="69" t="s">
        <v>257</v>
      </c>
      <c r="M182" s="180" t="s">
        <v>608</v>
      </c>
      <c r="N182" s="68">
        <v>15.75</v>
      </c>
      <c r="O182" s="58">
        <v>15.75</v>
      </c>
      <c r="P182" s="144">
        <v>15.75</v>
      </c>
      <c r="Q182" s="144">
        <v>15.75</v>
      </c>
      <c r="R182" s="144">
        <v>15.75</v>
      </c>
      <c r="S182" s="144">
        <v>15.75</v>
      </c>
      <c r="T182" s="144">
        <v>15.75</v>
      </c>
      <c r="U182" s="144">
        <v>15.75</v>
      </c>
      <c r="V182" s="144">
        <v>15.75</v>
      </c>
      <c r="W182" s="144">
        <v>15.75</v>
      </c>
      <c r="X182" s="144">
        <v>15.75</v>
      </c>
      <c r="Y182" s="144">
        <v>15.75</v>
      </c>
      <c r="Z182" s="144">
        <v>15.75</v>
      </c>
      <c r="AA182" s="58">
        <v>15.75</v>
      </c>
      <c r="AB182" s="68">
        <v>0.46</v>
      </c>
      <c r="AC182" s="144">
        <v>0.46</v>
      </c>
      <c r="AD182" s="144">
        <v>0.46</v>
      </c>
      <c r="AE182" s="144">
        <v>0.46</v>
      </c>
      <c r="AF182" s="144">
        <v>0.46</v>
      </c>
      <c r="AG182" s="144">
        <v>0.46</v>
      </c>
      <c r="AH182" s="144">
        <v>0.46</v>
      </c>
      <c r="AI182" s="144">
        <v>0.46</v>
      </c>
      <c r="AJ182" s="144">
        <v>0.46</v>
      </c>
      <c r="AK182" s="144">
        <v>0.46</v>
      </c>
      <c r="AL182" s="144">
        <v>0.46</v>
      </c>
      <c r="AM182" s="144">
        <v>0.46</v>
      </c>
      <c r="AN182" s="153">
        <v>0.46</v>
      </c>
      <c r="AO182" s="105">
        <v>0</v>
      </c>
      <c r="AP182" s="118">
        <f t="shared" si="56"/>
        <v>0</v>
      </c>
      <c r="AQ182" s="105">
        <v>0</v>
      </c>
      <c r="AR182" s="118">
        <f t="shared" si="2"/>
        <v>0</v>
      </c>
      <c r="AS182" s="105">
        <v>0</v>
      </c>
      <c r="AT182" s="127">
        <f t="shared" si="3"/>
        <v>0</v>
      </c>
      <c r="AU182" s="5">
        <v>0</v>
      </c>
      <c r="AV182" s="118">
        <f t="shared" si="4"/>
        <v>0</v>
      </c>
      <c r="AW182" s="105">
        <v>0</v>
      </c>
      <c r="AX182" s="118">
        <f t="shared" si="5"/>
        <v>0</v>
      </c>
      <c r="AY182" s="105">
        <v>0</v>
      </c>
      <c r="AZ182" s="127">
        <f t="shared" si="58"/>
        <v>0</v>
      </c>
      <c r="BA182" s="105">
        <v>0</v>
      </c>
      <c r="BB182" s="118">
        <f t="shared" si="7"/>
        <v>0</v>
      </c>
      <c r="BC182" s="105">
        <v>0</v>
      </c>
      <c r="BD182" s="118">
        <f t="shared" si="8"/>
        <v>0</v>
      </c>
      <c r="BE182" s="5">
        <v>0</v>
      </c>
      <c r="BF182" s="127">
        <f t="shared" si="54"/>
        <v>0</v>
      </c>
      <c r="BG182" s="105">
        <v>0</v>
      </c>
      <c r="BH182" s="118">
        <f t="shared" si="57"/>
        <v>0</v>
      </c>
      <c r="BI182" s="5">
        <v>0</v>
      </c>
      <c r="BJ182" s="118">
        <f t="shared" si="11"/>
        <v>0</v>
      </c>
      <c r="BK182" s="5">
        <v>0</v>
      </c>
      <c r="BL182" s="127">
        <f t="shared" si="55"/>
        <v>0</v>
      </c>
      <c r="BM182" s="220" t="s">
        <v>649</v>
      </c>
      <c r="BO182" s="1" t="s">
        <v>578</v>
      </c>
      <c r="BP182" s="233" t="s">
        <v>679</v>
      </c>
      <c r="BQ182" s="233"/>
      <c r="BR182" s="234"/>
    </row>
    <row r="183" spans="1:70">
      <c r="A183" s="219" t="s">
        <v>451</v>
      </c>
      <c r="B183" s="106" t="s">
        <v>244</v>
      </c>
      <c r="C183" s="66" t="s">
        <v>175</v>
      </c>
      <c r="D183" s="284"/>
      <c r="E183" s="77" t="s">
        <v>253</v>
      </c>
      <c r="F183" s="282"/>
      <c r="G183" s="71" t="s">
        <v>202</v>
      </c>
      <c r="H183" s="70" t="s">
        <v>648</v>
      </c>
      <c r="I183" s="70" t="s">
        <v>184</v>
      </c>
      <c r="J183" s="71" t="s">
        <v>567</v>
      </c>
      <c r="K183" s="70" t="s">
        <v>250</v>
      </c>
      <c r="L183" s="69" t="s">
        <v>257</v>
      </c>
      <c r="M183" s="180" t="s">
        <v>608</v>
      </c>
      <c r="N183" s="68">
        <v>15.75</v>
      </c>
      <c r="O183" s="58">
        <v>15.75</v>
      </c>
      <c r="P183" s="144">
        <v>15.75</v>
      </c>
      <c r="Q183" s="144">
        <v>15.75</v>
      </c>
      <c r="R183" s="144">
        <v>15.75</v>
      </c>
      <c r="S183" s="144">
        <v>15.75</v>
      </c>
      <c r="T183" s="144">
        <v>15.75</v>
      </c>
      <c r="U183" s="144">
        <v>15.75</v>
      </c>
      <c r="V183" s="144">
        <v>15.75</v>
      </c>
      <c r="W183" s="144">
        <v>15.75</v>
      </c>
      <c r="X183" s="144">
        <v>15.75</v>
      </c>
      <c r="Y183" s="144">
        <v>15.75</v>
      </c>
      <c r="Z183" s="144">
        <v>15.75</v>
      </c>
      <c r="AA183" s="58">
        <v>15.75</v>
      </c>
      <c r="AB183" s="68">
        <v>0.46</v>
      </c>
      <c r="AC183" s="144">
        <v>0.46</v>
      </c>
      <c r="AD183" s="144">
        <v>0.46</v>
      </c>
      <c r="AE183" s="144">
        <v>0.46</v>
      </c>
      <c r="AF183" s="144">
        <v>0.46</v>
      </c>
      <c r="AG183" s="144">
        <v>0.46</v>
      </c>
      <c r="AH183" s="144">
        <v>0.46</v>
      </c>
      <c r="AI183" s="144">
        <v>0.46</v>
      </c>
      <c r="AJ183" s="144">
        <v>0.46</v>
      </c>
      <c r="AK183" s="144">
        <v>0.46</v>
      </c>
      <c r="AL183" s="144">
        <v>0.46</v>
      </c>
      <c r="AM183" s="144">
        <v>0.46</v>
      </c>
      <c r="AN183" s="153">
        <v>0.46</v>
      </c>
      <c r="AO183" s="105">
        <v>0</v>
      </c>
      <c r="AP183" s="118">
        <f t="shared" si="56"/>
        <v>0</v>
      </c>
      <c r="AQ183" s="105">
        <v>0</v>
      </c>
      <c r="AR183" s="118">
        <f t="shared" si="2"/>
        <v>0</v>
      </c>
      <c r="AS183" s="105">
        <v>0</v>
      </c>
      <c r="AT183" s="127">
        <f t="shared" si="3"/>
        <v>0</v>
      </c>
      <c r="AU183" s="5">
        <v>0</v>
      </c>
      <c r="AV183" s="118">
        <f t="shared" si="4"/>
        <v>0</v>
      </c>
      <c r="AW183" s="105">
        <v>0</v>
      </c>
      <c r="AX183" s="118">
        <f t="shared" si="5"/>
        <v>0</v>
      </c>
      <c r="AY183" s="105">
        <v>0</v>
      </c>
      <c r="AZ183" s="127">
        <f t="shared" si="58"/>
        <v>0</v>
      </c>
      <c r="BA183" s="105">
        <v>0</v>
      </c>
      <c r="BB183" s="118">
        <f t="shared" si="7"/>
        <v>0</v>
      </c>
      <c r="BC183" s="105">
        <v>0</v>
      </c>
      <c r="BD183" s="118">
        <f t="shared" si="8"/>
        <v>0</v>
      </c>
      <c r="BE183" s="5">
        <v>0</v>
      </c>
      <c r="BF183" s="127">
        <f t="shared" si="54"/>
        <v>0</v>
      </c>
      <c r="BG183" s="105">
        <v>0</v>
      </c>
      <c r="BH183" s="118">
        <f t="shared" si="57"/>
        <v>0</v>
      </c>
      <c r="BI183" s="5">
        <v>0</v>
      </c>
      <c r="BJ183" s="118">
        <f t="shared" si="11"/>
        <v>0</v>
      </c>
      <c r="BK183" s="5">
        <v>0</v>
      </c>
      <c r="BL183" s="127">
        <f t="shared" si="55"/>
        <v>0</v>
      </c>
      <c r="BM183" s="220" t="s">
        <v>649</v>
      </c>
      <c r="BO183" s="1" t="s">
        <v>578</v>
      </c>
      <c r="BP183" s="233" t="s">
        <v>680</v>
      </c>
      <c r="BQ183" s="233"/>
      <c r="BR183" s="234"/>
    </row>
    <row r="184" spans="1:70">
      <c r="A184" s="219" t="s">
        <v>451</v>
      </c>
      <c r="B184" s="106" t="s">
        <v>244</v>
      </c>
      <c r="C184" s="66" t="s">
        <v>175</v>
      </c>
      <c r="D184" s="284"/>
      <c r="E184" s="77" t="s">
        <v>253</v>
      </c>
      <c r="F184" s="282"/>
      <c r="G184" s="71" t="s">
        <v>202</v>
      </c>
      <c r="H184" s="70" t="s">
        <v>648</v>
      </c>
      <c r="I184" s="70" t="s">
        <v>184</v>
      </c>
      <c r="J184" s="71" t="s">
        <v>567</v>
      </c>
      <c r="K184" s="70" t="s">
        <v>250</v>
      </c>
      <c r="L184" s="69" t="s">
        <v>257</v>
      </c>
      <c r="M184" s="180" t="s">
        <v>608</v>
      </c>
      <c r="N184" s="68">
        <v>15.75</v>
      </c>
      <c r="O184" s="58">
        <v>15.75</v>
      </c>
      <c r="P184" s="144">
        <v>15.75</v>
      </c>
      <c r="Q184" s="144">
        <v>15.75</v>
      </c>
      <c r="R184" s="144">
        <v>15.75</v>
      </c>
      <c r="S184" s="144">
        <v>15.75</v>
      </c>
      <c r="T184" s="144">
        <v>15.75</v>
      </c>
      <c r="U184" s="144">
        <v>15.75</v>
      </c>
      <c r="V184" s="144">
        <v>15.75</v>
      </c>
      <c r="W184" s="144">
        <v>15.75</v>
      </c>
      <c r="X184" s="144">
        <v>15.75</v>
      </c>
      <c r="Y184" s="144">
        <v>15.75</v>
      </c>
      <c r="Z184" s="144">
        <v>15.75</v>
      </c>
      <c r="AA184" s="58">
        <v>15.75</v>
      </c>
      <c r="AB184" s="68">
        <v>0.46</v>
      </c>
      <c r="AC184" s="144">
        <v>0.46</v>
      </c>
      <c r="AD184" s="144">
        <v>0.46</v>
      </c>
      <c r="AE184" s="144">
        <v>0.46</v>
      </c>
      <c r="AF184" s="144">
        <v>0.46</v>
      </c>
      <c r="AG184" s="144">
        <v>0.46</v>
      </c>
      <c r="AH184" s="144">
        <v>0.46</v>
      </c>
      <c r="AI184" s="144">
        <v>0.46</v>
      </c>
      <c r="AJ184" s="144">
        <v>0.46</v>
      </c>
      <c r="AK184" s="144">
        <v>0.46</v>
      </c>
      <c r="AL184" s="144">
        <v>0.46</v>
      </c>
      <c r="AM184" s="144">
        <v>0.46</v>
      </c>
      <c r="AN184" s="153">
        <v>0.46</v>
      </c>
      <c r="AO184" s="105">
        <v>0</v>
      </c>
      <c r="AP184" s="118">
        <f t="shared" si="56"/>
        <v>0</v>
      </c>
      <c r="AQ184" s="105">
        <v>0</v>
      </c>
      <c r="AR184" s="118">
        <f t="shared" si="2"/>
        <v>0</v>
      </c>
      <c r="AS184" s="105">
        <v>0</v>
      </c>
      <c r="AT184" s="127">
        <f t="shared" si="3"/>
        <v>0</v>
      </c>
      <c r="AU184" s="5">
        <v>0</v>
      </c>
      <c r="AV184" s="118">
        <f t="shared" si="4"/>
        <v>0</v>
      </c>
      <c r="AW184" s="105">
        <v>0</v>
      </c>
      <c r="AX184" s="118">
        <f t="shared" si="5"/>
        <v>0</v>
      </c>
      <c r="AY184" s="105">
        <v>0</v>
      </c>
      <c r="AZ184" s="127">
        <f t="shared" si="58"/>
        <v>0</v>
      </c>
      <c r="BA184" s="105">
        <v>0</v>
      </c>
      <c r="BB184" s="118">
        <f t="shared" si="7"/>
        <v>0</v>
      </c>
      <c r="BC184" s="105">
        <v>0</v>
      </c>
      <c r="BD184" s="118">
        <f t="shared" si="8"/>
        <v>0</v>
      </c>
      <c r="BE184" s="5">
        <v>0</v>
      </c>
      <c r="BF184" s="127">
        <f t="shared" si="54"/>
        <v>0</v>
      </c>
      <c r="BG184" s="105">
        <v>0</v>
      </c>
      <c r="BH184" s="118">
        <f t="shared" si="57"/>
        <v>0</v>
      </c>
      <c r="BI184" s="5">
        <v>0</v>
      </c>
      <c r="BJ184" s="118">
        <f t="shared" si="11"/>
        <v>0</v>
      </c>
      <c r="BK184" s="5">
        <v>0</v>
      </c>
      <c r="BL184" s="127">
        <f t="shared" si="55"/>
        <v>0</v>
      </c>
      <c r="BM184" s="220" t="s">
        <v>649</v>
      </c>
      <c r="BO184" s="1" t="s">
        <v>578</v>
      </c>
      <c r="BP184" s="233" t="s">
        <v>681</v>
      </c>
      <c r="BQ184" s="233"/>
      <c r="BR184" s="234"/>
    </row>
    <row r="185" spans="1:70">
      <c r="A185" s="219" t="s">
        <v>451</v>
      </c>
      <c r="B185" s="106" t="s">
        <v>244</v>
      </c>
      <c r="C185" s="66" t="s">
        <v>175</v>
      </c>
      <c r="D185" s="284"/>
      <c r="E185" s="77" t="s">
        <v>253</v>
      </c>
      <c r="F185" s="282"/>
      <c r="G185" s="71" t="s">
        <v>202</v>
      </c>
      <c r="H185" s="70" t="s">
        <v>648</v>
      </c>
      <c r="I185" s="70" t="s">
        <v>184</v>
      </c>
      <c r="J185" s="71" t="s">
        <v>567</v>
      </c>
      <c r="K185" s="70" t="s">
        <v>250</v>
      </c>
      <c r="L185" s="69" t="s">
        <v>257</v>
      </c>
      <c r="M185" s="180" t="s">
        <v>568</v>
      </c>
      <c r="N185" s="68">
        <v>15.75</v>
      </c>
      <c r="O185" s="58">
        <v>15.75</v>
      </c>
      <c r="P185" s="144">
        <v>15.75</v>
      </c>
      <c r="Q185" s="144">
        <v>15.75</v>
      </c>
      <c r="R185" s="144">
        <v>15.75</v>
      </c>
      <c r="S185" s="144">
        <v>15.75</v>
      </c>
      <c r="T185" s="144">
        <v>15.75</v>
      </c>
      <c r="U185" s="144">
        <v>15.75</v>
      </c>
      <c r="V185" s="144">
        <v>15.75</v>
      </c>
      <c r="W185" s="144">
        <v>15.75</v>
      </c>
      <c r="X185" s="144">
        <v>15.75</v>
      </c>
      <c r="Y185" s="144">
        <v>15.75</v>
      </c>
      <c r="Z185" s="144">
        <v>15.75</v>
      </c>
      <c r="AA185" s="58">
        <v>15.75</v>
      </c>
      <c r="AB185" s="68">
        <v>0.46</v>
      </c>
      <c r="AC185" s="144">
        <v>0.46</v>
      </c>
      <c r="AD185" s="144">
        <v>0.46</v>
      </c>
      <c r="AE185" s="144">
        <v>0.46</v>
      </c>
      <c r="AF185" s="144">
        <v>0.46</v>
      </c>
      <c r="AG185" s="144">
        <v>0.46</v>
      </c>
      <c r="AH185" s="144">
        <v>0.46</v>
      </c>
      <c r="AI185" s="144">
        <v>0.46</v>
      </c>
      <c r="AJ185" s="144">
        <v>0.46</v>
      </c>
      <c r="AK185" s="144">
        <v>0.46</v>
      </c>
      <c r="AL185" s="144">
        <v>0.46</v>
      </c>
      <c r="AM185" s="144">
        <v>0.46</v>
      </c>
      <c r="AN185" s="153">
        <v>0.46</v>
      </c>
      <c r="AO185" s="105">
        <v>0</v>
      </c>
      <c r="AP185" s="118">
        <f t="shared" si="56"/>
        <v>0</v>
      </c>
      <c r="AQ185" s="105">
        <v>0</v>
      </c>
      <c r="AR185" s="118">
        <f t="shared" si="2"/>
        <v>0</v>
      </c>
      <c r="AS185" s="105">
        <v>0</v>
      </c>
      <c r="AT185" s="127">
        <f t="shared" si="3"/>
        <v>0</v>
      </c>
      <c r="AU185" s="5">
        <v>0</v>
      </c>
      <c r="AV185" s="118">
        <f t="shared" si="4"/>
        <v>0</v>
      </c>
      <c r="AW185" s="105">
        <v>0</v>
      </c>
      <c r="AX185" s="118">
        <f t="shared" si="5"/>
        <v>0</v>
      </c>
      <c r="AY185" s="105">
        <v>0</v>
      </c>
      <c r="AZ185" s="127">
        <f t="shared" si="58"/>
        <v>0</v>
      </c>
      <c r="BA185" s="105">
        <v>0</v>
      </c>
      <c r="BB185" s="118">
        <f t="shared" si="7"/>
        <v>0</v>
      </c>
      <c r="BC185" s="105">
        <v>0</v>
      </c>
      <c r="BD185" s="118">
        <f t="shared" si="8"/>
        <v>0</v>
      </c>
      <c r="BE185" s="5">
        <v>0</v>
      </c>
      <c r="BF185" s="127">
        <f t="shared" si="54"/>
        <v>0</v>
      </c>
      <c r="BG185" s="105">
        <v>0</v>
      </c>
      <c r="BH185" s="118">
        <f t="shared" si="57"/>
        <v>0</v>
      </c>
      <c r="BI185" s="5">
        <v>0</v>
      </c>
      <c r="BJ185" s="118">
        <f t="shared" si="11"/>
        <v>0</v>
      </c>
      <c r="BK185" s="5">
        <v>0</v>
      </c>
      <c r="BL185" s="127">
        <f t="shared" si="55"/>
        <v>0</v>
      </c>
      <c r="BM185" s="220" t="s">
        <v>649</v>
      </c>
      <c r="BO185" s="1" t="s">
        <v>573</v>
      </c>
      <c r="BP185" s="233" t="s">
        <v>682</v>
      </c>
      <c r="BQ185" s="233"/>
      <c r="BR185" s="234"/>
    </row>
    <row r="186" spans="1:70">
      <c r="A186" s="219" t="s">
        <v>451</v>
      </c>
      <c r="B186" s="106" t="s">
        <v>244</v>
      </c>
      <c r="C186" s="66" t="s">
        <v>175</v>
      </c>
      <c r="D186" s="284"/>
      <c r="E186" s="77" t="s">
        <v>253</v>
      </c>
      <c r="F186" s="282"/>
      <c r="G186" s="71" t="s">
        <v>202</v>
      </c>
      <c r="H186" s="70" t="s">
        <v>648</v>
      </c>
      <c r="I186" s="70" t="s">
        <v>184</v>
      </c>
      <c r="J186" s="71" t="s">
        <v>567</v>
      </c>
      <c r="K186" s="70" t="s">
        <v>250</v>
      </c>
      <c r="L186" s="69" t="s">
        <v>257</v>
      </c>
      <c r="M186" s="180" t="s">
        <v>568</v>
      </c>
      <c r="N186" s="68">
        <v>15.75</v>
      </c>
      <c r="O186" s="58">
        <v>15.75</v>
      </c>
      <c r="P186" s="144">
        <v>15.75</v>
      </c>
      <c r="Q186" s="144">
        <v>15.75</v>
      </c>
      <c r="R186" s="144">
        <v>15.75</v>
      </c>
      <c r="S186" s="144">
        <v>15.75</v>
      </c>
      <c r="T186" s="144">
        <v>15.75</v>
      </c>
      <c r="U186" s="144">
        <v>15.75</v>
      </c>
      <c r="V186" s="144">
        <v>15.75</v>
      </c>
      <c r="W186" s="144">
        <v>15.75</v>
      </c>
      <c r="X186" s="144">
        <v>15.75</v>
      </c>
      <c r="Y186" s="144">
        <v>15.75</v>
      </c>
      <c r="Z186" s="144">
        <v>15.75</v>
      </c>
      <c r="AA186" s="58">
        <v>15.75</v>
      </c>
      <c r="AB186" s="68">
        <v>0.46</v>
      </c>
      <c r="AC186" s="144">
        <v>0.46</v>
      </c>
      <c r="AD186" s="144">
        <v>0.46</v>
      </c>
      <c r="AE186" s="144">
        <v>0.46</v>
      </c>
      <c r="AF186" s="144">
        <v>0.46</v>
      </c>
      <c r="AG186" s="144">
        <v>0.46</v>
      </c>
      <c r="AH186" s="144">
        <v>0.46</v>
      </c>
      <c r="AI186" s="144">
        <v>0.46</v>
      </c>
      <c r="AJ186" s="144">
        <v>0.46</v>
      </c>
      <c r="AK186" s="144">
        <v>0.46</v>
      </c>
      <c r="AL186" s="144">
        <v>0.46</v>
      </c>
      <c r="AM186" s="144">
        <v>0.46</v>
      </c>
      <c r="AN186" s="153">
        <v>0.46</v>
      </c>
      <c r="AO186" s="105">
        <v>0</v>
      </c>
      <c r="AP186" s="118">
        <f t="shared" si="56"/>
        <v>0</v>
      </c>
      <c r="AQ186" s="105">
        <v>0</v>
      </c>
      <c r="AR186" s="118">
        <f t="shared" si="2"/>
        <v>0</v>
      </c>
      <c r="AS186" s="105">
        <v>0</v>
      </c>
      <c r="AT186" s="127">
        <f t="shared" si="3"/>
        <v>0</v>
      </c>
      <c r="AU186" s="5">
        <v>0</v>
      </c>
      <c r="AV186" s="118">
        <f t="shared" si="4"/>
        <v>0</v>
      </c>
      <c r="AW186" s="105">
        <v>0</v>
      </c>
      <c r="AX186" s="118">
        <f t="shared" si="5"/>
        <v>0</v>
      </c>
      <c r="AY186" s="105">
        <v>0</v>
      </c>
      <c r="AZ186" s="127">
        <f t="shared" si="58"/>
        <v>0</v>
      </c>
      <c r="BA186" s="105">
        <v>0</v>
      </c>
      <c r="BB186" s="118">
        <f t="shared" si="7"/>
        <v>0</v>
      </c>
      <c r="BC186" s="105">
        <v>0</v>
      </c>
      <c r="BD186" s="118">
        <f t="shared" si="8"/>
        <v>0</v>
      </c>
      <c r="BE186" s="5">
        <v>0</v>
      </c>
      <c r="BF186" s="127">
        <f t="shared" ref="BF186:BF216" si="59">AK186*BE186</f>
        <v>0</v>
      </c>
      <c r="BG186" s="105">
        <v>0</v>
      </c>
      <c r="BH186" s="118">
        <f t="shared" si="57"/>
        <v>0</v>
      </c>
      <c r="BI186" s="5">
        <v>0</v>
      </c>
      <c r="BJ186" s="118">
        <f t="shared" si="11"/>
        <v>0</v>
      </c>
      <c r="BK186" s="5">
        <v>0</v>
      </c>
      <c r="BL186" s="127">
        <f t="shared" ref="BL186:BL216" si="60">AN186*BK186</f>
        <v>0</v>
      </c>
      <c r="BM186" s="220" t="s">
        <v>649</v>
      </c>
      <c r="BO186" s="1" t="s">
        <v>575</v>
      </c>
      <c r="BP186" s="233" t="s">
        <v>683</v>
      </c>
      <c r="BQ186" s="233"/>
      <c r="BR186" s="234"/>
    </row>
    <row r="187" spans="1:70">
      <c r="A187" s="219" t="s">
        <v>451</v>
      </c>
      <c r="B187" s="106" t="s">
        <v>244</v>
      </c>
      <c r="C187" s="66" t="s">
        <v>175</v>
      </c>
      <c r="D187" s="284"/>
      <c r="E187" s="77" t="s">
        <v>253</v>
      </c>
      <c r="F187" s="282"/>
      <c r="G187" s="71" t="s">
        <v>202</v>
      </c>
      <c r="H187" s="70" t="s">
        <v>648</v>
      </c>
      <c r="I187" s="70" t="s">
        <v>184</v>
      </c>
      <c r="J187" s="71" t="s">
        <v>567</v>
      </c>
      <c r="K187" s="70" t="s">
        <v>250</v>
      </c>
      <c r="L187" s="69" t="s">
        <v>257</v>
      </c>
      <c r="M187" s="180" t="s">
        <v>568</v>
      </c>
      <c r="N187" s="68">
        <v>15.75</v>
      </c>
      <c r="O187" s="58">
        <v>15.75</v>
      </c>
      <c r="P187" s="144">
        <v>15.75</v>
      </c>
      <c r="Q187" s="144">
        <v>15.75</v>
      </c>
      <c r="R187" s="144">
        <v>15.75</v>
      </c>
      <c r="S187" s="144">
        <v>15.75</v>
      </c>
      <c r="T187" s="144">
        <v>15.75</v>
      </c>
      <c r="U187" s="144">
        <v>15.75</v>
      </c>
      <c r="V187" s="144">
        <v>15.75</v>
      </c>
      <c r="W187" s="144">
        <v>15.75</v>
      </c>
      <c r="X187" s="144">
        <v>15.75</v>
      </c>
      <c r="Y187" s="144">
        <v>15.75</v>
      </c>
      <c r="Z187" s="144">
        <v>15.75</v>
      </c>
      <c r="AA187" s="58">
        <v>15.75</v>
      </c>
      <c r="AB187" s="68">
        <v>0.46</v>
      </c>
      <c r="AC187" s="144">
        <v>0.46</v>
      </c>
      <c r="AD187" s="144">
        <v>0.46</v>
      </c>
      <c r="AE187" s="144">
        <v>0.46</v>
      </c>
      <c r="AF187" s="144">
        <v>0.46</v>
      </c>
      <c r="AG187" s="144">
        <v>0.46</v>
      </c>
      <c r="AH187" s="144">
        <v>0.46</v>
      </c>
      <c r="AI187" s="144">
        <v>0.46</v>
      </c>
      <c r="AJ187" s="144">
        <v>0.46</v>
      </c>
      <c r="AK187" s="144">
        <v>0.46</v>
      </c>
      <c r="AL187" s="144">
        <v>0.46</v>
      </c>
      <c r="AM187" s="144">
        <v>0.46</v>
      </c>
      <c r="AN187" s="153">
        <v>0.46</v>
      </c>
      <c r="AO187" s="105">
        <v>0</v>
      </c>
      <c r="AP187" s="118">
        <f t="shared" si="56"/>
        <v>0</v>
      </c>
      <c r="AQ187" s="105">
        <v>0</v>
      </c>
      <c r="AR187" s="118">
        <f t="shared" si="2"/>
        <v>0</v>
      </c>
      <c r="AS187" s="105">
        <v>0</v>
      </c>
      <c r="AT187" s="127">
        <f t="shared" si="3"/>
        <v>0</v>
      </c>
      <c r="AU187" s="5">
        <v>0</v>
      </c>
      <c r="AV187" s="118">
        <f t="shared" si="4"/>
        <v>0</v>
      </c>
      <c r="AW187" s="105">
        <v>0</v>
      </c>
      <c r="AX187" s="118">
        <f t="shared" si="5"/>
        <v>0</v>
      </c>
      <c r="AY187" s="105">
        <v>0</v>
      </c>
      <c r="AZ187" s="127">
        <f t="shared" si="58"/>
        <v>0</v>
      </c>
      <c r="BA187" s="105">
        <v>0</v>
      </c>
      <c r="BB187" s="118">
        <f t="shared" si="7"/>
        <v>0</v>
      </c>
      <c r="BC187" s="105">
        <v>0</v>
      </c>
      <c r="BD187" s="118">
        <f t="shared" si="8"/>
        <v>0</v>
      </c>
      <c r="BE187" s="5">
        <v>0</v>
      </c>
      <c r="BF187" s="127">
        <f t="shared" si="59"/>
        <v>0</v>
      </c>
      <c r="BG187" s="105">
        <v>0</v>
      </c>
      <c r="BH187" s="118">
        <f t="shared" si="57"/>
        <v>0</v>
      </c>
      <c r="BI187" s="5">
        <v>0</v>
      </c>
      <c r="BJ187" s="118">
        <f t="shared" si="11"/>
        <v>0</v>
      </c>
      <c r="BK187" s="5">
        <v>0</v>
      </c>
      <c r="BL187" s="127">
        <f t="shared" si="60"/>
        <v>0</v>
      </c>
      <c r="BM187" s="220" t="s">
        <v>649</v>
      </c>
      <c r="BO187" s="1" t="s">
        <v>570</v>
      </c>
      <c r="BP187" s="233" t="s">
        <v>684</v>
      </c>
      <c r="BQ187" s="233"/>
      <c r="BR187" s="234"/>
    </row>
    <row r="188" spans="1:70">
      <c r="A188" s="219" t="s">
        <v>451</v>
      </c>
      <c r="B188" s="106" t="s">
        <v>244</v>
      </c>
      <c r="C188" s="66" t="s">
        <v>175</v>
      </c>
      <c r="D188" s="284"/>
      <c r="E188" s="77" t="s">
        <v>253</v>
      </c>
      <c r="F188" s="282"/>
      <c r="G188" s="71" t="s">
        <v>202</v>
      </c>
      <c r="H188" s="70" t="s">
        <v>648</v>
      </c>
      <c r="I188" s="70" t="s">
        <v>184</v>
      </c>
      <c r="J188" s="71" t="s">
        <v>567</v>
      </c>
      <c r="K188" s="70" t="s">
        <v>250</v>
      </c>
      <c r="L188" s="69" t="s">
        <v>257</v>
      </c>
      <c r="M188" s="180" t="s">
        <v>568</v>
      </c>
      <c r="N188" s="68">
        <v>15.75</v>
      </c>
      <c r="O188" s="58">
        <v>15.75</v>
      </c>
      <c r="P188" s="144">
        <v>15.75</v>
      </c>
      <c r="Q188" s="144">
        <v>15.75</v>
      </c>
      <c r="R188" s="144">
        <v>15.75</v>
      </c>
      <c r="S188" s="144">
        <v>15.75</v>
      </c>
      <c r="T188" s="144">
        <v>15.75</v>
      </c>
      <c r="U188" s="144">
        <v>15.75</v>
      </c>
      <c r="V188" s="144">
        <v>15.75</v>
      </c>
      <c r="W188" s="144">
        <v>15.75</v>
      </c>
      <c r="X188" s="144">
        <v>15.75</v>
      </c>
      <c r="Y188" s="144">
        <v>15.75</v>
      </c>
      <c r="Z188" s="144">
        <v>15.75</v>
      </c>
      <c r="AA188" s="58">
        <v>15.75</v>
      </c>
      <c r="AB188" s="68">
        <v>0.46</v>
      </c>
      <c r="AC188" s="144">
        <v>0.46</v>
      </c>
      <c r="AD188" s="144">
        <v>0.46</v>
      </c>
      <c r="AE188" s="144">
        <v>0.46</v>
      </c>
      <c r="AF188" s="144">
        <v>0.46</v>
      </c>
      <c r="AG188" s="144">
        <v>0.46</v>
      </c>
      <c r="AH188" s="144">
        <v>0.46</v>
      </c>
      <c r="AI188" s="144">
        <v>0.46</v>
      </c>
      <c r="AJ188" s="144">
        <v>0.46</v>
      </c>
      <c r="AK188" s="144">
        <v>0.46</v>
      </c>
      <c r="AL188" s="144">
        <v>0.46</v>
      </c>
      <c r="AM188" s="144">
        <v>0.46</v>
      </c>
      <c r="AN188" s="153">
        <v>0.46</v>
      </c>
      <c r="AO188" s="105">
        <v>0</v>
      </c>
      <c r="AP188" s="118">
        <f t="shared" si="56"/>
        <v>0</v>
      </c>
      <c r="AQ188" s="105">
        <v>0</v>
      </c>
      <c r="AR188" s="118">
        <f t="shared" si="2"/>
        <v>0</v>
      </c>
      <c r="AS188" s="105">
        <v>0</v>
      </c>
      <c r="AT188" s="127">
        <f t="shared" si="3"/>
        <v>0</v>
      </c>
      <c r="AU188" s="5">
        <v>0</v>
      </c>
      <c r="AV188" s="118">
        <f t="shared" si="4"/>
        <v>0</v>
      </c>
      <c r="AW188" s="105">
        <v>0</v>
      </c>
      <c r="AX188" s="118">
        <f t="shared" si="5"/>
        <v>0</v>
      </c>
      <c r="AY188" s="105">
        <v>0</v>
      </c>
      <c r="AZ188" s="127">
        <f t="shared" si="58"/>
        <v>0</v>
      </c>
      <c r="BA188" s="105">
        <v>0</v>
      </c>
      <c r="BB188" s="118">
        <f t="shared" si="7"/>
        <v>0</v>
      </c>
      <c r="BC188" s="105">
        <v>0</v>
      </c>
      <c r="BD188" s="118">
        <f t="shared" si="8"/>
        <v>0</v>
      </c>
      <c r="BE188" s="5">
        <v>0</v>
      </c>
      <c r="BF188" s="127">
        <f t="shared" si="59"/>
        <v>0</v>
      </c>
      <c r="BG188" s="105">
        <v>0</v>
      </c>
      <c r="BH188" s="118">
        <f t="shared" si="57"/>
        <v>0</v>
      </c>
      <c r="BI188" s="5">
        <v>0</v>
      </c>
      <c r="BJ188" s="118">
        <f t="shared" si="11"/>
        <v>0</v>
      </c>
      <c r="BK188" s="5">
        <v>0</v>
      </c>
      <c r="BL188" s="127">
        <f t="shared" si="60"/>
        <v>0</v>
      </c>
      <c r="BM188" s="220" t="s">
        <v>649</v>
      </c>
      <c r="BO188" s="1" t="s">
        <v>570</v>
      </c>
      <c r="BP188" s="233" t="s">
        <v>685</v>
      </c>
      <c r="BQ188" s="233"/>
      <c r="BR188" s="234"/>
    </row>
    <row r="189" spans="1:70">
      <c r="A189" s="219" t="s">
        <v>451</v>
      </c>
      <c r="B189" s="106" t="s">
        <v>244</v>
      </c>
      <c r="C189" s="66" t="s">
        <v>175</v>
      </c>
      <c r="D189" s="284"/>
      <c r="E189" s="77" t="s">
        <v>253</v>
      </c>
      <c r="F189" s="282"/>
      <c r="G189" s="71" t="s">
        <v>202</v>
      </c>
      <c r="H189" s="70" t="s">
        <v>648</v>
      </c>
      <c r="I189" s="70" t="s">
        <v>184</v>
      </c>
      <c r="J189" s="71" t="s">
        <v>567</v>
      </c>
      <c r="K189" s="70" t="s">
        <v>250</v>
      </c>
      <c r="L189" s="69" t="s">
        <v>257</v>
      </c>
      <c r="M189" s="180" t="s">
        <v>608</v>
      </c>
      <c r="N189" s="68">
        <v>15.75</v>
      </c>
      <c r="O189" s="58">
        <v>15.75</v>
      </c>
      <c r="P189" s="144">
        <v>15.75</v>
      </c>
      <c r="Q189" s="144">
        <v>15.75</v>
      </c>
      <c r="R189" s="144">
        <v>15.75</v>
      </c>
      <c r="S189" s="144">
        <v>15.75</v>
      </c>
      <c r="T189" s="144">
        <v>15.75</v>
      </c>
      <c r="U189" s="144">
        <v>15.75</v>
      </c>
      <c r="V189" s="144">
        <v>15.75</v>
      </c>
      <c r="W189" s="144">
        <v>15.75</v>
      </c>
      <c r="X189" s="144">
        <v>15.75</v>
      </c>
      <c r="Y189" s="144">
        <v>15.75</v>
      </c>
      <c r="Z189" s="144">
        <v>15.75</v>
      </c>
      <c r="AA189" s="58">
        <v>15.75</v>
      </c>
      <c r="AB189" s="68">
        <v>0.46</v>
      </c>
      <c r="AC189" s="144">
        <v>0.46</v>
      </c>
      <c r="AD189" s="144">
        <v>0.46</v>
      </c>
      <c r="AE189" s="144">
        <v>0.46</v>
      </c>
      <c r="AF189" s="144">
        <v>0.46</v>
      </c>
      <c r="AG189" s="144">
        <v>0.46</v>
      </c>
      <c r="AH189" s="144">
        <v>0.46</v>
      </c>
      <c r="AI189" s="144">
        <v>0.46</v>
      </c>
      <c r="AJ189" s="144">
        <v>0.46</v>
      </c>
      <c r="AK189" s="144">
        <v>0.46</v>
      </c>
      <c r="AL189" s="144">
        <v>0.46</v>
      </c>
      <c r="AM189" s="144">
        <v>0.46</v>
      </c>
      <c r="AN189" s="153">
        <v>0.46</v>
      </c>
      <c r="AO189" s="105">
        <v>0</v>
      </c>
      <c r="AP189" s="118">
        <f t="shared" si="56"/>
        <v>0</v>
      </c>
      <c r="AQ189" s="105">
        <v>0</v>
      </c>
      <c r="AR189" s="118">
        <f t="shared" si="2"/>
        <v>0</v>
      </c>
      <c r="AS189" s="105">
        <v>0</v>
      </c>
      <c r="AT189" s="127">
        <f t="shared" si="3"/>
        <v>0</v>
      </c>
      <c r="AU189" s="5">
        <v>0</v>
      </c>
      <c r="AV189" s="118">
        <f t="shared" si="4"/>
        <v>0</v>
      </c>
      <c r="AW189" s="105">
        <v>0</v>
      </c>
      <c r="AX189" s="118">
        <f t="shared" si="5"/>
        <v>0</v>
      </c>
      <c r="AY189" s="105">
        <v>0</v>
      </c>
      <c r="AZ189" s="127">
        <f t="shared" si="58"/>
        <v>0</v>
      </c>
      <c r="BA189" s="105">
        <v>0</v>
      </c>
      <c r="BB189" s="118">
        <f t="shared" si="7"/>
        <v>0</v>
      </c>
      <c r="BC189" s="105">
        <v>0</v>
      </c>
      <c r="BD189" s="118">
        <f t="shared" si="8"/>
        <v>0</v>
      </c>
      <c r="BE189" s="5">
        <v>0</v>
      </c>
      <c r="BF189" s="127">
        <f t="shared" si="59"/>
        <v>0</v>
      </c>
      <c r="BG189" s="105">
        <v>0</v>
      </c>
      <c r="BH189" s="118">
        <f t="shared" si="57"/>
        <v>0</v>
      </c>
      <c r="BI189" s="5">
        <v>0</v>
      </c>
      <c r="BJ189" s="118">
        <f t="shared" si="11"/>
        <v>0</v>
      </c>
      <c r="BK189" s="5">
        <v>0</v>
      </c>
      <c r="BL189" s="127">
        <f t="shared" si="60"/>
        <v>0</v>
      </c>
      <c r="BM189" s="220" t="s">
        <v>649</v>
      </c>
      <c r="BO189" s="1" t="s">
        <v>578</v>
      </c>
      <c r="BP189" s="233" t="s">
        <v>686</v>
      </c>
      <c r="BQ189" s="233"/>
      <c r="BR189" s="234"/>
    </row>
    <row r="190" spans="1:70">
      <c r="A190" s="219" t="s">
        <v>451</v>
      </c>
      <c r="B190" s="106" t="s">
        <v>244</v>
      </c>
      <c r="C190" s="66" t="s">
        <v>175</v>
      </c>
      <c r="D190" s="284"/>
      <c r="E190" s="77" t="s">
        <v>253</v>
      </c>
      <c r="F190" s="282"/>
      <c r="G190" s="71" t="s">
        <v>202</v>
      </c>
      <c r="H190" s="70" t="s">
        <v>648</v>
      </c>
      <c r="I190" s="70" t="s">
        <v>184</v>
      </c>
      <c r="J190" s="71" t="s">
        <v>567</v>
      </c>
      <c r="K190" s="70" t="s">
        <v>250</v>
      </c>
      <c r="L190" s="69" t="s">
        <v>257</v>
      </c>
      <c r="M190" s="180" t="s">
        <v>608</v>
      </c>
      <c r="N190" s="68">
        <v>15.75</v>
      </c>
      <c r="O190" s="58">
        <v>15.75</v>
      </c>
      <c r="P190" s="144">
        <v>15.75</v>
      </c>
      <c r="Q190" s="144">
        <v>15.75</v>
      </c>
      <c r="R190" s="144">
        <v>15.75</v>
      </c>
      <c r="S190" s="144">
        <v>15.75</v>
      </c>
      <c r="T190" s="144">
        <v>15.75</v>
      </c>
      <c r="U190" s="144">
        <v>15.75</v>
      </c>
      <c r="V190" s="144">
        <v>15.75</v>
      </c>
      <c r="W190" s="144">
        <v>15.75</v>
      </c>
      <c r="X190" s="144">
        <v>15.75</v>
      </c>
      <c r="Y190" s="144">
        <v>15.75</v>
      </c>
      <c r="Z190" s="144">
        <v>15.75</v>
      </c>
      <c r="AA190" s="58">
        <v>15.75</v>
      </c>
      <c r="AB190" s="68">
        <v>0.46</v>
      </c>
      <c r="AC190" s="144">
        <v>0.46</v>
      </c>
      <c r="AD190" s="144">
        <v>0.46</v>
      </c>
      <c r="AE190" s="144">
        <v>0.46</v>
      </c>
      <c r="AF190" s="144">
        <v>0.46</v>
      </c>
      <c r="AG190" s="144">
        <v>0.46</v>
      </c>
      <c r="AH190" s="144">
        <v>0.46</v>
      </c>
      <c r="AI190" s="144">
        <v>0.46</v>
      </c>
      <c r="AJ190" s="144">
        <v>0.46</v>
      </c>
      <c r="AK190" s="144">
        <v>0.46</v>
      </c>
      <c r="AL190" s="144">
        <v>0.46</v>
      </c>
      <c r="AM190" s="144">
        <v>0.46</v>
      </c>
      <c r="AN190" s="153">
        <v>0.46</v>
      </c>
      <c r="AO190" s="105">
        <v>0</v>
      </c>
      <c r="AP190" s="118">
        <f t="shared" si="56"/>
        <v>0</v>
      </c>
      <c r="AQ190" s="105">
        <v>0</v>
      </c>
      <c r="AR190" s="118">
        <f t="shared" si="2"/>
        <v>0</v>
      </c>
      <c r="AS190" s="105">
        <v>0</v>
      </c>
      <c r="AT190" s="127">
        <f t="shared" si="3"/>
        <v>0</v>
      </c>
      <c r="AU190" s="5">
        <v>0</v>
      </c>
      <c r="AV190" s="118">
        <f t="shared" si="4"/>
        <v>0</v>
      </c>
      <c r="AW190" s="105">
        <v>0</v>
      </c>
      <c r="AX190" s="118">
        <f t="shared" si="5"/>
        <v>0</v>
      </c>
      <c r="AY190" s="105">
        <v>0</v>
      </c>
      <c r="AZ190" s="127">
        <f t="shared" si="58"/>
        <v>0</v>
      </c>
      <c r="BA190" s="105">
        <v>0</v>
      </c>
      <c r="BB190" s="118">
        <f t="shared" si="7"/>
        <v>0</v>
      </c>
      <c r="BC190" s="105">
        <v>0</v>
      </c>
      <c r="BD190" s="118">
        <f t="shared" si="8"/>
        <v>0</v>
      </c>
      <c r="BE190" s="5">
        <v>0</v>
      </c>
      <c r="BF190" s="127">
        <f t="shared" si="59"/>
        <v>0</v>
      </c>
      <c r="BG190" s="105">
        <v>0</v>
      </c>
      <c r="BH190" s="118">
        <f t="shared" si="57"/>
        <v>0</v>
      </c>
      <c r="BI190" s="5">
        <v>0</v>
      </c>
      <c r="BJ190" s="118">
        <f t="shared" si="11"/>
        <v>0</v>
      </c>
      <c r="BK190" s="5">
        <v>0</v>
      </c>
      <c r="BL190" s="127">
        <f t="shared" si="60"/>
        <v>0</v>
      </c>
      <c r="BM190" s="220" t="s">
        <v>649</v>
      </c>
      <c r="BO190" s="1" t="s">
        <v>578</v>
      </c>
      <c r="BP190" s="233" t="s">
        <v>687</v>
      </c>
      <c r="BQ190" s="233"/>
      <c r="BR190" s="234"/>
    </row>
    <row r="191" spans="1:70">
      <c r="A191" s="219" t="s">
        <v>451</v>
      </c>
      <c r="B191" s="106" t="s">
        <v>244</v>
      </c>
      <c r="C191" s="66" t="s">
        <v>175</v>
      </c>
      <c r="D191" s="284"/>
      <c r="E191" s="77" t="s">
        <v>253</v>
      </c>
      <c r="F191" s="282"/>
      <c r="G191" s="71" t="s">
        <v>202</v>
      </c>
      <c r="H191" s="70" t="s">
        <v>648</v>
      </c>
      <c r="I191" s="70" t="s">
        <v>184</v>
      </c>
      <c r="J191" s="71" t="s">
        <v>567</v>
      </c>
      <c r="K191" s="70" t="s">
        <v>250</v>
      </c>
      <c r="L191" s="69" t="s">
        <v>257</v>
      </c>
      <c r="M191" s="180" t="s">
        <v>608</v>
      </c>
      <c r="N191" s="68">
        <v>15.75</v>
      </c>
      <c r="O191" s="58">
        <v>15.75</v>
      </c>
      <c r="P191" s="144">
        <v>15.75</v>
      </c>
      <c r="Q191" s="144">
        <v>15.75</v>
      </c>
      <c r="R191" s="144">
        <v>15.75</v>
      </c>
      <c r="S191" s="144">
        <v>15.75</v>
      </c>
      <c r="T191" s="144">
        <v>15.75</v>
      </c>
      <c r="U191" s="144">
        <v>15.75</v>
      </c>
      <c r="V191" s="144">
        <v>15.75</v>
      </c>
      <c r="W191" s="144">
        <v>15.75</v>
      </c>
      <c r="X191" s="144">
        <v>15.75</v>
      </c>
      <c r="Y191" s="144">
        <v>15.75</v>
      </c>
      <c r="Z191" s="144">
        <v>15.75</v>
      </c>
      <c r="AA191" s="58">
        <v>15.75</v>
      </c>
      <c r="AB191" s="68">
        <v>0.46</v>
      </c>
      <c r="AC191" s="144">
        <v>0.46</v>
      </c>
      <c r="AD191" s="144">
        <v>0.46</v>
      </c>
      <c r="AE191" s="144">
        <v>0.46</v>
      </c>
      <c r="AF191" s="144">
        <v>0.46</v>
      </c>
      <c r="AG191" s="144">
        <v>0.46</v>
      </c>
      <c r="AH191" s="144">
        <v>0.46</v>
      </c>
      <c r="AI191" s="144">
        <v>0.46</v>
      </c>
      <c r="AJ191" s="144">
        <v>0.46</v>
      </c>
      <c r="AK191" s="144">
        <v>0.46</v>
      </c>
      <c r="AL191" s="144">
        <v>0.46</v>
      </c>
      <c r="AM191" s="144">
        <v>0.46</v>
      </c>
      <c r="AN191" s="153">
        <v>0.46</v>
      </c>
      <c r="AO191" s="105">
        <v>0</v>
      </c>
      <c r="AP191" s="118">
        <f t="shared" si="56"/>
        <v>0</v>
      </c>
      <c r="AQ191" s="105">
        <v>0</v>
      </c>
      <c r="AR191" s="118">
        <f t="shared" si="2"/>
        <v>0</v>
      </c>
      <c r="AS191" s="105">
        <v>0</v>
      </c>
      <c r="AT191" s="127">
        <f t="shared" si="3"/>
        <v>0</v>
      </c>
      <c r="AU191" s="5">
        <v>0</v>
      </c>
      <c r="AV191" s="118">
        <f t="shared" si="4"/>
        <v>0</v>
      </c>
      <c r="AW191" s="105">
        <v>0</v>
      </c>
      <c r="AX191" s="118">
        <f t="shared" si="5"/>
        <v>0</v>
      </c>
      <c r="AY191" s="105">
        <v>0</v>
      </c>
      <c r="AZ191" s="127">
        <f t="shared" si="58"/>
        <v>0</v>
      </c>
      <c r="BA191" s="105">
        <v>0</v>
      </c>
      <c r="BB191" s="118">
        <f t="shared" si="7"/>
        <v>0</v>
      </c>
      <c r="BC191" s="105">
        <v>0</v>
      </c>
      <c r="BD191" s="118">
        <f t="shared" si="8"/>
        <v>0</v>
      </c>
      <c r="BE191" s="5">
        <v>0</v>
      </c>
      <c r="BF191" s="127">
        <f t="shared" si="59"/>
        <v>0</v>
      </c>
      <c r="BG191" s="105">
        <v>0</v>
      </c>
      <c r="BH191" s="118">
        <f t="shared" si="57"/>
        <v>0</v>
      </c>
      <c r="BI191" s="5">
        <v>0</v>
      </c>
      <c r="BJ191" s="118">
        <f t="shared" si="11"/>
        <v>0</v>
      </c>
      <c r="BK191" s="5">
        <v>0</v>
      </c>
      <c r="BL191" s="127">
        <f t="shared" si="60"/>
        <v>0</v>
      </c>
      <c r="BM191" s="220" t="s">
        <v>649</v>
      </c>
      <c r="BO191" s="1" t="s">
        <v>578</v>
      </c>
      <c r="BP191" s="233" t="s">
        <v>688</v>
      </c>
      <c r="BQ191" s="233"/>
      <c r="BR191" s="234"/>
    </row>
    <row r="192" spans="1:70">
      <c r="A192" s="219" t="s">
        <v>451</v>
      </c>
      <c r="B192" s="106" t="s">
        <v>244</v>
      </c>
      <c r="C192" s="66" t="s">
        <v>175</v>
      </c>
      <c r="D192" s="284"/>
      <c r="E192" s="77" t="s">
        <v>253</v>
      </c>
      <c r="F192" s="282"/>
      <c r="G192" s="71" t="s">
        <v>202</v>
      </c>
      <c r="H192" s="70" t="s">
        <v>648</v>
      </c>
      <c r="I192" s="70" t="s">
        <v>184</v>
      </c>
      <c r="J192" s="71" t="s">
        <v>567</v>
      </c>
      <c r="K192" s="70" t="s">
        <v>250</v>
      </c>
      <c r="L192" s="69" t="s">
        <v>257</v>
      </c>
      <c r="M192" s="180" t="s">
        <v>608</v>
      </c>
      <c r="N192" s="68">
        <v>15.75</v>
      </c>
      <c r="O192" s="58">
        <v>15.75</v>
      </c>
      <c r="P192" s="144">
        <v>15.75</v>
      </c>
      <c r="Q192" s="144">
        <v>15.75</v>
      </c>
      <c r="R192" s="144">
        <v>15.75</v>
      </c>
      <c r="S192" s="144">
        <v>15.75</v>
      </c>
      <c r="T192" s="144">
        <v>15.75</v>
      </c>
      <c r="U192" s="144">
        <v>15.75</v>
      </c>
      <c r="V192" s="144">
        <v>15.75</v>
      </c>
      <c r="W192" s="144">
        <v>15.75</v>
      </c>
      <c r="X192" s="144">
        <v>15.75</v>
      </c>
      <c r="Y192" s="144">
        <v>15.75</v>
      </c>
      <c r="Z192" s="144">
        <v>15.75</v>
      </c>
      <c r="AA192" s="58">
        <v>15.75</v>
      </c>
      <c r="AB192" s="68">
        <v>0.46</v>
      </c>
      <c r="AC192" s="144">
        <v>0.46</v>
      </c>
      <c r="AD192" s="144">
        <v>0.46</v>
      </c>
      <c r="AE192" s="144">
        <v>0.46</v>
      </c>
      <c r="AF192" s="144">
        <v>0.46</v>
      </c>
      <c r="AG192" s="144">
        <v>0.46</v>
      </c>
      <c r="AH192" s="144">
        <v>0.46</v>
      </c>
      <c r="AI192" s="144">
        <v>0.46</v>
      </c>
      <c r="AJ192" s="144">
        <v>0.46</v>
      </c>
      <c r="AK192" s="144">
        <v>0.46</v>
      </c>
      <c r="AL192" s="144">
        <v>0.46</v>
      </c>
      <c r="AM192" s="144">
        <v>0.46</v>
      </c>
      <c r="AN192" s="153">
        <v>0.46</v>
      </c>
      <c r="AO192" s="105">
        <v>0</v>
      </c>
      <c r="AP192" s="118">
        <f t="shared" si="56"/>
        <v>0</v>
      </c>
      <c r="AQ192" s="105">
        <v>0</v>
      </c>
      <c r="AR192" s="118">
        <f t="shared" si="2"/>
        <v>0</v>
      </c>
      <c r="AS192" s="105">
        <v>0</v>
      </c>
      <c r="AT192" s="127">
        <f t="shared" si="3"/>
        <v>0</v>
      </c>
      <c r="AU192" s="5">
        <v>0</v>
      </c>
      <c r="AV192" s="118">
        <f t="shared" si="4"/>
        <v>0</v>
      </c>
      <c r="AW192" s="105">
        <v>0</v>
      </c>
      <c r="AX192" s="118">
        <f t="shared" si="5"/>
        <v>0</v>
      </c>
      <c r="AY192" s="105">
        <v>0</v>
      </c>
      <c r="AZ192" s="127">
        <f t="shared" si="58"/>
        <v>0</v>
      </c>
      <c r="BA192" s="105">
        <v>0</v>
      </c>
      <c r="BB192" s="118">
        <f t="shared" si="7"/>
        <v>0</v>
      </c>
      <c r="BC192" s="105">
        <v>0</v>
      </c>
      <c r="BD192" s="118">
        <f t="shared" si="8"/>
        <v>0</v>
      </c>
      <c r="BE192" s="5">
        <v>0</v>
      </c>
      <c r="BF192" s="127">
        <f t="shared" si="59"/>
        <v>0</v>
      </c>
      <c r="BG192" s="105">
        <v>0</v>
      </c>
      <c r="BH192" s="118">
        <f t="shared" si="57"/>
        <v>0</v>
      </c>
      <c r="BI192" s="5">
        <v>0</v>
      </c>
      <c r="BJ192" s="118">
        <f t="shared" si="11"/>
        <v>0</v>
      </c>
      <c r="BK192" s="5">
        <v>0</v>
      </c>
      <c r="BL192" s="127">
        <f t="shared" si="60"/>
        <v>0</v>
      </c>
      <c r="BM192" s="220" t="s">
        <v>649</v>
      </c>
      <c r="BO192" s="1" t="s">
        <v>578</v>
      </c>
      <c r="BP192" s="233" t="s">
        <v>689</v>
      </c>
      <c r="BQ192" s="233"/>
      <c r="BR192" s="234"/>
    </row>
    <row r="193" spans="1:70">
      <c r="A193" s="219" t="s">
        <v>451</v>
      </c>
      <c r="B193" s="106" t="s">
        <v>244</v>
      </c>
      <c r="C193" s="66" t="s">
        <v>175</v>
      </c>
      <c r="D193" s="284"/>
      <c r="E193" s="77" t="s">
        <v>253</v>
      </c>
      <c r="F193" s="282"/>
      <c r="G193" s="71" t="s">
        <v>202</v>
      </c>
      <c r="H193" s="70" t="s">
        <v>648</v>
      </c>
      <c r="I193" s="70" t="s">
        <v>184</v>
      </c>
      <c r="J193" s="71" t="s">
        <v>567</v>
      </c>
      <c r="K193" s="70" t="s">
        <v>250</v>
      </c>
      <c r="L193" s="69" t="s">
        <v>257</v>
      </c>
      <c r="M193" s="180" t="s">
        <v>608</v>
      </c>
      <c r="N193" s="68">
        <v>15.75</v>
      </c>
      <c r="O193" s="58">
        <v>15.75</v>
      </c>
      <c r="P193" s="144">
        <v>15.75</v>
      </c>
      <c r="Q193" s="144">
        <v>15.75</v>
      </c>
      <c r="R193" s="144">
        <v>15.75</v>
      </c>
      <c r="S193" s="144">
        <v>15.75</v>
      </c>
      <c r="T193" s="144">
        <v>15.75</v>
      </c>
      <c r="U193" s="144">
        <v>15.75</v>
      </c>
      <c r="V193" s="144">
        <v>15.75</v>
      </c>
      <c r="W193" s="144">
        <v>15.75</v>
      </c>
      <c r="X193" s="144">
        <v>15.75</v>
      </c>
      <c r="Y193" s="144">
        <v>15.75</v>
      </c>
      <c r="Z193" s="144">
        <v>15.75</v>
      </c>
      <c r="AA193" s="58">
        <v>15.75</v>
      </c>
      <c r="AB193" s="68">
        <v>0.46</v>
      </c>
      <c r="AC193" s="144">
        <v>0.46</v>
      </c>
      <c r="AD193" s="144">
        <v>0.46</v>
      </c>
      <c r="AE193" s="144">
        <v>0.46</v>
      </c>
      <c r="AF193" s="144">
        <v>0.46</v>
      </c>
      <c r="AG193" s="144">
        <v>0.46</v>
      </c>
      <c r="AH193" s="144">
        <v>0.46</v>
      </c>
      <c r="AI193" s="144">
        <v>0.46</v>
      </c>
      <c r="AJ193" s="144">
        <v>0.46</v>
      </c>
      <c r="AK193" s="144">
        <v>0.46</v>
      </c>
      <c r="AL193" s="144">
        <v>0.46</v>
      </c>
      <c r="AM193" s="144">
        <v>0.46</v>
      </c>
      <c r="AN193" s="153">
        <v>0.46</v>
      </c>
      <c r="AO193" s="105">
        <v>0</v>
      </c>
      <c r="AP193" s="118">
        <f t="shared" si="56"/>
        <v>0</v>
      </c>
      <c r="AQ193" s="105">
        <v>0</v>
      </c>
      <c r="AR193" s="118">
        <f t="shared" si="2"/>
        <v>0</v>
      </c>
      <c r="AS193" s="105">
        <v>0</v>
      </c>
      <c r="AT193" s="127">
        <f t="shared" si="3"/>
        <v>0</v>
      </c>
      <c r="AU193" s="5">
        <v>0</v>
      </c>
      <c r="AV193" s="118">
        <f t="shared" si="4"/>
        <v>0</v>
      </c>
      <c r="AW193" s="105">
        <v>0</v>
      </c>
      <c r="AX193" s="118">
        <f t="shared" si="5"/>
        <v>0</v>
      </c>
      <c r="AY193" s="105">
        <v>0</v>
      </c>
      <c r="AZ193" s="127">
        <f t="shared" si="58"/>
        <v>0</v>
      </c>
      <c r="BA193" s="105">
        <v>0</v>
      </c>
      <c r="BB193" s="118">
        <f t="shared" si="7"/>
        <v>0</v>
      </c>
      <c r="BC193" s="105">
        <v>0</v>
      </c>
      <c r="BD193" s="118">
        <f t="shared" si="8"/>
        <v>0</v>
      </c>
      <c r="BE193" s="5">
        <v>0</v>
      </c>
      <c r="BF193" s="127">
        <f t="shared" si="59"/>
        <v>0</v>
      </c>
      <c r="BG193" s="105">
        <v>0</v>
      </c>
      <c r="BH193" s="118">
        <f t="shared" si="57"/>
        <v>0</v>
      </c>
      <c r="BI193" s="5">
        <v>0</v>
      </c>
      <c r="BJ193" s="118">
        <f t="shared" si="11"/>
        <v>0</v>
      </c>
      <c r="BK193" s="5">
        <v>0</v>
      </c>
      <c r="BL193" s="127">
        <f t="shared" si="60"/>
        <v>0</v>
      </c>
      <c r="BM193" s="220" t="s">
        <v>649</v>
      </c>
      <c r="BO193" s="1" t="s">
        <v>578</v>
      </c>
      <c r="BP193" s="233" t="s">
        <v>690</v>
      </c>
      <c r="BQ193" s="233"/>
      <c r="BR193" s="234"/>
    </row>
    <row r="194" spans="1:70">
      <c r="A194" s="219" t="s">
        <v>451</v>
      </c>
      <c r="B194" s="106" t="s">
        <v>244</v>
      </c>
      <c r="C194" s="66" t="s">
        <v>175</v>
      </c>
      <c r="D194" s="284"/>
      <c r="E194" s="77" t="s">
        <v>253</v>
      </c>
      <c r="F194" s="282"/>
      <c r="G194" s="71" t="s">
        <v>202</v>
      </c>
      <c r="H194" s="70" t="s">
        <v>648</v>
      </c>
      <c r="I194" s="70" t="s">
        <v>184</v>
      </c>
      <c r="J194" s="71" t="s">
        <v>567</v>
      </c>
      <c r="K194" s="70" t="s">
        <v>250</v>
      </c>
      <c r="L194" s="69" t="s">
        <v>257</v>
      </c>
      <c r="M194" s="180" t="s">
        <v>608</v>
      </c>
      <c r="N194" s="68">
        <v>15.75</v>
      </c>
      <c r="O194" s="58">
        <v>15.75</v>
      </c>
      <c r="P194" s="144">
        <v>15.75</v>
      </c>
      <c r="Q194" s="144">
        <v>15.75</v>
      </c>
      <c r="R194" s="144">
        <v>15.75</v>
      </c>
      <c r="S194" s="144">
        <v>15.75</v>
      </c>
      <c r="T194" s="144">
        <v>15.75</v>
      </c>
      <c r="U194" s="144">
        <v>15.75</v>
      </c>
      <c r="V194" s="144">
        <v>15.75</v>
      </c>
      <c r="W194" s="144">
        <v>15.75</v>
      </c>
      <c r="X194" s="144">
        <v>15.75</v>
      </c>
      <c r="Y194" s="144">
        <v>15.75</v>
      </c>
      <c r="Z194" s="144">
        <v>15.75</v>
      </c>
      <c r="AA194" s="58">
        <v>15.75</v>
      </c>
      <c r="AB194" s="68">
        <v>0.46</v>
      </c>
      <c r="AC194" s="144">
        <v>0.46</v>
      </c>
      <c r="AD194" s="144">
        <v>0.46</v>
      </c>
      <c r="AE194" s="144">
        <v>0.46</v>
      </c>
      <c r="AF194" s="144">
        <v>0.46</v>
      </c>
      <c r="AG194" s="144">
        <v>0.46</v>
      </c>
      <c r="AH194" s="144">
        <v>0.46</v>
      </c>
      <c r="AI194" s="144">
        <v>0.46</v>
      </c>
      <c r="AJ194" s="144">
        <v>0.46</v>
      </c>
      <c r="AK194" s="144">
        <v>0.46</v>
      </c>
      <c r="AL194" s="144">
        <v>0.46</v>
      </c>
      <c r="AM194" s="144">
        <v>0.46</v>
      </c>
      <c r="AN194" s="153">
        <v>0.46</v>
      </c>
      <c r="AO194" s="105">
        <v>0</v>
      </c>
      <c r="AP194" s="118">
        <f t="shared" si="56"/>
        <v>0</v>
      </c>
      <c r="AQ194" s="105">
        <v>0</v>
      </c>
      <c r="AR194" s="118">
        <f t="shared" si="2"/>
        <v>0</v>
      </c>
      <c r="AS194" s="105">
        <v>0</v>
      </c>
      <c r="AT194" s="127">
        <f t="shared" si="3"/>
        <v>0</v>
      </c>
      <c r="AU194" s="5">
        <v>0</v>
      </c>
      <c r="AV194" s="118">
        <f t="shared" si="4"/>
        <v>0</v>
      </c>
      <c r="AW194" s="105">
        <v>0</v>
      </c>
      <c r="AX194" s="118">
        <f t="shared" si="5"/>
        <v>0</v>
      </c>
      <c r="AY194" s="105">
        <v>0</v>
      </c>
      <c r="AZ194" s="127">
        <f t="shared" si="58"/>
        <v>0</v>
      </c>
      <c r="BA194" s="105">
        <v>0</v>
      </c>
      <c r="BB194" s="118">
        <f t="shared" si="7"/>
        <v>0</v>
      </c>
      <c r="BC194" s="105">
        <v>0</v>
      </c>
      <c r="BD194" s="118">
        <f t="shared" si="8"/>
        <v>0</v>
      </c>
      <c r="BE194" s="5">
        <v>0</v>
      </c>
      <c r="BF194" s="127">
        <f t="shared" si="59"/>
        <v>0</v>
      </c>
      <c r="BG194" s="105">
        <v>0</v>
      </c>
      <c r="BH194" s="118">
        <f t="shared" si="57"/>
        <v>0</v>
      </c>
      <c r="BI194" s="5">
        <v>0</v>
      </c>
      <c r="BJ194" s="118">
        <f t="shared" si="11"/>
        <v>0</v>
      </c>
      <c r="BK194" s="5">
        <v>0</v>
      </c>
      <c r="BL194" s="127">
        <f t="shared" si="60"/>
        <v>0</v>
      </c>
      <c r="BM194" s="220" t="s">
        <v>649</v>
      </c>
      <c r="BO194" s="1" t="s">
        <v>578</v>
      </c>
      <c r="BP194" s="233" t="s">
        <v>691</v>
      </c>
      <c r="BQ194" s="233"/>
      <c r="BR194" s="234"/>
    </row>
    <row r="195" spans="1:70">
      <c r="A195" s="219" t="s">
        <v>451</v>
      </c>
      <c r="B195" s="106" t="s">
        <v>244</v>
      </c>
      <c r="C195" s="66" t="s">
        <v>175</v>
      </c>
      <c r="D195" s="284"/>
      <c r="E195" s="77" t="s">
        <v>253</v>
      </c>
      <c r="F195" s="282"/>
      <c r="G195" s="71" t="s">
        <v>202</v>
      </c>
      <c r="H195" s="70" t="s">
        <v>648</v>
      </c>
      <c r="I195" s="70" t="s">
        <v>184</v>
      </c>
      <c r="J195" s="71" t="s">
        <v>567</v>
      </c>
      <c r="K195" s="70" t="s">
        <v>250</v>
      </c>
      <c r="L195" s="69" t="s">
        <v>257</v>
      </c>
      <c r="M195" s="180" t="s">
        <v>608</v>
      </c>
      <c r="N195" s="68">
        <v>15.75</v>
      </c>
      <c r="O195" s="58">
        <v>15.75</v>
      </c>
      <c r="P195" s="144">
        <v>15.75</v>
      </c>
      <c r="Q195" s="144">
        <v>15.75</v>
      </c>
      <c r="R195" s="144">
        <v>15.75</v>
      </c>
      <c r="S195" s="144">
        <v>15.75</v>
      </c>
      <c r="T195" s="144">
        <v>15.75</v>
      </c>
      <c r="U195" s="144">
        <v>15.75</v>
      </c>
      <c r="V195" s="144">
        <v>15.75</v>
      </c>
      <c r="W195" s="144">
        <v>15.75</v>
      </c>
      <c r="X195" s="144">
        <v>15.75</v>
      </c>
      <c r="Y195" s="144">
        <v>15.75</v>
      </c>
      <c r="Z195" s="144">
        <v>15.75</v>
      </c>
      <c r="AA195" s="58">
        <v>15.75</v>
      </c>
      <c r="AB195" s="68">
        <v>0.46</v>
      </c>
      <c r="AC195" s="144">
        <v>0.46</v>
      </c>
      <c r="AD195" s="144">
        <v>0.46</v>
      </c>
      <c r="AE195" s="144">
        <v>0.46</v>
      </c>
      <c r="AF195" s="144">
        <v>0.46</v>
      </c>
      <c r="AG195" s="144">
        <v>0.46</v>
      </c>
      <c r="AH195" s="144">
        <v>0.46</v>
      </c>
      <c r="AI195" s="144">
        <v>0.46</v>
      </c>
      <c r="AJ195" s="144">
        <v>0.46</v>
      </c>
      <c r="AK195" s="144">
        <v>0.46</v>
      </c>
      <c r="AL195" s="144">
        <v>0.46</v>
      </c>
      <c r="AM195" s="144">
        <v>0.46</v>
      </c>
      <c r="AN195" s="153">
        <v>0.46</v>
      </c>
      <c r="AO195" s="105">
        <v>0</v>
      </c>
      <c r="AP195" s="118">
        <f t="shared" si="56"/>
        <v>0</v>
      </c>
      <c r="AQ195" s="105">
        <v>0</v>
      </c>
      <c r="AR195" s="118">
        <f t="shared" si="2"/>
        <v>0</v>
      </c>
      <c r="AS195" s="105">
        <v>0</v>
      </c>
      <c r="AT195" s="127">
        <f t="shared" si="3"/>
        <v>0</v>
      </c>
      <c r="AU195" s="5">
        <v>0</v>
      </c>
      <c r="AV195" s="118">
        <f t="shared" si="4"/>
        <v>0</v>
      </c>
      <c r="AW195" s="105">
        <v>0</v>
      </c>
      <c r="AX195" s="118">
        <f t="shared" si="5"/>
        <v>0</v>
      </c>
      <c r="AY195" s="105">
        <v>0</v>
      </c>
      <c r="AZ195" s="127">
        <f t="shared" si="58"/>
        <v>0</v>
      </c>
      <c r="BA195" s="105">
        <v>0</v>
      </c>
      <c r="BB195" s="118">
        <f t="shared" si="7"/>
        <v>0</v>
      </c>
      <c r="BC195" s="105">
        <v>0</v>
      </c>
      <c r="BD195" s="118">
        <f t="shared" si="8"/>
        <v>0</v>
      </c>
      <c r="BE195" s="5">
        <v>0</v>
      </c>
      <c r="BF195" s="127">
        <f t="shared" si="59"/>
        <v>0</v>
      </c>
      <c r="BG195" s="105">
        <v>0</v>
      </c>
      <c r="BH195" s="118">
        <f t="shared" si="57"/>
        <v>0</v>
      </c>
      <c r="BI195" s="5">
        <v>0</v>
      </c>
      <c r="BJ195" s="118">
        <f t="shared" si="11"/>
        <v>0</v>
      </c>
      <c r="BK195" s="5">
        <v>0</v>
      </c>
      <c r="BL195" s="127">
        <f t="shared" si="60"/>
        <v>0</v>
      </c>
      <c r="BM195" s="220" t="s">
        <v>649</v>
      </c>
      <c r="BO195" s="1" t="s">
        <v>578</v>
      </c>
      <c r="BP195" s="233" t="s">
        <v>692</v>
      </c>
      <c r="BQ195" s="233"/>
      <c r="BR195" s="234"/>
    </row>
    <row r="196" spans="1:70">
      <c r="A196" s="219" t="s">
        <v>451</v>
      </c>
      <c r="B196" s="106" t="s">
        <v>244</v>
      </c>
      <c r="C196" s="66" t="s">
        <v>175</v>
      </c>
      <c r="D196" s="284"/>
      <c r="E196" s="77" t="s">
        <v>253</v>
      </c>
      <c r="F196" s="282"/>
      <c r="G196" s="71" t="s">
        <v>202</v>
      </c>
      <c r="H196" s="70" t="s">
        <v>648</v>
      </c>
      <c r="I196" s="70" t="s">
        <v>184</v>
      </c>
      <c r="J196" s="71" t="s">
        <v>567</v>
      </c>
      <c r="K196" s="70" t="s">
        <v>250</v>
      </c>
      <c r="L196" s="69" t="s">
        <v>257</v>
      </c>
      <c r="M196" s="180" t="s">
        <v>608</v>
      </c>
      <c r="N196" s="68">
        <v>15.75</v>
      </c>
      <c r="O196" s="58">
        <v>15.75</v>
      </c>
      <c r="P196" s="144">
        <v>15.75</v>
      </c>
      <c r="Q196" s="144">
        <v>15.75</v>
      </c>
      <c r="R196" s="144">
        <v>15.75</v>
      </c>
      <c r="S196" s="144">
        <v>15.75</v>
      </c>
      <c r="T196" s="144">
        <v>15.75</v>
      </c>
      <c r="U196" s="144">
        <v>15.75</v>
      </c>
      <c r="V196" s="144">
        <v>15.75</v>
      </c>
      <c r="W196" s="144">
        <v>15.75</v>
      </c>
      <c r="X196" s="144">
        <v>15.75</v>
      </c>
      <c r="Y196" s="144">
        <v>15.75</v>
      </c>
      <c r="Z196" s="144">
        <v>15.75</v>
      </c>
      <c r="AA196" s="58">
        <v>15.75</v>
      </c>
      <c r="AB196" s="68">
        <v>0.46</v>
      </c>
      <c r="AC196" s="144">
        <v>0.46</v>
      </c>
      <c r="AD196" s="144">
        <v>0.46</v>
      </c>
      <c r="AE196" s="144">
        <v>0.46</v>
      </c>
      <c r="AF196" s="144">
        <v>0.46</v>
      </c>
      <c r="AG196" s="144">
        <v>0.46</v>
      </c>
      <c r="AH196" s="144">
        <v>0.46</v>
      </c>
      <c r="AI196" s="144">
        <v>0.46</v>
      </c>
      <c r="AJ196" s="144">
        <v>0.46</v>
      </c>
      <c r="AK196" s="144">
        <v>0.46</v>
      </c>
      <c r="AL196" s="144">
        <v>0.46</v>
      </c>
      <c r="AM196" s="144">
        <v>0.46</v>
      </c>
      <c r="AN196" s="153">
        <v>0.46</v>
      </c>
      <c r="AO196" s="105">
        <v>0</v>
      </c>
      <c r="AP196" s="118">
        <f t="shared" si="56"/>
        <v>0</v>
      </c>
      <c r="AQ196" s="105">
        <v>0</v>
      </c>
      <c r="AR196" s="118">
        <f t="shared" si="2"/>
        <v>0</v>
      </c>
      <c r="AS196" s="105">
        <v>0</v>
      </c>
      <c r="AT196" s="127">
        <f t="shared" si="3"/>
        <v>0</v>
      </c>
      <c r="AU196" s="5">
        <v>0</v>
      </c>
      <c r="AV196" s="118">
        <f t="shared" si="4"/>
        <v>0</v>
      </c>
      <c r="AW196" s="105">
        <v>0</v>
      </c>
      <c r="AX196" s="118">
        <f t="shared" si="5"/>
        <v>0</v>
      </c>
      <c r="AY196" s="105">
        <v>0</v>
      </c>
      <c r="AZ196" s="127">
        <f t="shared" si="58"/>
        <v>0</v>
      </c>
      <c r="BA196" s="105">
        <v>0</v>
      </c>
      <c r="BB196" s="118">
        <f t="shared" si="7"/>
        <v>0</v>
      </c>
      <c r="BC196" s="105">
        <v>0</v>
      </c>
      <c r="BD196" s="118">
        <f t="shared" si="8"/>
        <v>0</v>
      </c>
      <c r="BE196" s="5">
        <v>0</v>
      </c>
      <c r="BF196" s="127">
        <f t="shared" si="59"/>
        <v>0</v>
      </c>
      <c r="BG196" s="105">
        <v>0</v>
      </c>
      <c r="BH196" s="118">
        <f t="shared" si="57"/>
        <v>0</v>
      </c>
      <c r="BI196" s="5">
        <v>0</v>
      </c>
      <c r="BJ196" s="118">
        <f t="shared" si="11"/>
        <v>0</v>
      </c>
      <c r="BK196" s="5">
        <v>0</v>
      </c>
      <c r="BL196" s="127">
        <f t="shared" si="60"/>
        <v>0</v>
      </c>
      <c r="BM196" s="220" t="s">
        <v>649</v>
      </c>
      <c r="BO196" s="1" t="s">
        <v>578</v>
      </c>
      <c r="BP196" s="233" t="s">
        <v>693</v>
      </c>
      <c r="BQ196" s="233"/>
      <c r="BR196" s="234"/>
    </row>
    <row r="197" spans="1:70">
      <c r="A197" s="219" t="s">
        <v>451</v>
      </c>
      <c r="B197" s="106" t="s">
        <v>244</v>
      </c>
      <c r="C197" s="66" t="s">
        <v>175</v>
      </c>
      <c r="D197" s="284"/>
      <c r="E197" s="77" t="s">
        <v>253</v>
      </c>
      <c r="F197" s="282"/>
      <c r="G197" s="71" t="s">
        <v>202</v>
      </c>
      <c r="H197" s="70" t="s">
        <v>648</v>
      </c>
      <c r="I197" s="70" t="s">
        <v>184</v>
      </c>
      <c r="J197" s="71" t="s">
        <v>567</v>
      </c>
      <c r="K197" s="70" t="s">
        <v>250</v>
      </c>
      <c r="L197" s="69" t="s">
        <v>257</v>
      </c>
      <c r="M197" s="180" t="s">
        <v>608</v>
      </c>
      <c r="N197" s="68">
        <v>15.75</v>
      </c>
      <c r="O197" s="58">
        <v>15.75</v>
      </c>
      <c r="P197" s="144">
        <v>15.75</v>
      </c>
      <c r="Q197" s="144">
        <v>15.75</v>
      </c>
      <c r="R197" s="144">
        <v>15.75</v>
      </c>
      <c r="S197" s="144">
        <v>15.75</v>
      </c>
      <c r="T197" s="144">
        <v>15.75</v>
      </c>
      <c r="U197" s="144">
        <v>15.75</v>
      </c>
      <c r="V197" s="144">
        <v>15.75</v>
      </c>
      <c r="W197" s="144">
        <v>15.75</v>
      </c>
      <c r="X197" s="144">
        <v>15.75</v>
      </c>
      <c r="Y197" s="144">
        <v>15.75</v>
      </c>
      <c r="Z197" s="144">
        <v>15.75</v>
      </c>
      <c r="AA197" s="58">
        <v>15.75</v>
      </c>
      <c r="AB197" s="68">
        <v>0.46</v>
      </c>
      <c r="AC197" s="144">
        <v>0.46</v>
      </c>
      <c r="AD197" s="144">
        <v>0.46</v>
      </c>
      <c r="AE197" s="144">
        <v>0.46</v>
      </c>
      <c r="AF197" s="144">
        <v>0.46</v>
      </c>
      <c r="AG197" s="144">
        <v>0.46</v>
      </c>
      <c r="AH197" s="144">
        <v>0.46</v>
      </c>
      <c r="AI197" s="144">
        <v>0.46</v>
      </c>
      <c r="AJ197" s="144">
        <v>0.46</v>
      </c>
      <c r="AK197" s="144">
        <v>0.46</v>
      </c>
      <c r="AL197" s="144">
        <v>0.46</v>
      </c>
      <c r="AM197" s="144">
        <v>0.46</v>
      </c>
      <c r="AN197" s="153">
        <v>0.46</v>
      </c>
      <c r="AO197" s="105">
        <v>0</v>
      </c>
      <c r="AP197" s="118">
        <f t="shared" si="56"/>
        <v>0</v>
      </c>
      <c r="AQ197" s="105">
        <v>0</v>
      </c>
      <c r="AR197" s="118">
        <f t="shared" si="2"/>
        <v>0</v>
      </c>
      <c r="AS197" s="105">
        <v>0</v>
      </c>
      <c r="AT197" s="127">
        <f t="shared" si="3"/>
        <v>0</v>
      </c>
      <c r="AU197" s="5">
        <v>0</v>
      </c>
      <c r="AV197" s="118">
        <f t="shared" si="4"/>
        <v>0</v>
      </c>
      <c r="AW197" s="105">
        <v>0</v>
      </c>
      <c r="AX197" s="118">
        <f t="shared" si="5"/>
        <v>0</v>
      </c>
      <c r="AY197" s="105">
        <v>0</v>
      </c>
      <c r="AZ197" s="127">
        <f t="shared" si="58"/>
        <v>0</v>
      </c>
      <c r="BA197" s="105">
        <v>0</v>
      </c>
      <c r="BB197" s="118">
        <f t="shared" si="7"/>
        <v>0</v>
      </c>
      <c r="BC197" s="105">
        <v>0</v>
      </c>
      <c r="BD197" s="118">
        <f t="shared" si="8"/>
        <v>0</v>
      </c>
      <c r="BE197" s="5">
        <v>0</v>
      </c>
      <c r="BF197" s="127">
        <f t="shared" si="59"/>
        <v>0</v>
      </c>
      <c r="BG197" s="105">
        <v>0</v>
      </c>
      <c r="BH197" s="118">
        <f t="shared" si="57"/>
        <v>0</v>
      </c>
      <c r="BI197" s="5">
        <v>0</v>
      </c>
      <c r="BJ197" s="118">
        <f t="shared" si="11"/>
        <v>0</v>
      </c>
      <c r="BK197" s="5">
        <v>0</v>
      </c>
      <c r="BL197" s="127">
        <f t="shared" si="60"/>
        <v>0</v>
      </c>
      <c r="BM197" s="220" t="s">
        <v>649</v>
      </c>
      <c r="BO197" s="1" t="s">
        <v>578</v>
      </c>
      <c r="BP197" s="233" t="s">
        <v>694</v>
      </c>
      <c r="BQ197" s="233"/>
      <c r="BR197" s="234"/>
    </row>
    <row r="198" spans="1:70">
      <c r="A198" s="219" t="s">
        <v>451</v>
      </c>
      <c r="B198" s="106" t="s">
        <v>244</v>
      </c>
      <c r="C198" s="66" t="s">
        <v>175</v>
      </c>
      <c r="D198" s="284"/>
      <c r="E198" s="77" t="s">
        <v>253</v>
      </c>
      <c r="F198" s="282"/>
      <c r="G198" s="71" t="s">
        <v>202</v>
      </c>
      <c r="H198" s="70" t="s">
        <v>648</v>
      </c>
      <c r="I198" s="70" t="s">
        <v>184</v>
      </c>
      <c r="J198" s="71" t="s">
        <v>567</v>
      </c>
      <c r="K198" s="70" t="s">
        <v>250</v>
      </c>
      <c r="L198" s="69" t="s">
        <v>257</v>
      </c>
      <c r="M198" s="180" t="s">
        <v>608</v>
      </c>
      <c r="N198" s="68">
        <v>15.75</v>
      </c>
      <c r="O198" s="58">
        <v>15.75</v>
      </c>
      <c r="P198" s="144">
        <v>15.75</v>
      </c>
      <c r="Q198" s="144">
        <v>15.75</v>
      </c>
      <c r="R198" s="144">
        <v>15.75</v>
      </c>
      <c r="S198" s="144">
        <v>15.75</v>
      </c>
      <c r="T198" s="144">
        <v>15.75</v>
      </c>
      <c r="U198" s="144">
        <v>15.75</v>
      </c>
      <c r="V198" s="144">
        <v>15.75</v>
      </c>
      <c r="W198" s="144">
        <v>15.75</v>
      </c>
      <c r="X198" s="144">
        <v>15.75</v>
      </c>
      <c r="Y198" s="144">
        <v>15.75</v>
      </c>
      <c r="Z198" s="144">
        <v>15.75</v>
      </c>
      <c r="AA198" s="58">
        <v>15.75</v>
      </c>
      <c r="AB198" s="68">
        <v>0.46</v>
      </c>
      <c r="AC198" s="144">
        <v>0.46</v>
      </c>
      <c r="AD198" s="144">
        <v>0.46</v>
      </c>
      <c r="AE198" s="144">
        <v>0.46</v>
      </c>
      <c r="AF198" s="144">
        <v>0.46</v>
      </c>
      <c r="AG198" s="144">
        <v>0.46</v>
      </c>
      <c r="AH198" s="144">
        <v>0.46</v>
      </c>
      <c r="AI198" s="144">
        <v>0.46</v>
      </c>
      <c r="AJ198" s="144">
        <v>0.46</v>
      </c>
      <c r="AK198" s="144">
        <v>0.46</v>
      </c>
      <c r="AL198" s="144">
        <v>0.46</v>
      </c>
      <c r="AM198" s="144">
        <v>0.46</v>
      </c>
      <c r="AN198" s="153">
        <v>0.46</v>
      </c>
      <c r="AO198" s="105">
        <v>0</v>
      </c>
      <c r="AP198" s="118">
        <f t="shared" si="56"/>
        <v>0</v>
      </c>
      <c r="AQ198" s="105">
        <v>0</v>
      </c>
      <c r="AR198" s="118">
        <f t="shared" si="2"/>
        <v>0</v>
      </c>
      <c r="AS198" s="105">
        <v>0</v>
      </c>
      <c r="AT198" s="127">
        <f t="shared" si="3"/>
        <v>0</v>
      </c>
      <c r="AU198" s="5">
        <v>0</v>
      </c>
      <c r="AV198" s="118">
        <f t="shared" si="4"/>
        <v>0</v>
      </c>
      <c r="AW198" s="105">
        <v>0</v>
      </c>
      <c r="AX198" s="118">
        <f t="shared" si="5"/>
        <v>0</v>
      </c>
      <c r="AY198" s="105">
        <v>0</v>
      </c>
      <c r="AZ198" s="127">
        <f t="shared" si="58"/>
        <v>0</v>
      </c>
      <c r="BA198" s="105">
        <v>0</v>
      </c>
      <c r="BB198" s="118">
        <f t="shared" si="7"/>
        <v>0</v>
      </c>
      <c r="BC198" s="105">
        <v>0</v>
      </c>
      <c r="BD198" s="118">
        <f t="shared" si="8"/>
        <v>0</v>
      </c>
      <c r="BE198" s="5">
        <v>0</v>
      </c>
      <c r="BF198" s="127">
        <f t="shared" si="59"/>
        <v>0</v>
      </c>
      <c r="BG198" s="105">
        <v>0</v>
      </c>
      <c r="BH198" s="118">
        <f t="shared" si="57"/>
        <v>0</v>
      </c>
      <c r="BI198" s="5">
        <v>0</v>
      </c>
      <c r="BJ198" s="118">
        <f t="shared" si="11"/>
        <v>0</v>
      </c>
      <c r="BK198" s="5">
        <v>0</v>
      </c>
      <c r="BL198" s="127">
        <f t="shared" si="60"/>
        <v>0</v>
      </c>
      <c r="BM198" s="220" t="s">
        <v>649</v>
      </c>
      <c r="BO198" s="1" t="s">
        <v>578</v>
      </c>
      <c r="BP198" s="233" t="s">
        <v>695</v>
      </c>
      <c r="BQ198" s="233"/>
      <c r="BR198" s="234"/>
    </row>
    <row r="199" spans="1:70">
      <c r="A199" s="219" t="s">
        <v>451</v>
      </c>
      <c r="B199" s="106" t="s">
        <v>244</v>
      </c>
      <c r="C199" s="66" t="s">
        <v>175</v>
      </c>
      <c r="D199" s="284"/>
      <c r="E199" s="77" t="s">
        <v>253</v>
      </c>
      <c r="F199" s="282"/>
      <c r="G199" s="71" t="s">
        <v>202</v>
      </c>
      <c r="H199" s="70" t="s">
        <v>648</v>
      </c>
      <c r="I199" s="70" t="s">
        <v>184</v>
      </c>
      <c r="J199" s="71" t="s">
        <v>567</v>
      </c>
      <c r="K199" s="70" t="s">
        <v>250</v>
      </c>
      <c r="L199" s="69" t="s">
        <v>257</v>
      </c>
      <c r="M199" s="180" t="s">
        <v>608</v>
      </c>
      <c r="N199" s="68">
        <v>15.75</v>
      </c>
      <c r="O199" s="58">
        <v>15.75</v>
      </c>
      <c r="P199" s="144">
        <v>15.75</v>
      </c>
      <c r="Q199" s="144">
        <v>15.75</v>
      </c>
      <c r="R199" s="144">
        <v>15.75</v>
      </c>
      <c r="S199" s="144">
        <v>15.75</v>
      </c>
      <c r="T199" s="144">
        <v>15.75</v>
      </c>
      <c r="U199" s="144">
        <v>15.75</v>
      </c>
      <c r="V199" s="144">
        <v>15.75</v>
      </c>
      <c r="W199" s="144">
        <v>15.75</v>
      </c>
      <c r="X199" s="144">
        <v>15.75</v>
      </c>
      <c r="Y199" s="144">
        <v>15.75</v>
      </c>
      <c r="Z199" s="144">
        <v>15.75</v>
      </c>
      <c r="AA199" s="58">
        <v>15.75</v>
      </c>
      <c r="AB199" s="68">
        <v>0.46</v>
      </c>
      <c r="AC199" s="144">
        <v>0.46</v>
      </c>
      <c r="AD199" s="144">
        <v>0.46</v>
      </c>
      <c r="AE199" s="144">
        <v>0.46</v>
      </c>
      <c r="AF199" s="144">
        <v>0.46</v>
      </c>
      <c r="AG199" s="144">
        <v>0.46</v>
      </c>
      <c r="AH199" s="144">
        <v>0.46</v>
      </c>
      <c r="AI199" s="144">
        <v>0.46</v>
      </c>
      <c r="AJ199" s="144">
        <v>0.46</v>
      </c>
      <c r="AK199" s="144">
        <v>0.46</v>
      </c>
      <c r="AL199" s="144">
        <v>0.46</v>
      </c>
      <c r="AM199" s="144">
        <v>0.46</v>
      </c>
      <c r="AN199" s="153">
        <v>0.46</v>
      </c>
      <c r="AO199" s="105">
        <v>0</v>
      </c>
      <c r="AP199" s="118">
        <f t="shared" si="56"/>
        <v>0</v>
      </c>
      <c r="AQ199" s="105">
        <v>0</v>
      </c>
      <c r="AR199" s="118">
        <f t="shared" si="2"/>
        <v>0</v>
      </c>
      <c r="AS199" s="105">
        <v>0</v>
      </c>
      <c r="AT199" s="127">
        <f t="shared" si="3"/>
        <v>0</v>
      </c>
      <c r="AU199" s="5">
        <v>0</v>
      </c>
      <c r="AV199" s="118">
        <f t="shared" si="4"/>
        <v>0</v>
      </c>
      <c r="AW199" s="105">
        <v>0</v>
      </c>
      <c r="AX199" s="118">
        <f t="shared" si="5"/>
        <v>0</v>
      </c>
      <c r="AY199" s="105">
        <v>0</v>
      </c>
      <c r="AZ199" s="127">
        <f t="shared" si="58"/>
        <v>0</v>
      </c>
      <c r="BA199" s="105">
        <v>0</v>
      </c>
      <c r="BB199" s="118">
        <f t="shared" si="7"/>
        <v>0</v>
      </c>
      <c r="BC199" s="105">
        <v>0</v>
      </c>
      <c r="BD199" s="118">
        <f t="shared" si="8"/>
        <v>0</v>
      </c>
      <c r="BE199" s="5">
        <v>0</v>
      </c>
      <c r="BF199" s="127">
        <f t="shared" si="59"/>
        <v>0</v>
      </c>
      <c r="BG199" s="105">
        <v>0</v>
      </c>
      <c r="BH199" s="118">
        <f t="shared" si="57"/>
        <v>0</v>
      </c>
      <c r="BI199" s="5">
        <v>0</v>
      </c>
      <c r="BJ199" s="118">
        <f t="shared" si="11"/>
        <v>0</v>
      </c>
      <c r="BK199" s="5">
        <v>0</v>
      </c>
      <c r="BL199" s="127">
        <f t="shared" si="60"/>
        <v>0</v>
      </c>
      <c r="BM199" s="220" t="s">
        <v>649</v>
      </c>
      <c r="BO199" s="1" t="s">
        <v>578</v>
      </c>
      <c r="BP199" s="233" t="s">
        <v>696</v>
      </c>
      <c r="BQ199" s="233"/>
      <c r="BR199" s="234"/>
    </row>
    <row r="200" spans="1:70">
      <c r="A200" s="219" t="s">
        <v>451</v>
      </c>
      <c r="B200" s="106" t="s">
        <v>244</v>
      </c>
      <c r="C200" s="66" t="s">
        <v>175</v>
      </c>
      <c r="D200" s="284"/>
      <c r="E200" s="77" t="s">
        <v>253</v>
      </c>
      <c r="F200" s="282"/>
      <c r="G200" s="71" t="s">
        <v>202</v>
      </c>
      <c r="H200" s="70" t="s">
        <v>648</v>
      </c>
      <c r="I200" s="70" t="s">
        <v>184</v>
      </c>
      <c r="J200" s="71" t="s">
        <v>567</v>
      </c>
      <c r="K200" s="70" t="s">
        <v>250</v>
      </c>
      <c r="L200" s="69" t="s">
        <v>257</v>
      </c>
      <c r="M200" s="180" t="s">
        <v>608</v>
      </c>
      <c r="N200" s="68">
        <v>15.75</v>
      </c>
      <c r="O200" s="58">
        <v>15.75</v>
      </c>
      <c r="P200" s="144">
        <v>15.75</v>
      </c>
      <c r="Q200" s="144">
        <v>15.75</v>
      </c>
      <c r="R200" s="144">
        <v>15.75</v>
      </c>
      <c r="S200" s="144">
        <v>15.75</v>
      </c>
      <c r="T200" s="144">
        <v>15.75</v>
      </c>
      <c r="U200" s="144">
        <v>15.75</v>
      </c>
      <c r="V200" s="144">
        <v>15.75</v>
      </c>
      <c r="W200" s="144">
        <v>15.75</v>
      </c>
      <c r="X200" s="144">
        <v>15.75</v>
      </c>
      <c r="Y200" s="144">
        <v>15.75</v>
      </c>
      <c r="Z200" s="144">
        <v>15.75</v>
      </c>
      <c r="AA200" s="58">
        <v>15.75</v>
      </c>
      <c r="AB200" s="68">
        <v>0.46</v>
      </c>
      <c r="AC200" s="144">
        <v>0.46</v>
      </c>
      <c r="AD200" s="144">
        <v>0.46</v>
      </c>
      <c r="AE200" s="144">
        <v>0.46</v>
      </c>
      <c r="AF200" s="144">
        <v>0.46</v>
      </c>
      <c r="AG200" s="144">
        <v>0.46</v>
      </c>
      <c r="AH200" s="144">
        <v>0.46</v>
      </c>
      <c r="AI200" s="144">
        <v>0.46</v>
      </c>
      <c r="AJ200" s="144">
        <v>0.46</v>
      </c>
      <c r="AK200" s="144">
        <v>0.46</v>
      </c>
      <c r="AL200" s="144">
        <v>0.46</v>
      </c>
      <c r="AM200" s="144">
        <v>0.46</v>
      </c>
      <c r="AN200" s="153">
        <v>0.46</v>
      </c>
      <c r="AO200" s="105">
        <v>0</v>
      </c>
      <c r="AP200" s="118">
        <f t="shared" si="56"/>
        <v>0</v>
      </c>
      <c r="AQ200" s="105">
        <v>0</v>
      </c>
      <c r="AR200" s="118">
        <f t="shared" si="2"/>
        <v>0</v>
      </c>
      <c r="AS200" s="105">
        <v>0</v>
      </c>
      <c r="AT200" s="127">
        <f t="shared" si="3"/>
        <v>0</v>
      </c>
      <c r="AU200" s="5">
        <v>0</v>
      </c>
      <c r="AV200" s="118">
        <f t="shared" si="4"/>
        <v>0</v>
      </c>
      <c r="AW200" s="105">
        <v>0</v>
      </c>
      <c r="AX200" s="118">
        <f t="shared" si="5"/>
        <v>0</v>
      </c>
      <c r="AY200" s="105">
        <v>0</v>
      </c>
      <c r="AZ200" s="127">
        <f t="shared" si="58"/>
        <v>0</v>
      </c>
      <c r="BA200" s="105">
        <v>0</v>
      </c>
      <c r="BB200" s="118">
        <f t="shared" si="7"/>
        <v>0</v>
      </c>
      <c r="BC200" s="105">
        <v>0</v>
      </c>
      <c r="BD200" s="118">
        <f t="shared" si="8"/>
        <v>0</v>
      </c>
      <c r="BE200" s="5">
        <v>0</v>
      </c>
      <c r="BF200" s="127">
        <f t="shared" si="59"/>
        <v>0</v>
      </c>
      <c r="BG200" s="105">
        <v>0</v>
      </c>
      <c r="BH200" s="118">
        <f t="shared" si="57"/>
        <v>0</v>
      </c>
      <c r="BI200" s="5">
        <v>0</v>
      </c>
      <c r="BJ200" s="118">
        <f t="shared" si="11"/>
        <v>0</v>
      </c>
      <c r="BK200" s="5">
        <v>0</v>
      </c>
      <c r="BL200" s="127">
        <f t="shared" si="60"/>
        <v>0</v>
      </c>
      <c r="BM200" s="220" t="s">
        <v>649</v>
      </c>
      <c r="BO200" s="1" t="s">
        <v>578</v>
      </c>
      <c r="BP200" s="233" t="s">
        <v>697</v>
      </c>
      <c r="BQ200" s="233"/>
      <c r="BR200" s="234"/>
    </row>
    <row r="201" spans="1:70">
      <c r="A201" s="219" t="s">
        <v>451</v>
      </c>
      <c r="B201" s="106" t="s">
        <v>244</v>
      </c>
      <c r="C201" s="66" t="s">
        <v>175</v>
      </c>
      <c r="D201" s="284"/>
      <c r="E201" s="77" t="s">
        <v>253</v>
      </c>
      <c r="F201" s="282"/>
      <c r="G201" s="71" t="s">
        <v>202</v>
      </c>
      <c r="H201" s="70" t="s">
        <v>648</v>
      </c>
      <c r="I201" s="70" t="s">
        <v>184</v>
      </c>
      <c r="J201" s="71" t="s">
        <v>567</v>
      </c>
      <c r="K201" s="70" t="s">
        <v>250</v>
      </c>
      <c r="L201" s="69" t="s">
        <v>257</v>
      </c>
      <c r="M201" s="180" t="s">
        <v>608</v>
      </c>
      <c r="N201" s="68">
        <v>15.75</v>
      </c>
      <c r="O201" s="58">
        <v>15.75</v>
      </c>
      <c r="P201" s="144">
        <v>15.75</v>
      </c>
      <c r="Q201" s="144">
        <v>15.75</v>
      </c>
      <c r="R201" s="144">
        <v>15.75</v>
      </c>
      <c r="S201" s="144">
        <v>15.75</v>
      </c>
      <c r="T201" s="144">
        <v>15.75</v>
      </c>
      <c r="U201" s="144">
        <v>15.75</v>
      </c>
      <c r="V201" s="144">
        <v>15.75</v>
      </c>
      <c r="W201" s="144">
        <v>15.75</v>
      </c>
      <c r="X201" s="144">
        <v>15.75</v>
      </c>
      <c r="Y201" s="144">
        <v>15.75</v>
      </c>
      <c r="Z201" s="144">
        <v>15.75</v>
      </c>
      <c r="AA201" s="58">
        <v>15.75</v>
      </c>
      <c r="AB201" s="68">
        <v>0.46</v>
      </c>
      <c r="AC201" s="144">
        <v>0.46</v>
      </c>
      <c r="AD201" s="144">
        <v>0.46</v>
      </c>
      <c r="AE201" s="144">
        <v>0.46</v>
      </c>
      <c r="AF201" s="144">
        <v>0.46</v>
      </c>
      <c r="AG201" s="144">
        <v>0.46</v>
      </c>
      <c r="AH201" s="144">
        <v>0.46</v>
      </c>
      <c r="AI201" s="144">
        <v>0.46</v>
      </c>
      <c r="AJ201" s="144">
        <v>0.46</v>
      </c>
      <c r="AK201" s="144">
        <v>0.46</v>
      </c>
      <c r="AL201" s="144">
        <v>0.46</v>
      </c>
      <c r="AM201" s="144">
        <v>0.46</v>
      </c>
      <c r="AN201" s="153">
        <v>0.46</v>
      </c>
      <c r="AO201" s="105">
        <v>0</v>
      </c>
      <c r="AP201" s="118">
        <f t="shared" si="56"/>
        <v>0</v>
      </c>
      <c r="AQ201" s="105">
        <v>0</v>
      </c>
      <c r="AR201" s="118">
        <f t="shared" si="2"/>
        <v>0</v>
      </c>
      <c r="AS201" s="105">
        <v>0</v>
      </c>
      <c r="AT201" s="127">
        <f t="shared" si="3"/>
        <v>0</v>
      </c>
      <c r="AU201" s="5">
        <v>0</v>
      </c>
      <c r="AV201" s="118">
        <f t="shared" si="4"/>
        <v>0</v>
      </c>
      <c r="AW201" s="105">
        <v>0</v>
      </c>
      <c r="AX201" s="118">
        <f t="shared" si="5"/>
        <v>0</v>
      </c>
      <c r="AY201" s="105">
        <v>0</v>
      </c>
      <c r="AZ201" s="127">
        <f t="shared" si="58"/>
        <v>0</v>
      </c>
      <c r="BA201" s="105">
        <v>0</v>
      </c>
      <c r="BB201" s="118">
        <f t="shared" si="7"/>
        <v>0</v>
      </c>
      <c r="BC201" s="105">
        <v>0</v>
      </c>
      <c r="BD201" s="118">
        <f t="shared" si="8"/>
        <v>0</v>
      </c>
      <c r="BE201" s="5">
        <v>0</v>
      </c>
      <c r="BF201" s="127">
        <f t="shared" si="59"/>
        <v>0</v>
      </c>
      <c r="BG201" s="105">
        <v>0</v>
      </c>
      <c r="BH201" s="118">
        <f t="shared" si="57"/>
        <v>0</v>
      </c>
      <c r="BI201" s="5">
        <v>0</v>
      </c>
      <c r="BJ201" s="118">
        <f t="shared" si="11"/>
        <v>0</v>
      </c>
      <c r="BK201" s="5">
        <v>0</v>
      </c>
      <c r="BL201" s="127">
        <f t="shared" si="60"/>
        <v>0</v>
      </c>
      <c r="BM201" s="220" t="s">
        <v>649</v>
      </c>
      <c r="BO201" s="1" t="s">
        <v>578</v>
      </c>
      <c r="BP201" s="233" t="s">
        <v>698</v>
      </c>
      <c r="BQ201" s="233"/>
      <c r="BR201" s="234"/>
    </row>
    <row r="202" spans="1:70">
      <c r="A202" s="219" t="s">
        <v>451</v>
      </c>
      <c r="B202" s="106" t="s">
        <v>244</v>
      </c>
      <c r="C202" s="66" t="s">
        <v>175</v>
      </c>
      <c r="D202" s="284"/>
      <c r="E202" s="77" t="s">
        <v>253</v>
      </c>
      <c r="F202" s="282"/>
      <c r="G202" s="71" t="s">
        <v>202</v>
      </c>
      <c r="H202" s="70" t="s">
        <v>648</v>
      </c>
      <c r="I202" s="70" t="s">
        <v>184</v>
      </c>
      <c r="J202" s="71" t="s">
        <v>567</v>
      </c>
      <c r="K202" s="70" t="s">
        <v>250</v>
      </c>
      <c r="L202" s="69" t="s">
        <v>257</v>
      </c>
      <c r="M202" s="180" t="s">
        <v>608</v>
      </c>
      <c r="N202" s="68">
        <v>15.75</v>
      </c>
      <c r="O202" s="58">
        <v>15.75</v>
      </c>
      <c r="P202" s="144">
        <v>15.75</v>
      </c>
      <c r="Q202" s="144">
        <v>15.75</v>
      </c>
      <c r="R202" s="144">
        <v>15.75</v>
      </c>
      <c r="S202" s="144">
        <v>15.75</v>
      </c>
      <c r="T202" s="144">
        <v>15.75</v>
      </c>
      <c r="U202" s="144">
        <v>15.75</v>
      </c>
      <c r="V202" s="144">
        <v>15.75</v>
      </c>
      <c r="W202" s="144">
        <v>15.75</v>
      </c>
      <c r="X202" s="144">
        <v>15.75</v>
      </c>
      <c r="Y202" s="144">
        <v>15.75</v>
      </c>
      <c r="Z202" s="144">
        <v>15.75</v>
      </c>
      <c r="AA202" s="58">
        <v>15.75</v>
      </c>
      <c r="AB202" s="68">
        <v>0.46</v>
      </c>
      <c r="AC202" s="144">
        <v>0.46</v>
      </c>
      <c r="AD202" s="144">
        <v>0.46</v>
      </c>
      <c r="AE202" s="144">
        <v>0.46</v>
      </c>
      <c r="AF202" s="144">
        <v>0.46</v>
      </c>
      <c r="AG202" s="144">
        <v>0.46</v>
      </c>
      <c r="AH202" s="144">
        <v>0.46</v>
      </c>
      <c r="AI202" s="144">
        <v>0.46</v>
      </c>
      <c r="AJ202" s="144">
        <v>0.46</v>
      </c>
      <c r="AK202" s="144">
        <v>0.46</v>
      </c>
      <c r="AL202" s="144">
        <v>0.46</v>
      </c>
      <c r="AM202" s="144">
        <v>0.46</v>
      </c>
      <c r="AN202" s="153">
        <v>0.46</v>
      </c>
      <c r="AO202" s="105">
        <v>0</v>
      </c>
      <c r="AP202" s="118">
        <f t="shared" si="56"/>
        <v>0</v>
      </c>
      <c r="AQ202" s="105">
        <v>0</v>
      </c>
      <c r="AR202" s="118">
        <f t="shared" si="2"/>
        <v>0</v>
      </c>
      <c r="AS202" s="105">
        <v>0</v>
      </c>
      <c r="AT202" s="127">
        <f t="shared" si="3"/>
        <v>0</v>
      </c>
      <c r="AU202" s="5">
        <v>0</v>
      </c>
      <c r="AV202" s="118">
        <f t="shared" si="4"/>
        <v>0</v>
      </c>
      <c r="AW202" s="105">
        <v>0</v>
      </c>
      <c r="AX202" s="118">
        <f t="shared" si="5"/>
        <v>0</v>
      </c>
      <c r="AY202" s="105">
        <v>0</v>
      </c>
      <c r="AZ202" s="127">
        <f t="shared" si="58"/>
        <v>0</v>
      </c>
      <c r="BA202" s="105">
        <v>0</v>
      </c>
      <c r="BB202" s="118">
        <f t="shared" si="7"/>
        <v>0</v>
      </c>
      <c r="BC202" s="105">
        <v>0</v>
      </c>
      <c r="BD202" s="118">
        <f t="shared" si="8"/>
        <v>0</v>
      </c>
      <c r="BE202" s="5">
        <v>0</v>
      </c>
      <c r="BF202" s="127">
        <f t="shared" si="59"/>
        <v>0</v>
      </c>
      <c r="BG202" s="105">
        <v>0</v>
      </c>
      <c r="BH202" s="118">
        <f t="shared" si="57"/>
        <v>0</v>
      </c>
      <c r="BI202" s="5">
        <v>0</v>
      </c>
      <c r="BJ202" s="118">
        <f t="shared" si="11"/>
        <v>0</v>
      </c>
      <c r="BK202" s="5">
        <v>0</v>
      </c>
      <c r="BL202" s="127">
        <f t="shared" si="60"/>
        <v>0</v>
      </c>
      <c r="BM202" s="220" t="s">
        <v>649</v>
      </c>
      <c r="BO202" s="1" t="s">
        <v>578</v>
      </c>
      <c r="BP202" s="233" t="s">
        <v>699</v>
      </c>
      <c r="BQ202" s="233"/>
      <c r="BR202" s="234"/>
    </row>
    <row r="203" spans="1:70">
      <c r="A203" s="219" t="s">
        <v>451</v>
      </c>
      <c r="B203" s="106" t="s">
        <v>244</v>
      </c>
      <c r="C203" s="66" t="s">
        <v>175</v>
      </c>
      <c r="D203" s="284"/>
      <c r="E203" s="77" t="s">
        <v>253</v>
      </c>
      <c r="F203" s="282"/>
      <c r="G203" s="71" t="s">
        <v>202</v>
      </c>
      <c r="H203" s="70" t="s">
        <v>648</v>
      </c>
      <c r="I203" s="70" t="s">
        <v>184</v>
      </c>
      <c r="J203" s="71" t="s">
        <v>567</v>
      </c>
      <c r="K203" s="70" t="s">
        <v>250</v>
      </c>
      <c r="L203" s="69" t="s">
        <v>257</v>
      </c>
      <c r="M203" s="180" t="s">
        <v>608</v>
      </c>
      <c r="N203" s="68">
        <v>15.75</v>
      </c>
      <c r="O203" s="58">
        <v>15.75</v>
      </c>
      <c r="P203" s="144">
        <v>15.75</v>
      </c>
      <c r="Q203" s="144">
        <v>15.75</v>
      </c>
      <c r="R203" s="144">
        <v>15.75</v>
      </c>
      <c r="S203" s="144">
        <v>15.75</v>
      </c>
      <c r="T203" s="144">
        <v>15.75</v>
      </c>
      <c r="U203" s="144">
        <v>15.75</v>
      </c>
      <c r="V203" s="144">
        <v>15.75</v>
      </c>
      <c r="W203" s="144">
        <v>15.75</v>
      </c>
      <c r="X203" s="144">
        <v>15.75</v>
      </c>
      <c r="Y203" s="144">
        <v>15.75</v>
      </c>
      <c r="Z203" s="144">
        <v>15.75</v>
      </c>
      <c r="AA203" s="58">
        <v>15.75</v>
      </c>
      <c r="AB203" s="68">
        <v>0.46</v>
      </c>
      <c r="AC203" s="144">
        <v>0.46</v>
      </c>
      <c r="AD203" s="144">
        <v>0.46</v>
      </c>
      <c r="AE203" s="144">
        <v>0.46</v>
      </c>
      <c r="AF203" s="144">
        <v>0.46</v>
      </c>
      <c r="AG203" s="144">
        <v>0.46</v>
      </c>
      <c r="AH203" s="144">
        <v>0.46</v>
      </c>
      <c r="AI203" s="144">
        <v>0.46</v>
      </c>
      <c r="AJ203" s="144">
        <v>0.46</v>
      </c>
      <c r="AK203" s="144">
        <v>0.46</v>
      </c>
      <c r="AL203" s="144">
        <v>0.46</v>
      </c>
      <c r="AM203" s="144">
        <v>0.46</v>
      </c>
      <c r="AN203" s="153">
        <v>0.46</v>
      </c>
      <c r="AO203" s="105">
        <v>0</v>
      </c>
      <c r="AP203" s="118">
        <f t="shared" si="56"/>
        <v>0</v>
      </c>
      <c r="AQ203" s="105">
        <v>0</v>
      </c>
      <c r="AR203" s="118">
        <f t="shared" si="2"/>
        <v>0</v>
      </c>
      <c r="AS203" s="105">
        <v>0</v>
      </c>
      <c r="AT203" s="127">
        <f t="shared" si="3"/>
        <v>0</v>
      </c>
      <c r="AU203" s="5">
        <v>0</v>
      </c>
      <c r="AV203" s="118">
        <f t="shared" si="4"/>
        <v>0</v>
      </c>
      <c r="AW203" s="105">
        <v>0</v>
      </c>
      <c r="AX203" s="118">
        <f t="shared" si="5"/>
        <v>0</v>
      </c>
      <c r="AY203" s="105">
        <v>0</v>
      </c>
      <c r="AZ203" s="127">
        <f t="shared" si="58"/>
        <v>0</v>
      </c>
      <c r="BA203" s="105">
        <v>0</v>
      </c>
      <c r="BB203" s="118">
        <f t="shared" si="7"/>
        <v>0</v>
      </c>
      <c r="BC203" s="105">
        <v>0</v>
      </c>
      <c r="BD203" s="118">
        <f t="shared" si="8"/>
        <v>0</v>
      </c>
      <c r="BE203" s="5">
        <v>0</v>
      </c>
      <c r="BF203" s="127">
        <f t="shared" si="59"/>
        <v>0</v>
      </c>
      <c r="BG203" s="105">
        <v>0</v>
      </c>
      <c r="BH203" s="118">
        <f t="shared" si="57"/>
        <v>0</v>
      </c>
      <c r="BI203" s="5">
        <v>0</v>
      </c>
      <c r="BJ203" s="118">
        <f t="shared" si="11"/>
        <v>0</v>
      </c>
      <c r="BK203" s="5">
        <v>0</v>
      </c>
      <c r="BL203" s="127">
        <f t="shared" si="60"/>
        <v>0</v>
      </c>
      <c r="BM203" s="220" t="s">
        <v>649</v>
      </c>
      <c r="BO203" s="1" t="s">
        <v>578</v>
      </c>
      <c r="BP203" s="233" t="s">
        <v>700</v>
      </c>
      <c r="BQ203" s="233"/>
      <c r="BR203" s="234"/>
    </row>
    <row r="204" spans="1:70">
      <c r="A204" s="219" t="s">
        <v>451</v>
      </c>
      <c r="B204" s="106" t="s">
        <v>244</v>
      </c>
      <c r="C204" s="66" t="s">
        <v>175</v>
      </c>
      <c r="D204" s="284"/>
      <c r="E204" s="77" t="s">
        <v>253</v>
      </c>
      <c r="F204" s="282"/>
      <c r="G204" s="71" t="s">
        <v>202</v>
      </c>
      <c r="H204" s="70" t="s">
        <v>648</v>
      </c>
      <c r="I204" s="70" t="s">
        <v>184</v>
      </c>
      <c r="J204" s="71" t="s">
        <v>567</v>
      </c>
      <c r="K204" s="70" t="s">
        <v>250</v>
      </c>
      <c r="L204" s="69" t="s">
        <v>257</v>
      </c>
      <c r="M204" s="180" t="s">
        <v>608</v>
      </c>
      <c r="N204" s="68">
        <v>15.75</v>
      </c>
      <c r="O204" s="58">
        <v>15.75</v>
      </c>
      <c r="P204" s="144">
        <v>15.75</v>
      </c>
      <c r="Q204" s="144">
        <v>15.75</v>
      </c>
      <c r="R204" s="144">
        <v>15.75</v>
      </c>
      <c r="S204" s="144">
        <v>15.75</v>
      </c>
      <c r="T204" s="144">
        <v>15.75</v>
      </c>
      <c r="U204" s="144">
        <v>15.75</v>
      </c>
      <c r="V204" s="144">
        <v>15.75</v>
      </c>
      <c r="W204" s="144">
        <v>15.75</v>
      </c>
      <c r="X204" s="144">
        <v>15.75</v>
      </c>
      <c r="Y204" s="144">
        <v>15.75</v>
      </c>
      <c r="Z204" s="144">
        <v>15.75</v>
      </c>
      <c r="AA204" s="58">
        <v>15.75</v>
      </c>
      <c r="AB204" s="68">
        <v>0.46</v>
      </c>
      <c r="AC204" s="144">
        <v>0.46</v>
      </c>
      <c r="AD204" s="144">
        <v>0.46</v>
      </c>
      <c r="AE204" s="144">
        <v>0.46</v>
      </c>
      <c r="AF204" s="144">
        <v>0.46</v>
      </c>
      <c r="AG204" s="144">
        <v>0.46</v>
      </c>
      <c r="AH204" s="144">
        <v>0.46</v>
      </c>
      <c r="AI204" s="144">
        <v>0.46</v>
      </c>
      <c r="AJ204" s="144">
        <v>0.46</v>
      </c>
      <c r="AK204" s="144">
        <v>0.46</v>
      </c>
      <c r="AL204" s="144">
        <v>0.46</v>
      </c>
      <c r="AM204" s="144">
        <v>0.46</v>
      </c>
      <c r="AN204" s="153">
        <v>0.46</v>
      </c>
      <c r="AO204" s="105">
        <v>0</v>
      </c>
      <c r="AP204" s="118">
        <f t="shared" si="56"/>
        <v>0</v>
      </c>
      <c r="AQ204" s="105">
        <v>0</v>
      </c>
      <c r="AR204" s="118">
        <f t="shared" si="2"/>
        <v>0</v>
      </c>
      <c r="AS204" s="105">
        <v>0</v>
      </c>
      <c r="AT204" s="127">
        <f t="shared" si="3"/>
        <v>0</v>
      </c>
      <c r="AU204" s="5">
        <v>0</v>
      </c>
      <c r="AV204" s="118">
        <f t="shared" si="4"/>
        <v>0</v>
      </c>
      <c r="AW204" s="105">
        <v>0</v>
      </c>
      <c r="AX204" s="118">
        <f t="shared" si="5"/>
        <v>0</v>
      </c>
      <c r="AY204" s="105">
        <v>0</v>
      </c>
      <c r="AZ204" s="127">
        <f t="shared" si="58"/>
        <v>0</v>
      </c>
      <c r="BA204" s="105">
        <v>0</v>
      </c>
      <c r="BB204" s="118">
        <f t="shared" si="7"/>
        <v>0</v>
      </c>
      <c r="BC204" s="105">
        <v>0</v>
      </c>
      <c r="BD204" s="118">
        <f t="shared" si="8"/>
        <v>0</v>
      </c>
      <c r="BE204" s="5">
        <v>0</v>
      </c>
      <c r="BF204" s="127">
        <f t="shared" si="59"/>
        <v>0</v>
      </c>
      <c r="BG204" s="105">
        <v>0</v>
      </c>
      <c r="BH204" s="118">
        <f t="shared" si="57"/>
        <v>0</v>
      </c>
      <c r="BI204" s="5">
        <v>0</v>
      </c>
      <c r="BJ204" s="118">
        <f t="shared" si="11"/>
        <v>0</v>
      </c>
      <c r="BK204" s="5">
        <v>0</v>
      </c>
      <c r="BL204" s="127">
        <f t="shared" si="60"/>
        <v>0</v>
      </c>
      <c r="BM204" s="220" t="s">
        <v>649</v>
      </c>
      <c r="BO204" s="1" t="s">
        <v>578</v>
      </c>
      <c r="BP204" s="233" t="s">
        <v>701</v>
      </c>
      <c r="BQ204" s="233"/>
      <c r="BR204" s="234"/>
    </row>
    <row r="205" spans="1:70">
      <c r="A205" s="219" t="s">
        <v>451</v>
      </c>
      <c r="B205" s="106" t="s">
        <v>244</v>
      </c>
      <c r="C205" s="66" t="s">
        <v>175</v>
      </c>
      <c r="D205" s="284"/>
      <c r="E205" s="77" t="s">
        <v>253</v>
      </c>
      <c r="F205" s="282"/>
      <c r="G205" s="71" t="s">
        <v>202</v>
      </c>
      <c r="H205" s="70" t="s">
        <v>648</v>
      </c>
      <c r="I205" s="70" t="s">
        <v>184</v>
      </c>
      <c r="J205" s="71" t="s">
        <v>567</v>
      </c>
      <c r="K205" s="70" t="s">
        <v>250</v>
      </c>
      <c r="L205" s="69" t="s">
        <v>257</v>
      </c>
      <c r="M205" s="180" t="s">
        <v>608</v>
      </c>
      <c r="N205" s="68">
        <v>15.75</v>
      </c>
      <c r="O205" s="58">
        <v>15.75</v>
      </c>
      <c r="P205" s="144">
        <v>15.75</v>
      </c>
      <c r="Q205" s="144">
        <v>15.75</v>
      </c>
      <c r="R205" s="144">
        <v>15.75</v>
      </c>
      <c r="S205" s="144">
        <v>15.75</v>
      </c>
      <c r="T205" s="144">
        <v>15.75</v>
      </c>
      <c r="U205" s="144">
        <v>15.75</v>
      </c>
      <c r="V205" s="144">
        <v>15.75</v>
      </c>
      <c r="W205" s="144">
        <v>15.75</v>
      </c>
      <c r="X205" s="144">
        <v>15.75</v>
      </c>
      <c r="Y205" s="144">
        <v>15.75</v>
      </c>
      <c r="Z205" s="144">
        <v>15.75</v>
      </c>
      <c r="AA205" s="58">
        <v>15.75</v>
      </c>
      <c r="AB205" s="68">
        <v>0.46</v>
      </c>
      <c r="AC205" s="144">
        <v>0.46</v>
      </c>
      <c r="AD205" s="144">
        <v>0.46</v>
      </c>
      <c r="AE205" s="144">
        <v>0.46</v>
      </c>
      <c r="AF205" s="144">
        <v>0.46</v>
      </c>
      <c r="AG205" s="144">
        <v>0.46</v>
      </c>
      <c r="AH205" s="144">
        <v>0.46</v>
      </c>
      <c r="AI205" s="144">
        <v>0.46</v>
      </c>
      <c r="AJ205" s="144">
        <v>0.46</v>
      </c>
      <c r="AK205" s="144">
        <v>0.46</v>
      </c>
      <c r="AL205" s="144">
        <v>0.46</v>
      </c>
      <c r="AM205" s="144">
        <v>0.46</v>
      </c>
      <c r="AN205" s="153">
        <v>0.46</v>
      </c>
      <c r="AO205" s="105">
        <v>0</v>
      </c>
      <c r="AP205" s="118">
        <f t="shared" si="56"/>
        <v>0</v>
      </c>
      <c r="AQ205" s="105">
        <v>0</v>
      </c>
      <c r="AR205" s="118">
        <f t="shared" si="2"/>
        <v>0</v>
      </c>
      <c r="AS205" s="105">
        <v>0</v>
      </c>
      <c r="AT205" s="127">
        <f t="shared" si="3"/>
        <v>0</v>
      </c>
      <c r="AU205" s="5">
        <v>0</v>
      </c>
      <c r="AV205" s="118">
        <f t="shared" si="4"/>
        <v>0</v>
      </c>
      <c r="AW205" s="105">
        <v>0</v>
      </c>
      <c r="AX205" s="118">
        <f t="shared" si="5"/>
        <v>0</v>
      </c>
      <c r="AY205" s="105">
        <v>0</v>
      </c>
      <c r="AZ205" s="127">
        <f t="shared" si="58"/>
        <v>0</v>
      </c>
      <c r="BA205" s="105">
        <v>0</v>
      </c>
      <c r="BB205" s="118">
        <f t="shared" si="7"/>
        <v>0</v>
      </c>
      <c r="BC205" s="105">
        <v>0</v>
      </c>
      <c r="BD205" s="118">
        <f t="shared" si="8"/>
        <v>0</v>
      </c>
      <c r="BE205" s="5">
        <v>0</v>
      </c>
      <c r="BF205" s="127">
        <f t="shared" si="59"/>
        <v>0</v>
      </c>
      <c r="BG205" s="105">
        <v>0</v>
      </c>
      <c r="BH205" s="118">
        <f t="shared" si="57"/>
        <v>0</v>
      </c>
      <c r="BI205" s="5">
        <v>0</v>
      </c>
      <c r="BJ205" s="118">
        <f t="shared" si="11"/>
        <v>0</v>
      </c>
      <c r="BK205" s="5">
        <v>0</v>
      </c>
      <c r="BL205" s="127">
        <f t="shared" si="60"/>
        <v>0</v>
      </c>
      <c r="BM205" s="220" t="s">
        <v>649</v>
      </c>
      <c r="BO205" s="1" t="s">
        <v>578</v>
      </c>
      <c r="BP205" s="233" t="s">
        <v>702</v>
      </c>
      <c r="BQ205" s="233"/>
      <c r="BR205" s="234"/>
    </row>
    <row r="206" spans="1:70">
      <c r="A206" s="219" t="s">
        <v>451</v>
      </c>
      <c r="B206" s="106" t="s">
        <v>244</v>
      </c>
      <c r="C206" s="66" t="s">
        <v>175</v>
      </c>
      <c r="D206" s="284"/>
      <c r="E206" s="77" t="s">
        <v>253</v>
      </c>
      <c r="F206" s="282"/>
      <c r="G206" s="71" t="s">
        <v>202</v>
      </c>
      <c r="H206" s="70" t="s">
        <v>648</v>
      </c>
      <c r="I206" s="70" t="s">
        <v>184</v>
      </c>
      <c r="J206" s="71" t="s">
        <v>567</v>
      </c>
      <c r="K206" s="70" t="s">
        <v>250</v>
      </c>
      <c r="L206" s="69" t="s">
        <v>257</v>
      </c>
      <c r="M206" s="180" t="s">
        <v>608</v>
      </c>
      <c r="N206" s="68">
        <v>15.75</v>
      </c>
      <c r="O206" s="58">
        <v>15.75</v>
      </c>
      <c r="P206" s="144">
        <v>15.75</v>
      </c>
      <c r="Q206" s="144">
        <v>15.75</v>
      </c>
      <c r="R206" s="144">
        <v>15.75</v>
      </c>
      <c r="S206" s="144">
        <v>15.75</v>
      </c>
      <c r="T206" s="144">
        <v>15.75</v>
      </c>
      <c r="U206" s="144">
        <v>15.75</v>
      </c>
      <c r="V206" s="144">
        <v>15.75</v>
      </c>
      <c r="W206" s="144">
        <v>15.75</v>
      </c>
      <c r="X206" s="144">
        <v>15.75</v>
      </c>
      <c r="Y206" s="144">
        <v>15.75</v>
      </c>
      <c r="Z206" s="144">
        <v>15.75</v>
      </c>
      <c r="AA206" s="58">
        <v>15.75</v>
      </c>
      <c r="AB206" s="68">
        <v>0.46</v>
      </c>
      <c r="AC206" s="144">
        <v>0.46</v>
      </c>
      <c r="AD206" s="144">
        <v>0.46</v>
      </c>
      <c r="AE206" s="144">
        <v>0.46</v>
      </c>
      <c r="AF206" s="144">
        <v>0.46</v>
      </c>
      <c r="AG206" s="144">
        <v>0.46</v>
      </c>
      <c r="AH206" s="144">
        <v>0.46</v>
      </c>
      <c r="AI206" s="144">
        <v>0.46</v>
      </c>
      <c r="AJ206" s="144">
        <v>0.46</v>
      </c>
      <c r="AK206" s="144">
        <v>0.46</v>
      </c>
      <c r="AL206" s="144">
        <v>0.46</v>
      </c>
      <c r="AM206" s="144">
        <v>0.46</v>
      </c>
      <c r="AN206" s="153">
        <v>0.46</v>
      </c>
      <c r="AO206" s="105">
        <v>0</v>
      </c>
      <c r="AP206" s="118">
        <f t="shared" si="56"/>
        <v>0</v>
      </c>
      <c r="AQ206" s="105">
        <v>0</v>
      </c>
      <c r="AR206" s="118">
        <f t="shared" si="2"/>
        <v>0</v>
      </c>
      <c r="AS206" s="105">
        <v>0</v>
      </c>
      <c r="AT206" s="127">
        <f t="shared" si="3"/>
        <v>0</v>
      </c>
      <c r="AU206" s="5">
        <v>0</v>
      </c>
      <c r="AV206" s="118">
        <f t="shared" si="4"/>
        <v>0</v>
      </c>
      <c r="AW206" s="105">
        <v>0</v>
      </c>
      <c r="AX206" s="118">
        <f t="shared" si="5"/>
        <v>0</v>
      </c>
      <c r="AY206" s="105">
        <v>0</v>
      </c>
      <c r="AZ206" s="127">
        <f t="shared" si="58"/>
        <v>0</v>
      </c>
      <c r="BA206" s="105">
        <v>0</v>
      </c>
      <c r="BB206" s="118">
        <f t="shared" si="7"/>
        <v>0</v>
      </c>
      <c r="BC206" s="105">
        <v>0</v>
      </c>
      <c r="BD206" s="118">
        <f t="shared" si="8"/>
        <v>0</v>
      </c>
      <c r="BE206" s="5">
        <v>0</v>
      </c>
      <c r="BF206" s="127">
        <f t="shared" si="59"/>
        <v>0</v>
      </c>
      <c r="BG206" s="105">
        <v>0</v>
      </c>
      <c r="BH206" s="118">
        <f t="shared" si="57"/>
        <v>0</v>
      </c>
      <c r="BI206" s="5">
        <v>0</v>
      </c>
      <c r="BJ206" s="118">
        <f t="shared" si="11"/>
        <v>0</v>
      </c>
      <c r="BK206" s="5">
        <v>0</v>
      </c>
      <c r="BL206" s="127">
        <f t="shared" si="60"/>
        <v>0</v>
      </c>
      <c r="BM206" s="220" t="s">
        <v>649</v>
      </c>
      <c r="BO206" s="1" t="s">
        <v>578</v>
      </c>
      <c r="BP206" s="233" t="s">
        <v>703</v>
      </c>
      <c r="BQ206" s="233"/>
      <c r="BR206" s="234"/>
    </row>
    <row r="207" spans="1:70">
      <c r="A207" s="219" t="s">
        <v>451</v>
      </c>
      <c r="B207" s="106" t="s">
        <v>244</v>
      </c>
      <c r="C207" s="66" t="s">
        <v>175</v>
      </c>
      <c r="D207" s="284"/>
      <c r="E207" s="77" t="s">
        <v>253</v>
      </c>
      <c r="F207" s="282"/>
      <c r="G207" s="71" t="s">
        <v>202</v>
      </c>
      <c r="H207" s="70" t="s">
        <v>648</v>
      </c>
      <c r="I207" s="70" t="s">
        <v>184</v>
      </c>
      <c r="J207" s="71" t="s">
        <v>567</v>
      </c>
      <c r="K207" s="70" t="s">
        <v>250</v>
      </c>
      <c r="L207" s="69" t="s">
        <v>257</v>
      </c>
      <c r="M207" s="180" t="s">
        <v>608</v>
      </c>
      <c r="N207" s="68">
        <v>15.75</v>
      </c>
      <c r="O207" s="58">
        <v>15.75</v>
      </c>
      <c r="P207" s="144">
        <v>15.75</v>
      </c>
      <c r="Q207" s="144">
        <v>15.75</v>
      </c>
      <c r="R207" s="144">
        <v>15.75</v>
      </c>
      <c r="S207" s="144">
        <v>15.75</v>
      </c>
      <c r="T207" s="144">
        <v>15.75</v>
      </c>
      <c r="U207" s="144">
        <v>15.75</v>
      </c>
      <c r="V207" s="144">
        <v>15.75</v>
      </c>
      <c r="W207" s="144">
        <v>15.75</v>
      </c>
      <c r="X207" s="144">
        <v>15.75</v>
      </c>
      <c r="Y207" s="144">
        <v>15.75</v>
      </c>
      <c r="Z207" s="144">
        <v>15.75</v>
      </c>
      <c r="AA207" s="58">
        <v>15.75</v>
      </c>
      <c r="AB207" s="68">
        <v>0.46</v>
      </c>
      <c r="AC207" s="144">
        <v>0.46</v>
      </c>
      <c r="AD207" s="144">
        <v>0.46</v>
      </c>
      <c r="AE207" s="144">
        <v>0.46</v>
      </c>
      <c r="AF207" s="144">
        <v>0.46</v>
      </c>
      <c r="AG207" s="144">
        <v>0.46</v>
      </c>
      <c r="AH207" s="144">
        <v>0.46</v>
      </c>
      <c r="AI207" s="144">
        <v>0.46</v>
      </c>
      <c r="AJ207" s="144">
        <v>0.46</v>
      </c>
      <c r="AK207" s="144">
        <v>0.46</v>
      </c>
      <c r="AL207" s="144">
        <v>0.46</v>
      </c>
      <c r="AM207" s="144">
        <v>0.46</v>
      </c>
      <c r="AN207" s="153">
        <v>0.46</v>
      </c>
      <c r="AO207" s="105">
        <v>0</v>
      </c>
      <c r="AP207" s="118">
        <f t="shared" si="56"/>
        <v>0</v>
      </c>
      <c r="AQ207" s="105">
        <v>0</v>
      </c>
      <c r="AR207" s="118">
        <f t="shared" si="2"/>
        <v>0</v>
      </c>
      <c r="AS207" s="105">
        <v>0</v>
      </c>
      <c r="AT207" s="127">
        <f t="shared" si="3"/>
        <v>0</v>
      </c>
      <c r="AU207" s="5">
        <v>0</v>
      </c>
      <c r="AV207" s="118">
        <f t="shared" si="4"/>
        <v>0</v>
      </c>
      <c r="AW207" s="105">
        <v>0</v>
      </c>
      <c r="AX207" s="118">
        <f t="shared" si="5"/>
        <v>0</v>
      </c>
      <c r="AY207" s="105">
        <v>0</v>
      </c>
      <c r="AZ207" s="127">
        <f t="shared" si="58"/>
        <v>0</v>
      </c>
      <c r="BA207" s="105">
        <v>0</v>
      </c>
      <c r="BB207" s="118">
        <f t="shared" si="7"/>
        <v>0</v>
      </c>
      <c r="BC207" s="105">
        <v>0</v>
      </c>
      <c r="BD207" s="118">
        <f t="shared" si="8"/>
        <v>0</v>
      </c>
      <c r="BE207" s="5">
        <v>0</v>
      </c>
      <c r="BF207" s="127">
        <f t="shared" si="59"/>
        <v>0</v>
      </c>
      <c r="BG207" s="105">
        <v>0</v>
      </c>
      <c r="BH207" s="118">
        <f t="shared" si="57"/>
        <v>0</v>
      </c>
      <c r="BI207" s="5">
        <v>0</v>
      </c>
      <c r="BJ207" s="118">
        <f t="shared" si="11"/>
        <v>0</v>
      </c>
      <c r="BK207" s="5">
        <v>0</v>
      </c>
      <c r="BL207" s="127">
        <f t="shared" si="60"/>
        <v>0</v>
      </c>
      <c r="BM207" s="220" t="s">
        <v>649</v>
      </c>
      <c r="BO207" s="1" t="s">
        <v>578</v>
      </c>
      <c r="BP207" s="233" t="s">
        <v>704</v>
      </c>
      <c r="BQ207" s="233"/>
      <c r="BR207" s="234"/>
    </row>
    <row r="208" spans="1:70">
      <c r="A208" s="219" t="s">
        <v>451</v>
      </c>
      <c r="B208" s="106" t="s">
        <v>244</v>
      </c>
      <c r="C208" s="66" t="s">
        <v>175</v>
      </c>
      <c r="D208" s="284"/>
      <c r="E208" s="77" t="s">
        <v>253</v>
      </c>
      <c r="F208" s="282"/>
      <c r="G208" s="71" t="s">
        <v>202</v>
      </c>
      <c r="H208" s="70" t="s">
        <v>648</v>
      </c>
      <c r="I208" s="70" t="s">
        <v>184</v>
      </c>
      <c r="J208" s="71" t="s">
        <v>567</v>
      </c>
      <c r="K208" s="70" t="s">
        <v>250</v>
      </c>
      <c r="L208" s="69" t="s">
        <v>257</v>
      </c>
      <c r="M208" s="180" t="s">
        <v>608</v>
      </c>
      <c r="N208" s="68">
        <v>15.75</v>
      </c>
      <c r="O208" s="58">
        <v>15.75</v>
      </c>
      <c r="P208" s="144">
        <v>15.75</v>
      </c>
      <c r="Q208" s="144">
        <v>15.75</v>
      </c>
      <c r="R208" s="144">
        <v>15.75</v>
      </c>
      <c r="S208" s="144">
        <v>15.75</v>
      </c>
      <c r="T208" s="144">
        <v>15.75</v>
      </c>
      <c r="U208" s="144">
        <v>15.75</v>
      </c>
      <c r="V208" s="144">
        <v>15.75</v>
      </c>
      <c r="W208" s="144">
        <v>15.75</v>
      </c>
      <c r="X208" s="144">
        <v>15.75</v>
      </c>
      <c r="Y208" s="144">
        <v>15.75</v>
      </c>
      <c r="Z208" s="144">
        <v>15.75</v>
      </c>
      <c r="AA208" s="58">
        <v>15.75</v>
      </c>
      <c r="AB208" s="68">
        <v>0.46</v>
      </c>
      <c r="AC208" s="144">
        <v>0.46</v>
      </c>
      <c r="AD208" s="144">
        <v>0.46</v>
      </c>
      <c r="AE208" s="144">
        <v>0.46</v>
      </c>
      <c r="AF208" s="144">
        <v>0.46</v>
      </c>
      <c r="AG208" s="144">
        <v>0.46</v>
      </c>
      <c r="AH208" s="144">
        <v>0.46</v>
      </c>
      <c r="AI208" s="144">
        <v>0.46</v>
      </c>
      <c r="AJ208" s="144">
        <v>0.46</v>
      </c>
      <c r="AK208" s="144">
        <v>0.46</v>
      </c>
      <c r="AL208" s="144">
        <v>0.46</v>
      </c>
      <c r="AM208" s="144">
        <v>0.46</v>
      </c>
      <c r="AN208" s="153">
        <v>0.46</v>
      </c>
      <c r="AO208" s="105">
        <v>0</v>
      </c>
      <c r="AP208" s="118">
        <f t="shared" si="56"/>
        <v>0</v>
      </c>
      <c r="AQ208" s="105">
        <v>0</v>
      </c>
      <c r="AR208" s="118">
        <f t="shared" si="2"/>
        <v>0</v>
      </c>
      <c r="AS208" s="105">
        <v>0</v>
      </c>
      <c r="AT208" s="127">
        <f t="shared" si="3"/>
        <v>0</v>
      </c>
      <c r="AU208" s="5">
        <v>0</v>
      </c>
      <c r="AV208" s="118">
        <f t="shared" si="4"/>
        <v>0</v>
      </c>
      <c r="AW208" s="105">
        <v>0</v>
      </c>
      <c r="AX208" s="118">
        <f t="shared" si="5"/>
        <v>0</v>
      </c>
      <c r="AY208" s="105">
        <v>0</v>
      </c>
      <c r="AZ208" s="127">
        <f t="shared" si="58"/>
        <v>0</v>
      </c>
      <c r="BA208" s="105">
        <v>0</v>
      </c>
      <c r="BB208" s="118">
        <f t="shared" si="7"/>
        <v>0</v>
      </c>
      <c r="BC208" s="105">
        <v>0</v>
      </c>
      <c r="BD208" s="118">
        <f t="shared" si="8"/>
        <v>0</v>
      </c>
      <c r="BE208" s="5">
        <v>0</v>
      </c>
      <c r="BF208" s="127">
        <f t="shared" si="59"/>
        <v>0</v>
      </c>
      <c r="BG208" s="105">
        <v>0</v>
      </c>
      <c r="BH208" s="118">
        <f t="shared" si="57"/>
        <v>0</v>
      </c>
      <c r="BI208" s="5">
        <v>0</v>
      </c>
      <c r="BJ208" s="118">
        <f t="shared" si="11"/>
        <v>0</v>
      </c>
      <c r="BK208" s="5">
        <v>0</v>
      </c>
      <c r="BL208" s="127">
        <f t="shared" si="60"/>
        <v>0</v>
      </c>
      <c r="BM208" s="220" t="s">
        <v>649</v>
      </c>
      <c r="BO208" s="1" t="s">
        <v>578</v>
      </c>
      <c r="BP208" s="233" t="s">
        <v>705</v>
      </c>
      <c r="BQ208" s="233"/>
      <c r="BR208" s="234"/>
    </row>
    <row r="209" spans="1:70">
      <c r="A209" s="219" t="s">
        <v>451</v>
      </c>
      <c r="B209" s="106" t="s">
        <v>244</v>
      </c>
      <c r="C209" s="66" t="s">
        <v>175</v>
      </c>
      <c r="D209" s="284"/>
      <c r="E209" s="77" t="s">
        <v>253</v>
      </c>
      <c r="F209" s="282"/>
      <c r="G209" s="71" t="s">
        <v>202</v>
      </c>
      <c r="H209" s="70" t="s">
        <v>648</v>
      </c>
      <c r="I209" s="70" t="s">
        <v>184</v>
      </c>
      <c r="J209" s="71" t="s">
        <v>567</v>
      </c>
      <c r="K209" s="70" t="s">
        <v>250</v>
      </c>
      <c r="L209" s="69" t="s">
        <v>257</v>
      </c>
      <c r="M209" s="180" t="s">
        <v>608</v>
      </c>
      <c r="N209" s="68">
        <v>15.75</v>
      </c>
      <c r="O209" s="58">
        <v>15.75</v>
      </c>
      <c r="P209" s="144">
        <v>15.75</v>
      </c>
      <c r="Q209" s="144">
        <v>15.75</v>
      </c>
      <c r="R209" s="144">
        <v>15.75</v>
      </c>
      <c r="S209" s="144">
        <v>15.75</v>
      </c>
      <c r="T209" s="144">
        <v>15.75</v>
      </c>
      <c r="U209" s="144">
        <v>15.75</v>
      </c>
      <c r="V209" s="144">
        <v>15.75</v>
      </c>
      <c r="W209" s="144">
        <v>15.75</v>
      </c>
      <c r="X209" s="144">
        <v>15.75</v>
      </c>
      <c r="Y209" s="144">
        <v>15.75</v>
      </c>
      <c r="Z209" s="144">
        <v>15.75</v>
      </c>
      <c r="AA209" s="58">
        <v>15.75</v>
      </c>
      <c r="AB209" s="68">
        <v>0.46</v>
      </c>
      <c r="AC209" s="144">
        <v>0.46</v>
      </c>
      <c r="AD209" s="144">
        <v>0.46</v>
      </c>
      <c r="AE209" s="144">
        <v>0.46</v>
      </c>
      <c r="AF209" s="144">
        <v>0.46</v>
      </c>
      <c r="AG209" s="144">
        <v>0.46</v>
      </c>
      <c r="AH209" s="144">
        <v>0.46</v>
      </c>
      <c r="AI209" s="144">
        <v>0.46</v>
      </c>
      <c r="AJ209" s="144">
        <v>0.46</v>
      </c>
      <c r="AK209" s="144">
        <v>0.46</v>
      </c>
      <c r="AL209" s="144">
        <v>0.46</v>
      </c>
      <c r="AM209" s="144">
        <v>0.46</v>
      </c>
      <c r="AN209" s="153">
        <v>0.46</v>
      </c>
      <c r="AO209" s="105">
        <v>0</v>
      </c>
      <c r="AP209" s="118">
        <f t="shared" si="56"/>
        <v>0</v>
      </c>
      <c r="AQ209" s="105">
        <v>0</v>
      </c>
      <c r="AR209" s="118">
        <f t="shared" si="2"/>
        <v>0</v>
      </c>
      <c r="AS209" s="105">
        <v>0</v>
      </c>
      <c r="AT209" s="127">
        <f t="shared" si="3"/>
        <v>0</v>
      </c>
      <c r="AU209" s="5">
        <v>0</v>
      </c>
      <c r="AV209" s="118">
        <f t="shared" si="4"/>
        <v>0</v>
      </c>
      <c r="AW209" s="105">
        <v>0</v>
      </c>
      <c r="AX209" s="118">
        <f t="shared" si="5"/>
        <v>0</v>
      </c>
      <c r="AY209" s="105">
        <v>0</v>
      </c>
      <c r="AZ209" s="127">
        <f t="shared" si="58"/>
        <v>0</v>
      </c>
      <c r="BA209" s="105">
        <v>0</v>
      </c>
      <c r="BB209" s="118">
        <f t="shared" si="7"/>
        <v>0</v>
      </c>
      <c r="BC209" s="105">
        <v>0</v>
      </c>
      <c r="BD209" s="118">
        <f t="shared" si="8"/>
        <v>0</v>
      </c>
      <c r="BE209" s="5">
        <v>0</v>
      </c>
      <c r="BF209" s="127">
        <f t="shared" si="59"/>
        <v>0</v>
      </c>
      <c r="BG209" s="105">
        <v>0</v>
      </c>
      <c r="BH209" s="118">
        <f t="shared" si="57"/>
        <v>0</v>
      </c>
      <c r="BI209" s="5">
        <v>0</v>
      </c>
      <c r="BJ209" s="118">
        <f t="shared" si="11"/>
        <v>0</v>
      </c>
      <c r="BK209" s="5">
        <v>0</v>
      </c>
      <c r="BL209" s="127">
        <f t="shared" si="60"/>
        <v>0</v>
      </c>
      <c r="BM209" s="220" t="s">
        <v>649</v>
      </c>
      <c r="BO209" s="1" t="s">
        <v>578</v>
      </c>
      <c r="BP209" s="233" t="s">
        <v>706</v>
      </c>
      <c r="BQ209" s="233"/>
      <c r="BR209" s="234"/>
    </row>
    <row r="210" spans="1:70">
      <c r="A210" s="219" t="s">
        <v>451</v>
      </c>
      <c r="B210" s="106" t="s">
        <v>244</v>
      </c>
      <c r="C210" s="66" t="s">
        <v>175</v>
      </c>
      <c r="D210" s="284"/>
      <c r="E210" s="77" t="s">
        <v>253</v>
      </c>
      <c r="F210" s="282"/>
      <c r="G210" s="71" t="s">
        <v>202</v>
      </c>
      <c r="H210" s="70" t="s">
        <v>648</v>
      </c>
      <c r="I210" s="70" t="s">
        <v>184</v>
      </c>
      <c r="J210" s="71" t="s">
        <v>567</v>
      </c>
      <c r="K210" s="70" t="s">
        <v>250</v>
      </c>
      <c r="L210" s="69" t="s">
        <v>257</v>
      </c>
      <c r="M210" s="180" t="s">
        <v>608</v>
      </c>
      <c r="N210" s="68">
        <v>15.75</v>
      </c>
      <c r="O210" s="58">
        <v>15.75</v>
      </c>
      <c r="P210" s="144">
        <v>15.75</v>
      </c>
      <c r="Q210" s="144">
        <v>15.75</v>
      </c>
      <c r="R210" s="144">
        <v>15.75</v>
      </c>
      <c r="S210" s="144">
        <v>15.75</v>
      </c>
      <c r="T210" s="144">
        <v>15.75</v>
      </c>
      <c r="U210" s="144">
        <v>15.75</v>
      </c>
      <c r="V210" s="144">
        <v>15.75</v>
      </c>
      <c r="W210" s="144">
        <v>15.75</v>
      </c>
      <c r="X210" s="144">
        <v>15.75</v>
      </c>
      <c r="Y210" s="144">
        <v>15.75</v>
      </c>
      <c r="Z210" s="144">
        <v>15.75</v>
      </c>
      <c r="AA210" s="58">
        <v>15.75</v>
      </c>
      <c r="AB210" s="68">
        <v>0.46</v>
      </c>
      <c r="AC210" s="144">
        <v>0.46</v>
      </c>
      <c r="AD210" s="144">
        <v>0.46</v>
      </c>
      <c r="AE210" s="144">
        <v>0.46</v>
      </c>
      <c r="AF210" s="144">
        <v>0.46</v>
      </c>
      <c r="AG210" s="144">
        <v>0.46</v>
      </c>
      <c r="AH210" s="144">
        <v>0.46</v>
      </c>
      <c r="AI210" s="144">
        <v>0.46</v>
      </c>
      <c r="AJ210" s="144">
        <v>0.46</v>
      </c>
      <c r="AK210" s="144">
        <v>0.46</v>
      </c>
      <c r="AL210" s="144">
        <v>0.46</v>
      </c>
      <c r="AM210" s="144">
        <v>0.46</v>
      </c>
      <c r="AN210" s="153">
        <v>0.46</v>
      </c>
      <c r="AO210" s="105">
        <v>0</v>
      </c>
      <c r="AP210" s="118">
        <f t="shared" si="56"/>
        <v>0</v>
      </c>
      <c r="AQ210" s="105">
        <v>0</v>
      </c>
      <c r="AR210" s="118">
        <f t="shared" si="2"/>
        <v>0</v>
      </c>
      <c r="AS210" s="105">
        <v>0</v>
      </c>
      <c r="AT210" s="127">
        <f t="shared" si="3"/>
        <v>0</v>
      </c>
      <c r="AU210" s="5">
        <v>0</v>
      </c>
      <c r="AV210" s="118">
        <f t="shared" si="4"/>
        <v>0</v>
      </c>
      <c r="AW210" s="105">
        <v>0</v>
      </c>
      <c r="AX210" s="118">
        <f t="shared" si="5"/>
        <v>0</v>
      </c>
      <c r="AY210" s="105">
        <v>0</v>
      </c>
      <c r="AZ210" s="127">
        <f t="shared" si="58"/>
        <v>0</v>
      </c>
      <c r="BA210" s="105">
        <v>0</v>
      </c>
      <c r="BB210" s="118">
        <f t="shared" si="7"/>
        <v>0</v>
      </c>
      <c r="BC210" s="105">
        <v>0</v>
      </c>
      <c r="BD210" s="118">
        <f t="shared" si="8"/>
        <v>0</v>
      </c>
      <c r="BE210" s="5">
        <v>0</v>
      </c>
      <c r="BF210" s="127">
        <f t="shared" si="59"/>
        <v>0</v>
      </c>
      <c r="BG210" s="105">
        <v>0</v>
      </c>
      <c r="BH210" s="118">
        <f t="shared" si="57"/>
        <v>0</v>
      </c>
      <c r="BI210" s="5">
        <v>0</v>
      </c>
      <c r="BJ210" s="118">
        <f t="shared" si="11"/>
        <v>0</v>
      </c>
      <c r="BK210" s="5">
        <v>0</v>
      </c>
      <c r="BL210" s="127">
        <f t="shared" si="60"/>
        <v>0</v>
      </c>
      <c r="BM210" s="220" t="s">
        <v>649</v>
      </c>
      <c r="BO210" s="1" t="s">
        <v>578</v>
      </c>
      <c r="BP210" s="233" t="s">
        <v>707</v>
      </c>
      <c r="BQ210" s="233"/>
      <c r="BR210" s="234"/>
    </row>
    <row r="211" spans="1:70">
      <c r="A211" s="219" t="s">
        <v>451</v>
      </c>
      <c r="B211" s="106" t="s">
        <v>244</v>
      </c>
      <c r="C211" s="66" t="s">
        <v>175</v>
      </c>
      <c r="D211" s="284"/>
      <c r="E211" s="77" t="s">
        <v>253</v>
      </c>
      <c r="F211" s="282"/>
      <c r="G211" s="71" t="s">
        <v>202</v>
      </c>
      <c r="H211" s="70" t="s">
        <v>648</v>
      </c>
      <c r="I211" s="70" t="s">
        <v>184</v>
      </c>
      <c r="J211" s="71" t="s">
        <v>567</v>
      </c>
      <c r="K211" s="70" t="s">
        <v>250</v>
      </c>
      <c r="L211" s="69" t="s">
        <v>257</v>
      </c>
      <c r="M211" s="180" t="s">
        <v>608</v>
      </c>
      <c r="N211" s="68">
        <v>15.75</v>
      </c>
      <c r="O211" s="58">
        <v>15.75</v>
      </c>
      <c r="P211" s="144">
        <v>15.75</v>
      </c>
      <c r="Q211" s="144">
        <v>15.75</v>
      </c>
      <c r="R211" s="144">
        <v>15.75</v>
      </c>
      <c r="S211" s="144">
        <v>15.75</v>
      </c>
      <c r="T211" s="144">
        <v>15.75</v>
      </c>
      <c r="U211" s="144">
        <v>15.75</v>
      </c>
      <c r="V211" s="144">
        <v>15.75</v>
      </c>
      <c r="W211" s="144">
        <v>15.75</v>
      </c>
      <c r="X211" s="144">
        <v>15.75</v>
      </c>
      <c r="Y211" s="144">
        <v>15.75</v>
      </c>
      <c r="Z211" s="144">
        <v>15.75</v>
      </c>
      <c r="AA211" s="58">
        <v>15.75</v>
      </c>
      <c r="AB211" s="68">
        <v>0.46</v>
      </c>
      <c r="AC211" s="144">
        <v>0.46</v>
      </c>
      <c r="AD211" s="144">
        <v>0.46</v>
      </c>
      <c r="AE211" s="144">
        <v>0.46</v>
      </c>
      <c r="AF211" s="144">
        <v>0.46</v>
      </c>
      <c r="AG211" s="144">
        <v>0.46</v>
      </c>
      <c r="AH211" s="144">
        <v>0.46</v>
      </c>
      <c r="AI211" s="144">
        <v>0.46</v>
      </c>
      <c r="AJ211" s="144">
        <v>0.46</v>
      </c>
      <c r="AK211" s="144">
        <v>0.46</v>
      </c>
      <c r="AL211" s="144">
        <v>0.46</v>
      </c>
      <c r="AM211" s="144">
        <v>0.46</v>
      </c>
      <c r="AN211" s="153">
        <v>0.46</v>
      </c>
      <c r="AO211" s="105">
        <v>0</v>
      </c>
      <c r="AP211" s="118">
        <f t="shared" si="56"/>
        <v>0</v>
      </c>
      <c r="AQ211" s="105">
        <v>0</v>
      </c>
      <c r="AR211" s="118">
        <f t="shared" si="2"/>
        <v>0</v>
      </c>
      <c r="AS211" s="105">
        <v>0</v>
      </c>
      <c r="AT211" s="127">
        <f t="shared" si="3"/>
        <v>0</v>
      </c>
      <c r="AU211" s="5">
        <v>0</v>
      </c>
      <c r="AV211" s="118">
        <f t="shared" si="4"/>
        <v>0</v>
      </c>
      <c r="AW211" s="105">
        <v>0</v>
      </c>
      <c r="AX211" s="118">
        <f t="shared" si="5"/>
        <v>0</v>
      </c>
      <c r="AY211" s="105">
        <v>0</v>
      </c>
      <c r="AZ211" s="127">
        <f t="shared" si="58"/>
        <v>0</v>
      </c>
      <c r="BA211" s="105">
        <v>0</v>
      </c>
      <c r="BB211" s="118">
        <f t="shared" si="7"/>
        <v>0</v>
      </c>
      <c r="BC211" s="105">
        <v>0</v>
      </c>
      <c r="BD211" s="118">
        <f t="shared" si="8"/>
        <v>0</v>
      </c>
      <c r="BE211" s="5">
        <v>0</v>
      </c>
      <c r="BF211" s="127">
        <f t="shared" si="59"/>
        <v>0</v>
      </c>
      <c r="BG211" s="105">
        <v>0</v>
      </c>
      <c r="BH211" s="118">
        <f t="shared" si="57"/>
        <v>0</v>
      </c>
      <c r="BI211" s="5">
        <v>0</v>
      </c>
      <c r="BJ211" s="118">
        <f t="shared" si="11"/>
        <v>0</v>
      </c>
      <c r="BK211" s="5">
        <v>0</v>
      </c>
      <c r="BL211" s="127">
        <f t="shared" si="60"/>
        <v>0</v>
      </c>
      <c r="BM211" s="220" t="s">
        <v>649</v>
      </c>
      <c r="BO211" s="1" t="s">
        <v>578</v>
      </c>
      <c r="BP211" s="233" t="s">
        <v>708</v>
      </c>
      <c r="BQ211" s="233"/>
      <c r="BR211" s="234"/>
    </row>
    <row r="212" spans="1:70">
      <c r="A212" s="219" t="s">
        <v>451</v>
      </c>
      <c r="B212" s="106" t="s">
        <v>244</v>
      </c>
      <c r="C212" s="66" t="s">
        <v>175</v>
      </c>
      <c r="D212" s="284"/>
      <c r="E212" s="77" t="s">
        <v>253</v>
      </c>
      <c r="F212" s="282"/>
      <c r="G212" s="71" t="s">
        <v>202</v>
      </c>
      <c r="H212" s="70" t="s">
        <v>648</v>
      </c>
      <c r="I212" s="70" t="s">
        <v>184</v>
      </c>
      <c r="J212" s="71" t="s">
        <v>567</v>
      </c>
      <c r="K212" s="70" t="s">
        <v>250</v>
      </c>
      <c r="L212" s="69" t="s">
        <v>257</v>
      </c>
      <c r="M212" s="180" t="s">
        <v>608</v>
      </c>
      <c r="N212" s="68">
        <v>15.75</v>
      </c>
      <c r="O212" s="58">
        <v>15.75</v>
      </c>
      <c r="P212" s="144">
        <v>15.75</v>
      </c>
      <c r="Q212" s="144">
        <v>15.75</v>
      </c>
      <c r="R212" s="144">
        <v>15.75</v>
      </c>
      <c r="S212" s="144">
        <v>15.75</v>
      </c>
      <c r="T212" s="144">
        <v>15.75</v>
      </c>
      <c r="U212" s="144">
        <v>15.75</v>
      </c>
      <c r="V212" s="144">
        <v>15.75</v>
      </c>
      <c r="W212" s="144">
        <v>15.75</v>
      </c>
      <c r="X212" s="144">
        <v>15.75</v>
      </c>
      <c r="Y212" s="144">
        <v>15.75</v>
      </c>
      <c r="Z212" s="144">
        <v>15.75</v>
      </c>
      <c r="AA212" s="58">
        <v>15.75</v>
      </c>
      <c r="AB212" s="68">
        <v>0.46</v>
      </c>
      <c r="AC212" s="144">
        <v>0.46</v>
      </c>
      <c r="AD212" s="144">
        <v>0.46</v>
      </c>
      <c r="AE212" s="144">
        <v>0.46</v>
      </c>
      <c r="AF212" s="144">
        <v>0.46</v>
      </c>
      <c r="AG212" s="144">
        <v>0.46</v>
      </c>
      <c r="AH212" s="144">
        <v>0.46</v>
      </c>
      <c r="AI212" s="144">
        <v>0.46</v>
      </c>
      <c r="AJ212" s="144">
        <v>0.46</v>
      </c>
      <c r="AK212" s="144">
        <v>0.46</v>
      </c>
      <c r="AL212" s="144">
        <v>0.46</v>
      </c>
      <c r="AM212" s="144">
        <v>0.46</v>
      </c>
      <c r="AN212" s="153">
        <v>0.46</v>
      </c>
      <c r="AO212" s="105">
        <v>0</v>
      </c>
      <c r="AP212" s="118">
        <f t="shared" si="56"/>
        <v>0</v>
      </c>
      <c r="AQ212" s="105">
        <v>0</v>
      </c>
      <c r="AR212" s="118">
        <f t="shared" si="2"/>
        <v>0</v>
      </c>
      <c r="AS212" s="105">
        <v>0</v>
      </c>
      <c r="AT212" s="127">
        <f t="shared" si="3"/>
        <v>0</v>
      </c>
      <c r="AU212" s="5">
        <v>0</v>
      </c>
      <c r="AV212" s="118">
        <f t="shared" si="4"/>
        <v>0</v>
      </c>
      <c r="AW212" s="105">
        <v>0</v>
      </c>
      <c r="AX212" s="118">
        <f t="shared" si="5"/>
        <v>0</v>
      </c>
      <c r="AY212" s="105">
        <v>0</v>
      </c>
      <c r="AZ212" s="127">
        <f t="shared" si="58"/>
        <v>0</v>
      </c>
      <c r="BA212" s="105">
        <v>0</v>
      </c>
      <c r="BB212" s="118">
        <f t="shared" si="7"/>
        <v>0</v>
      </c>
      <c r="BC212" s="105">
        <v>0</v>
      </c>
      <c r="BD212" s="118">
        <f t="shared" si="8"/>
        <v>0</v>
      </c>
      <c r="BE212" s="5">
        <v>0</v>
      </c>
      <c r="BF212" s="127">
        <f t="shared" si="59"/>
        <v>0</v>
      </c>
      <c r="BG212" s="105">
        <v>0</v>
      </c>
      <c r="BH212" s="118">
        <f t="shared" si="57"/>
        <v>0</v>
      </c>
      <c r="BI212" s="5">
        <v>0</v>
      </c>
      <c r="BJ212" s="118">
        <f t="shared" si="11"/>
        <v>0</v>
      </c>
      <c r="BK212" s="5">
        <v>0</v>
      </c>
      <c r="BL212" s="127">
        <f t="shared" si="60"/>
        <v>0</v>
      </c>
      <c r="BM212" s="220" t="s">
        <v>649</v>
      </c>
      <c r="BO212" s="1" t="s">
        <v>578</v>
      </c>
      <c r="BP212" s="233" t="s">
        <v>709</v>
      </c>
      <c r="BQ212" s="233"/>
      <c r="BR212" s="234"/>
    </row>
    <row r="213" spans="1:70">
      <c r="A213" s="219" t="s">
        <v>451</v>
      </c>
      <c r="B213" s="106" t="s">
        <v>244</v>
      </c>
      <c r="C213" s="66" t="s">
        <v>175</v>
      </c>
      <c r="D213" s="284"/>
      <c r="E213" s="77" t="s">
        <v>253</v>
      </c>
      <c r="F213" s="282"/>
      <c r="G213" s="71" t="s">
        <v>202</v>
      </c>
      <c r="H213" s="70" t="s">
        <v>648</v>
      </c>
      <c r="I213" s="70" t="s">
        <v>184</v>
      </c>
      <c r="J213" s="71" t="s">
        <v>567</v>
      </c>
      <c r="K213" s="70" t="s">
        <v>250</v>
      </c>
      <c r="L213" s="69" t="s">
        <v>257</v>
      </c>
      <c r="M213" s="180" t="s">
        <v>608</v>
      </c>
      <c r="N213" s="68">
        <v>15.75</v>
      </c>
      <c r="O213" s="58">
        <v>15.75</v>
      </c>
      <c r="P213" s="144">
        <v>15.75</v>
      </c>
      <c r="Q213" s="144">
        <v>15.75</v>
      </c>
      <c r="R213" s="144">
        <v>15.75</v>
      </c>
      <c r="S213" s="144">
        <v>15.75</v>
      </c>
      <c r="T213" s="144">
        <v>15.75</v>
      </c>
      <c r="U213" s="144">
        <v>15.75</v>
      </c>
      <c r="V213" s="144">
        <v>15.75</v>
      </c>
      <c r="W213" s="144">
        <v>15.75</v>
      </c>
      <c r="X213" s="144">
        <v>15.75</v>
      </c>
      <c r="Y213" s="144">
        <v>15.75</v>
      </c>
      <c r="Z213" s="144">
        <v>15.75</v>
      </c>
      <c r="AA213" s="58">
        <v>15.75</v>
      </c>
      <c r="AB213" s="68">
        <v>0.46</v>
      </c>
      <c r="AC213" s="144">
        <v>0.46</v>
      </c>
      <c r="AD213" s="144">
        <v>0.46</v>
      </c>
      <c r="AE213" s="144">
        <v>0.46</v>
      </c>
      <c r="AF213" s="144">
        <v>0.46</v>
      </c>
      <c r="AG213" s="144">
        <v>0.46</v>
      </c>
      <c r="AH213" s="144">
        <v>0.46</v>
      </c>
      <c r="AI213" s="144">
        <v>0.46</v>
      </c>
      <c r="AJ213" s="144">
        <v>0.46</v>
      </c>
      <c r="AK213" s="144">
        <v>0.46</v>
      </c>
      <c r="AL213" s="144">
        <v>0.46</v>
      </c>
      <c r="AM213" s="144">
        <v>0.46</v>
      </c>
      <c r="AN213" s="153">
        <v>0.46</v>
      </c>
      <c r="AO213" s="105">
        <v>0</v>
      </c>
      <c r="AP213" s="118">
        <f t="shared" si="56"/>
        <v>0</v>
      </c>
      <c r="AQ213" s="105">
        <v>0</v>
      </c>
      <c r="AR213" s="118">
        <f t="shared" si="2"/>
        <v>0</v>
      </c>
      <c r="AS213" s="105">
        <v>0</v>
      </c>
      <c r="AT213" s="127">
        <f t="shared" si="3"/>
        <v>0</v>
      </c>
      <c r="AU213" s="5">
        <v>0</v>
      </c>
      <c r="AV213" s="118">
        <f t="shared" si="4"/>
        <v>0</v>
      </c>
      <c r="AW213" s="105">
        <v>0</v>
      </c>
      <c r="AX213" s="118">
        <f t="shared" si="5"/>
        <v>0</v>
      </c>
      <c r="AY213" s="105">
        <v>0</v>
      </c>
      <c r="AZ213" s="127">
        <f t="shared" si="58"/>
        <v>0</v>
      </c>
      <c r="BA213" s="105">
        <v>0</v>
      </c>
      <c r="BB213" s="118">
        <f t="shared" si="7"/>
        <v>0</v>
      </c>
      <c r="BC213" s="105">
        <v>0</v>
      </c>
      <c r="BD213" s="118">
        <f t="shared" si="8"/>
        <v>0</v>
      </c>
      <c r="BE213" s="5">
        <v>0</v>
      </c>
      <c r="BF213" s="127">
        <f t="shared" si="59"/>
        <v>0</v>
      </c>
      <c r="BG213" s="105">
        <v>0</v>
      </c>
      <c r="BH213" s="118">
        <f t="shared" si="57"/>
        <v>0</v>
      </c>
      <c r="BI213" s="5">
        <v>0</v>
      </c>
      <c r="BJ213" s="118">
        <f t="shared" si="11"/>
        <v>0</v>
      </c>
      <c r="BK213" s="5">
        <v>0</v>
      </c>
      <c r="BL213" s="127">
        <f t="shared" si="60"/>
        <v>0</v>
      </c>
      <c r="BM213" s="220" t="s">
        <v>649</v>
      </c>
      <c r="BO213" s="1" t="s">
        <v>578</v>
      </c>
      <c r="BP213" s="233" t="s">
        <v>710</v>
      </c>
      <c r="BQ213" s="233"/>
      <c r="BR213" s="234"/>
    </row>
    <row r="214" spans="1:70">
      <c r="A214" s="219" t="s">
        <v>451</v>
      </c>
      <c r="B214" s="106" t="s">
        <v>244</v>
      </c>
      <c r="C214" s="66" t="s">
        <v>175</v>
      </c>
      <c r="D214" s="284"/>
      <c r="E214" s="77" t="s">
        <v>253</v>
      </c>
      <c r="F214" s="282"/>
      <c r="G214" s="71" t="s">
        <v>202</v>
      </c>
      <c r="H214" s="70" t="s">
        <v>648</v>
      </c>
      <c r="I214" s="70" t="s">
        <v>184</v>
      </c>
      <c r="J214" s="71" t="s">
        <v>567</v>
      </c>
      <c r="K214" s="70" t="s">
        <v>250</v>
      </c>
      <c r="L214" s="69" t="s">
        <v>257</v>
      </c>
      <c r="M214" s="180" t="s">
        <v>608</v>
      </c>
      <c r="N214" s="68">
        <v>15.75</v>
      </c>
      <c r="O214" s="58">
        <v>15.75</v>
      </c>
      <c r="P214" s="144">
        <v>15.75</v>
      </c>
      <c r="Q214" s="144">
        <v>15.75</v>
      </c>
      <c r="R214" s="144">
        <v>15.75</v>
      </c>
      <c r="S214" s="144">
        <v>15.75</v>
      </c>
      <c r="T214" s="144">
        <v>15.75</v>
      </c>
      <c r="U214" s="144">
        <v>15.75</v>
      </c>
      <c r="V214" s="144">
        <v>15.75</v>
      </c>
      <c r="W214" s="144">
        <v>15.75</v>
      </c>
      <c r="X214" s="144">
        <v>15.75</v>
      </c>
      <c r="Y214" s="144">
        <v>15.75</v>
      </c>
      <c r="Z214" s="144">
        <v>15.75</v>
      </c>
      <c r="AA214" s="58">
        <v>15.75</v>
      </c>
      <c r="AB214" s="68">
        <v>0.46</v>
      </c>
      <c r="AC214" s="144">
        <v>0.46</v>
      </c>
      <c r="AD214" s="144">
        <v>0.46</v>
      </c>
      <c r="AE214" s="144">
        <v>0.46</v>
      </c>
      <c r="AF214" s="144">
        <v>0.46</v>
      </c>
      <c r="AG214" s="144">
        <v>0.46</v>
      </c>
      <c r="AH214" s="144">
        <v>0.46</v>
      </c>
      <c r="AI214" s="144">
        <v>0.46</v>
      </c>
      <c r="AJ214" s="144">
        <v>0.46</v>
      </c>
      <c r="AK214" s="144">
        <v>0.46</v>
      </c>
      <c r="AL214" s="144">
        <v>0.46</v>
      </c>
      <c r="AM214" s="144">
        <v>0.46</v>
      </c>
      <c r="AN214" s="153">
        <v>0.46</v>
      </c>
      <c r="AO214" s="105">
        <v>0</v>
      </c>
      <c r="AP214" s="118">
        <f t="shared" si="56"/>
        <v>0</v>
      </c>
      <c r="AQ214" s="105">
        <v>0</v>
      </c>
      <c r="AR214" s="118">
        <f t="shared" si="2"/>
        <v>0</v>
      </c>
      <c r="AS214" s="105">
        <v>0</v>
      </c>
      <c r="AT214" s="127">
        <f t="shared" si="3"/>
        <v>0</v>
      </c>
      <c r="AU214" s="5">
        <v>0</v>
      </c>
      <c r="AV214" s="118">
        <f t="shared" si="4"/>
        <v>0</v>
      </c>
      <c r="AW214" s="105">
        <v>0</v>
      </c>
      <c r="AX214" s="118">
        <f t="shared" si="5"/>
        <v>0</v>
      </c>
      <c r="AY214" s="105">
        <v>0</v>
      </c>
      <c r="AZ214" s="127">
        <f t="shared" si="58"/>
        <v>0</v>
      </c>
      <c r="BA214" s="105">
        <v>0</v>
      </c>
      <c r="BB214" s="118">
        <f t="shared" si="7"/>
        <v>0</v>
      </c>
      <c r="BC214" s="105">
        <v>0</v>
      </c>
      <c r="BD214" s="118">
        <f t="shared" si="8"/>
        <v>0</v>
      </c>
      <c r="BE214" s="5">
        <v>0</v>
      </c>
      <c r="BF214" s="127">
        <f t="shared" si="59"/>
        <v>0</v>
      </c>
      <c r="BG214" s="105">
        <v>0</v>
      </c>
      <c r="BH214" s="118">
        <f t="shared" si="57"/>
        <v>0</v>
      </c>
      <c r="BI214" s="5">
        <v>0</v>
      </c>
      <c r="BJ214" s="118">
        <f t="shared" si="11"/>
        <v>0</v>
      </c>
      <c r="BK214" s="5">
        <v>0</v>
      </c>
      <c r="BL214" s="127">
        <f t="shared" si="60"/>
        <v>0</v>
      </c>
      <c r="BM214" s="220" t="s">
        <v>649</v>
      </c>
      <c r="BO214" s="1" t="s">
        <v>578</v>
      </c>
      <c r="BP214" s="233" t="s">
        <v>711</v>
      </c>
      <c r="BQ214" s="233"/>
      <c r="BR214" s="234"/>
    </row>
    <row r="215" spans="1:70">
      <c r="A215" s="219" t="s">
        <v>451</v>
      </c>
      <c r="B215" s="106" t="s">
        <v>244</v>
      </c>
      <c r="C215" s="66" t="s">
        <v>175</v>
      </c>
      <c r="D215" s="284"/>
      <c r="E215" s="77" t="s">
        <v>253</v>
      </c>
      <c r="F215" s="282"/>
      <c r="G215" s="71" t="s">
        <v>202</v>
      </c>
      <c r="H215" s="70" t="s">
        <v>648</v>
      </c>
      <c r="I215" s="70" t="s">
        <v>184</v>
      </c>
      <c r="J215" s="71" t="s">
        <v>567</v>
      </c>
      <c r="K215" s="70" t="s">
        <v>250</v>
      </c>
      <c r="L215" s="69" t="s">
        <v>257</v>
      </c>
      <c r="M215" s="180" t="s">
        <v>608</v>
      </c>
      <c r="N215" s="68">
        <v>15.75</v>
      </c>
      <c r="O215" s="58">
        <v>15.75</v>
      </c>
      <c r="P215" s="144">
        <v>15.75</v>
      </c>
      <c r="Q215" s="144">
        <v>15.75</v>
      </c>
      <c r="R215" s="144">
        <v>15.75</v>
      </c>
      <c r="S215" s="144">
        <v>15.75</v>
      </c>
      <c r="T215" s="144">
        <v>15.75</v>
      </c>
      <c r="U215" s="144">
        <v>15.75</v>
      </c>
      <c r="V215" s="144">
        <v>15.75</v>
      </c>
      <c r="W215" s="144">
        <v>15.75</v>
      </c>
      <c r="X215" s="144">
        <v>15.75</v>
      </c>
      <c r="Y215" s="144">
        <v>15.75</v>
      </c>
      <c r="Z215" s="144">
        <v>15.75</v>
      </c>
      <c r="AA215" s="58">
        <v>15.75</v>
      </c>
      <c r="AB215" s="68">
        <v>0.46</v>
      </c>
      <c r="AC215" s="144">
        <v>0.46</v>
      </c>
      <c r="AD215" s="144">
        <v>0.46</v>
      </c>
      <c r="AE215" s="144">
        <v>0.46</v>
      </c>
      <c r="AF215" s="144">
        <v>0.46</v>
      </c>
      <c r="AG215" s="144">
        <v>0.46</v>
      </c>
      <c r="AH215" s="144">
        <v>0.46</v>
      </c>
      <c r="AI215" s="144">
        <v>0.46</v>
      </c>
      <c r="AJ215" s="144">
        <v>0.46</v>
      </c>
      <c r="AK215" s="144">
        <v>0.46</v>
      </c>
      <c r="AL215" s="144">
        <v>0.46</v>
      </c>
      <c r="AM215" s="144">
        <v>0.46</v>
      </c>
      <c r="AN215" s="153">
        <v>0.46</v>
      </c>
      <c r="AO215" s="105">
        <v>0</v>
      </c>
      <c r="AP215" s="118">
        <f t="shared" si="56"/>
        <v>0</v>
      </c>
      <c r="AQ215" s="105">
        <v>0</v>
      </c>
      <c r="AR215" s="118">
        <f t="shared" si="2"/>
        <v>0</v>
      </c>
      <c r="AS215" s="105">
        <v>0</v>
      </c>
      <c r="AT215" s="127">
        <f t="shared" si="3"/>
        <v>0</v>
      </c>
      <c r="AU215" s="5">
        <v>0</v>
      </c>
      <c r="AV215" s="118">
        <f t="shared" si="4"/>
        <v>0</v>
      </c>
      <c r="AW215" s="105">
        <v>0</v>
      </c>
      <c r="AX215" s="118">
        <f t="shared" si="5"/>
        <v>0</v>
      </c>
      <c r="AY215" s="105">
        <v>0</v>
      </c>
      <c r="AZ215" s="127">
        <f t="shared" si="58"/>
        <v>0</v>
      </c>
      <c r="BA215" s="105">
        <v>0</v>
      </c>
      <c r="BB215" s="118">
        <f t="shared" si="7"/>
        <v>0</v>
      </c>
      <c r="BC215" s="105">
        <v>0</v>
      </c>
      <c r="BD215" s="118">
        <f t="shared" si="8"/>
        <v>0</v>
      </c>
      <c r="BE215" s="5">
        <v>0</v>
      </c>
      <c r="BF215" s="127">
        <f t="shared" si="59"/>
        <v>0</v>
      </c>
      <c r="BG215" s="105">
        <v>0</v>
      </c>
      <c r="BH215" s="118">
        <f t="shared" si="57"/>
        <v>0</v>
      </c>
      <c r="BI215" s="5">
        <v>0</v>
      </c>
      <c r="BJ215" s="118">
        <f t="shared" si="11"/>
        <v>0</v>
      </c>
      <c r="BK215" s="5">
        <v>0</v>
      </c>
      <c r="BL215" s="127">
        <f t="shared" si="60"/>
        <v>0</v>
      </c>
      <c r="BM215" s="220" t="s">
        <v>649</v>
      </c>
      <c r="BO215" s="1" t="s">
        <v>578</v>
      </c>
      <c r="BP215" s="233" t="s">
        <v>712</v>
      </c>
      <c r="BQ215" s="233"/>
      <c r="BR215" s="234"/>
    </row>
    <row r="216" spans="1:70">
      <c r="A216" s="219" t="s">
        <v>451</v>
      </c>
      <c r="B216" s="106" t="s">
        <v>244</v>
      </c>
      <c r="C216" s="66" t="s">
        <v>175</v>
      </c>
      <c r="D216" s="284"/>
      <c r="E216" s="77" t="s">
        <v>253</v>
      </c>
      <c r="F216" s="282"/>
      <c r="G216" s="71" t="s">
        <v>202</v>
      </c>
      <c r="H216" s="70" t="s">
        <v>648</v>
      </c>
      <c r="I216" s="70" t="s">
        <v>184</v>
      </c>
      <c r="J216" s="71" t="s">
        <v>567</v>
      </c>
      <c r="K216" s="70" t="s">
        <v>250</v>
      </c>
      <c r="L216" s="69" t="s">
        <v>257</v>
      </c>
      <c r="M216" s="180" t="s">
        <v>608</v>
      </c>
      <c r="N216" s="68">
        <v>15.75</v>
      </c>
      <c r="O216" s="58">
        <v>15.75</v>
      </c>
      <c r="P216" s="144">
        <v>15.75</v>
      </c>
      <c r="Q216" s="144">
        <v>15.75</v>
      </c>
      <c r="R216" s="144">
        <v>15.75</v>
      </c>
      <c r="S216" s="144">
        <v>15.75</v>
      </c>
      <c r="T216" s="144">
        <v>15.75</v>
      </c>
      <c r="U216" s="144">
        <v>15.75</v>
      </c>
      <c r="V216" s="144">
        <v>15.75</v>
      </c>
      <c r="W216" s="144">
        <v>15.75</v>
      </c>
      <c r="X216" s="144">
        <v>15.75</v>
      </c>
      <c r="Y216" s="144">
        <v>15.75</v>
      </c>
      <c r="Z216" s="144">
        <v>15.75</v>
      </c>
      <c r="AA216" s="58">
        <v>15.75</v>
      </c>
      <c r="AB216" s="68">
        <v>0.46</v>
      </c>
      <c r="AC216" s="144">
        <v>0.46</v>
      </c>
      <c r="AD216" s="144">
        <v>0.46</v>
      </c>
      <c r="AE216" s="144">
        <v>0.46</v>
      </c>
      <c r="AF216" s="144">
        <v>0.46</v>
      </c>
      <c r="AG216" s="144">
        <v>0.46</v>
      </c>
      <c r="AH216" s="144">
        <v>0.46</v>
      </c>
      <c r="AI216" s="144">
        <v>0.46</v>
      </c>
      <c r="AJ216" s="144">
        <v>0.46</v>
      </c>
      <c r="AK216" s="144">
        <v>0.46</v>
      </c>
      <c r="AL216" s="144">
        <v>0.46</v>
      </c>
      <c r="AM216" s="144">
        <v>0.46</v>
      </c>
      <c r="AN216" s="153">
        <v>0.46</v>
      </c>
      <c r="AO216" s="105">
        <v>0</v>
      </c>
      <c r="AP216" s="118">
        <f t="shared" si="56"/>
        <v>0</v>
      </c>
      <c r="AQ216" s="105">
        <v>0</v>
      </c>
      <c r="AR216" s="118">
        <f t="shared" si="2"/>
        <v>0</v>
      </c>
      <c r="AS216" s="105">
        <v>0</v>
      </c>
      <c r="AT216" s="127">
        <f t="shared" si="3"/>
        <v>0</v>
      </c>
      <c r="AU216" s="5">
        <v>0</v>
      </c>
      <c r="AV216" s="118">
        <f t="shared" si="4"/>
        <v>0</v>
      </c>
      <c r="AW216" s="105">
        <v>0</v>
      </c>
      <c r="AX216" s="118">
        <f t="shared" si="5"/>
        <v>0</v>
      </c>
      <c r="AY216" s="105">
        <v>0</v>
      </c>
      <c r="AZ216" s="127">
        <f t="shared" si="58"/>
        <v>0</v>
      </c>
      <c r="BA216" s="105">
        <v>0</v>
      </c>
      <c r="BB216" s="118">
        <f t="shared" si="7"/>
        <v>0</v>
      </c>
      <c r="BC216" s="105">
        <v>0</v>
      </c>
      <c r="BD216" s="118">
        <f t="shared" si="8"/>
        <v>0</v>
      </c>
      <c r="BE216" s="5">
        <v>0</v>
      </c>
      <c r="BF216" s="127">
        <f t="shared" si="59"/>
        <v>0</v>
      </c>
      <c r="BG216" s="105">
        <v>0</v>
      </c>
      <c r="BH216" s="118">
        <f t="shared" si="57"/>
        <v>0</v>
      </c>
      <c r="BI216" s="5">
        <v>0</v>
      </c>
      <c r="BJ216" s="118">
        <f t="shared" si="11"/>
        <v>0</v>
      </c>
      <c r="BK216" s="5">
        <v>0</v>
      </c>
      <c r="BL216" s="127">
        <f t="shared" si="60"/>
        <v>0</v>
      </c>
      <c r="BM216" s="220" t="s">
        <v>649</v>
      </c>
      <c r="BO216" s="1" t="s">
        <v>578</v>
      </c>
      <c r="BP216" s="233" t="s">
        <v>713</v>
      </c>
      <c r="BQ216" s="233"/>
      <c r="BR216" s="234"/>
    </row>
    <row r="217" spans="1:70" s="8" customFormat="1">
      <c r="A217" s="218"/>
      <c r="B217" s="110"/>
      <c r="C217" s="57"/>
      <c r="D217" s="285"/>
      <c r="E217" s="76"/>
      <c r="F217" s="282"/>
      <c r="G217" s="72"/>
      <c r="H217" s="75"/>
      <c r="I217" s="75"/>
      <c r="J217" s="72"/>
      <c r="K217" s="75"/>
      <c r="L217" s="74"/>
      <c r="M217" s="181"/>
      <c r="N217" s="52"/>
      <c r="O217" s="49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  <c r="AA217" s="49"/>
      <c r="AB217" s="52"/>
      <c r="AC217" s="48"/>
      <c r="AD217" s="48"/>
      <c r="AE217" s="48"/>
      <c r="AF217" s="48"/>
      <c r="AG217" s="48"/>
      <c r="AH217" s="48"/>
      <c r="AI217" s="48"/>
      <c r="AJ217" s="48"/>
      <c r="AK217" s="48"/>
      <c r="AL217" s="48"/>
      <c r="AM217" s="48"/>
      <c r="AN217" s="150"/>
      <c r="AO217" s="23"/>
      <c r="AP217" s="184">
        <f t="shared" si="1"/>
        <v>0</v>
      </c>
      <c r="AQ217" s="23"/>
      <c r="AR217" s="184">
        <f t="shared" si="2"/>
        <v>0</v>
      </c>
      <c r="AS217" s="205">
        <v>0</v>
      </c>
      <c r="AT217" s="185">
        <f t="shared" si="3"/>
        <v>0</v>
      </c>
      <c r="AU217" s="23">
        <v>0</v>
      </c>
      <c r="AV217" s="184">
        <f t="shared" si="4"/>
        <v>0</v>
      </c>
      <c r="AW217" s="23">
        <v>0</v>
      </c>
      <c r="AX217" s="184">
        <f t="shared" si="5"/>
        <v>0</v>
      </c>
      <c r="AY217" s="23"/>
      <c r="AZ217" s="185">
        <f t="shared" si="6"/>
        <v>0</v>
      </c>
      <c r="BA217" s="50"/>
      <c r="BB217" s="184">
        <f t="shared" si="7"/>
        <v>0</v>
      </c>
      <c r="BC217" s="50"/>
      <c r="BD217" s="184">
        <f t="shared" si="8"/>
        <v>0</v>
      </c>
      <c r="BE217" s="23"/>
      <c r="BF217" s="185">
        <f t="shared" si="9"/>
        <v>0</v>
      </c>
      <c r="BG217" s="50"/>
      <c r="BH217" s="184">
        <f t="shared" si="57"/>
        <v>0</v>
      </c>
      <c r="BI217" s="23"/>
      <c r="BJ217" s="184">
        <f t="shared" si="11"/>
        <v>0</v>
      </c>
      <c r="BK217" s="23"/>
      <c r="BL217" s="185">
        <f t="shared" si="12"/>
        <v>0</v>
      </c>
      <c r="BM217" s="220"/>
      <c r="BP217" s="220" t="s">
        <v>208</v>
      </c>
      <c r="BQ217" s="233"/>
      <c r="BR217" s="234"/>
    </row>
    <row r="218" spans="1:70" s="8" customFormat="1">
      <c r="A218" s="219" t="s">
        <v>451</v>
      </c>
      <c r="B218" s="182" t="s">
        <v>267</v>
      </c>
      <c r="C218" s="66" t="s">
        <v>175</v>
      </c>
      <c r="D218" s="284" t="s">
        <v>383</v>
      </c>
      <c r="E218" s="77" t="s">
        <v>176</v>
      </c>
      <c r="F218" s="281" t="s">
        <v>384</v>
      </c>
      <c r="G218" s="71" t="s">
        <v>215</v>
      </c>
      <c r="H218" s="70" t="s">
        <v>714</v>
      </c>
      <c r="I218" s="70" t="s">
        <v>180</v>
      </c>
      <c r="J218" s="71" t="s">
        <v>193</v>
      </c>
      <c r="K218" s="70" t="s">
        <v>715</v>
      </c>
      <c r="L218" s="69" t="s">
        <v>213</v>
      </c>
      <c r="M218" s="180" t="s">
        <v>562</v>
      </c>
      <c r="N218" s="68">
        <v>2.8499999999999996</v>
      </c>
      <c r="O218" s="58">
        <v>3.5</v>
      </c>
      <c r="P218" s="144">
        <v>3.5</v>
      </c>
      <c r="Q218" s="144">
        <v>3.5</v>
      </c>
      <c r="R218" s="144">
        <v>3.5</v>
      </c>
      <c r="S218" s="144">
        <v>3.5</v>
      </c>
      <c r="T218" s="144">
        <v>3.5</v>
      </c>
      <c r="U218" s="144">
        <v>3.5</v>
      </c>
      <c r="V218" s="144">
        <v>3.5</v>
      </c>
      <c r="W218" s="144">
        <v>3.5</v>
      </c>
      <c r="X218" s="144">
        <v>3.3</v>
      </c>
      <c r="Y218" s="144">
        <v>3.3</v>
      </c>
      <c r="Z218" s="144">
        <v>3.3</v>
      </c>
      <c r="AA218" s="58">
        <v>3.3</v>
      </c>
      <c r="AB218" s="68">
        <v>0.6</v>
      </c>
      <c r="AC218" s="10">
        <v>0.6</v>
      </c>
      <c r="AD218" s="10">
        <v>0.6</v>
      </c>
      <c r="AE218" s="10">
        <v>0.6</v>
      </c>
      <c r="AF218" s="10">
        <v>0.6</v>
      </c>
      <c r="AG218" s="10">
        <v>0.6</v>
      </c>
      <c r="AH218" s="10">
        <v>0.6</v>
      </c>
      <c r="AI218" s="10">
        <v>0.6</v>
      </c>
      <c r="AJ218" s="10">
        <v>0.6</v>
      </c>
      <c r="AK218" s="10">
        <v>0.45</v>
      </c>
      <c r="AL218" s="10">
        <v>0.45</v>
      </c>
      <c r="AM218" s="10">
        <v>0.45</v>
      </c>
      <c r="AN218" s="149">
        <v>0.45</v>
      </c>
      <c r="AO218" s="5">
        <v>15329</v>
      </c>
      <c r="AP218" s="118">
        <f t="shared" si="1"/>
        <v>9197.4</v>
      </c>
      <c r="AQ218" s="5">
        <v>36798</v>
      </c>
      <c r="AR218" s="118">
        <f t="shared" si="2"/>
        <v>22078.799999999999</v>
      </c>
      <c r="AS218" s="5">
        <v>25824</v>
      </c>
      <c r="AT218" s="127">
        <f t="shared" si="3"/>
        <v>15494.4</v>
      </c>
      <c r="AU218" s="5">
        <v>19212</v>
      </c>
      <c r="AV218" s="118">
        <f t="shared" si="4"/>
        <v>11527.199999999999</v>
      </c>
      <c r="AW218" s="5">
        <v>23568</v>
      </c>
      <c r="AX218" s="118">
        <f t="shared" si="5"/>
        <v>14140.8</v>
      </c>
      <c r="AY218" s="5">
        <v>6624</v>
      </c>
      <c r="AZ218" s="127">
        <f t="shared" si="6"/>
        <v>3974.3999999999996</v>
      </c>
      <c r="BA218" s="105">
        <v>13776</v>
      </c>
      <c r="BB218" s="118">
        <f t="shared" si="7"/>
        <v>8265.6</v>
      </c>
      <c r="BC218" s="105">
        <v>1008</v>
      </c>
      <c r="BD218" s="118">
        <f t="shared" si="8"/>
        <v>604.79999999999995</v>
      </c>
      <c r="BE218" s="5">
        <v>4176</v>
      </c>
      <c r="BF218" s="127">
        <f t="shared" si="9"/>
        <v>1879.2</v>
      </c>
      <c r="BG218" s="105">
        <v>96</v>
      </c>
      <c r="BH218" s="118">
        <f t="shared" si="57"/>
        <v>43.2</v>
      </c>
      <c r="BI218" s="5">
        <v>48</v>
      </c>
      <c r="BJ218" s="118">
        <f t="shared" si="11"/>
        <v>21.6</v>
      </c>
      <c r="BK218" s="5">
        <v>0</v>
      </c>
      <c r="BL218" s="127">
        <f t="shared" si="12"/>
        <v>0</v>
      </c>
      <c r="BM218" s="220" t="s">
        <v>716</v>
      </c>
      <c r="BO218" s="1" t="s">
        <v>539</v>
      </c>
      <c r="BP218" s="220" t="s">
        <v>717</v>
      </c>
      <c r="BQ218" s="233"/>
      <c r="BR218" s="234"/>
    </row>
    <row r="219" spans="1:70" s="8" customFormat="1">
      <c r="A219" s="219" t="s">
        <v>451</v>
      </c>
      <c r="B219" s="182" t="s">
        <v>267</v>
      </c>
      <c r="C219" s="66" t="s">
        <v>175</v>
      </c>
      <c r="D219" s="284"/>
      <c r="E219" s="77" t="s">
        <v>176</v>
      </c>
      <c r="F219" s="281"/>
      <c r="G219" s="71" t="s">
        <v>718</v>
      </c>
      <c r="H219" s="70" t="s">
        <v>714</v>
      </c>
      <c r="I219" s="70" t="s">
        <v>180</v>
      </c>
      <c r="J219" s="71" t="s">
        <v>193</v>
      </c>
      <c r="K219" s="70" t="s">
        <v>719</v>
      </c>
      <c r="L219" s="69" t="s">
        <v>213</v>
      </c>
      <c r="M219" s="180" t="s">
        <v>562</v>
      </c>
      <c r="N219" s="68">
        <v>2.8499999999999996</v>
      </c>
      <c r="O219" s="58">
        <v>3.5</v>
      </c>
      <c r="P219" s="144">
        <v>3.5</v>
      </c>
      <c r="Q219" s="144">
        <v>3.5</v>
      </c>
      <c r="R219" s="144">
        <v>3.5</v>
      </c>
      <c r="S219" s="144">
        <v>3.5</v>
      </c>
      <c r="T219" s="144">
        <v>3.5</v>
      </c>
      <c r="U219" s="144">
        <v>3.5</v>
      </c>
      <c r="V219" s="144">
        <v>3.5</v>
      </c>
      <c r="W219" s="144">
        <v>3.5</v>
      </c>
      <c r="X219" s="144">
        <v>3.3</v>
      </c>
      <c r="Y219" s="144">
        <v>3.3</v>
      </c>
      <c r="Z219" s="144">
        <v>3.3</v>
      </c>
      <c r="AA219" s="58">
        <v>3.3</v>
      </c>
      <c r="AB219" s="68">
        <v>0.6</v>
      </c>
      <c r="AC219" s="10">
        <v>0.6</v>
      </c>
      <c r="AD219" s="10">
        <v>0.6</v>
      </c>
      <c r="AE219" s="10">
        <v>0.6</v>
      </c>
      <c r="AF219" s="10">
        <v>0.6</v>
      </c>
      <c r="AG219" s="10">
        <v>0.6</v>
      </c>
      <c r="AH219" s="10">
        <v>0.6</v>
      </c>
      <c r="AI219" s="10">
        <v>0.6</v>
      </c>
      <c r="AJ219" s="10">
        <v>0.6</v>
      </c>
      <c r="AK219" s="10">
        <v>0.45</v>
      </c>
      <c r="AL219" s="10">
        <v>0.45</v>
      </c>
      <c r="AM219" s="10">
        <v>0.45</v>
      </c>
      <c r="AN219" s="149">
        <v>0.45</v>
      </c>
      <c r="AO219" s="5"/>
      <c r="AP219" s="118">
        <f t="shared" si="1"/>
        <v>0</v>
      </c>
      <c r="AQ219" s="5"/>
      <c r="AR219" s="118">
        <f t="shared" si="2"/>
        <v>0</v>
      </c>
      <c r="AS219" s="5"/>
      <c r="AT219" s="127">
        <f t="shared" si="3"/>
        <v>0</v>
      </c>
      <c r="AU219" s="5"/>
      <c r="AV219" s="118">
        <f t="shared" si="4"/>
        <v>0</v>
      </c>
      <c r="AW219" s="5"/>
      <c r="AX219" s="118">
        <f t="shared" si="5"/>
        <v>0</v>
      </c>
      <c r="AY219" s="5"/>
      <c r="AZ219" s="127">
        <f t="shared" si="6"/>
        <v>0</v>
      </c>
      <c r="BA219" s="105">
        <v>288</v>
      </c>
      <c r="BB219" s="118">
        <f t="shared" si="7"/>
        <v>172.79999999999998</v>
      </c>
      <c r="BC219" s="105">
        <v>192</v>
      </c>
      <c r="BD219" s="118">
        <f t="shared" si="8"/>
        <v>115.19999999999999</v>
      </c>
      <c r="BE219" s="5">
        <v>1248</v>
      </c>
      <c r="BF219" s="127">
        <f t="shared" si="9"/>
        <v>561.6</v>
      </c>
      <c r="BG219" s="105">
        <v>0</v>
      </c>
      <c r="BH219" s="118">
        <f t="shared" si="57"/>
        <v>0</v>
      </c>
      <c r="BI219" s="5">
        <v>0</v>
      </c>
      <c r="BJ219" s="118">
        <f t="shared" si="11"/>
        <v>0</v>
      </c>
      <c r="BK219" s="5">
        <v>0</v>
      </c>
      <c r="BL219" s="127">
        <f t="shared" si="12"/>
        <v>0</v>
      </c>
      <c r="BM219" s="220" t="s">
        <v>720</v>
      </c>
      <c r="BO219" s="1" t="s">
        <v>539</v>
      </c>
      <c r="BP219" s="220" t="s">
        <v>721</v>
      </c>
      <c r="BQ219" s="233"/>
      <c r="BR219" s="234"/>
    </row>
    <row r="220" spans="1:70" s="8" customFormat="1">
      <c r="A220" s="219" t="s">
        <v>451</v>
      </c>
      <c r="B220" s="182" t="s">
        <v>267</v>
      </c>
      <c r="C220" s="66" t="s">
        <v>175</v>
      </c>
      <c r="D220" s="284"/>
      <c r="E220" s="77" t="s">
        <v>176</v>
      </c>
      <c r="F220" s="281"/>
      <c r="G220" s="71" t="s">
        <v>385</v>
      </c>
      <c r="H220" s="70" t="s">
        <v>722</v>
      </c>
      <c r="I220" s="70" t="s">
        <v>180</v>
      </c>
      <c r="J220" s="71" t="s">
        <v>193</v>
      </c>
      <c r="K220" s="70" t="s">
        <v>715</v>
      </c>
      <c r="L220" s="69" t="s">
        <v>213</v>
      </c>
      <c r="M220" s="180" t="s">
        <v>562</v>
      </c>
      <c r="N220" s="68">
        <v>2.8499999999999996</v>
      </c>
      <c r="O220" s="58">
        <v>3.5</v>
      </c>
      <c r="P220" s="144">
        <v>3.5</v>
      </c>
      <c r="Q220" s="144">
        <v>3.5</v>
      </c>
      <c r="R220" s="144">
        <v>3.5</v>
      </c>
      <c r="S220" s="144">
        <v>3.5</v>
      </c>
      <c r="T220" s="144">
        <v>3.5</v>
      </c>
      <c r="U220" s="144">
        <v>3.5</v>
      </c>
      <c r="V220" s="144">
        <v>3.5</v>
      </c>
      <c r="W220" s="144">
        <v>3.5</v>
      </c>
      <c r="X220" s="144">
        <v>3.3</v>
      </c>
      <c r="Y220" s="144">
        <v>3.3</v>
      </c>
      <c r="Z220" s="144">
        <v>3.3</v>
      </c>
      <c r="AA220" s="58">
        <v>3.3</v>
      </c>
      <c r="AB220" s="68">
        <v>0.6</v>
      </c>
      <c r="AC220" s="10">
        <v>0.6</v>
      </c>
      <c r="AD220" s="10">
        <v>0.6</v>
      </c>
      <c r="AE220" s="10">
        <v>0.6</v>
      </c>
      <c r="AF220" s="10">
        <v>0.6</v>
      </c>
      <c r="AG220" s="10">
        <v>0.6</v>
      </c>
      <c r="AH220" s="10">
        <v>0.6</v>
      </c>
      <c r="AI220" s="10">
        <v>0.6</v>
      </c>
      <c r="AJ220" s="10">
        <v>0.6</v>
      </c>
      <c r="AK220" s="10">
        <v>0.45</v>
      </c>
      <c r="AL220" s="10">
        <v>0.45</v>
      </c>
      <c r="AM220" s="10">
        <v>0.45</v>
      </c>
      <c r="AN220" s="149">
        <v>0.45</v>
      </c>
      <c r="AO220" s="5">
        <v>17928</v>
      </c>
      <c r="AP220" s="118">
        <f t="shared" si="1"/>
        <v>10756.8</v>
      </c>
      <c r="AQ220" s="5">
        <v>39186</v>
      </c>
      <c r="AR220" s="118">
        <f t="shared" si="2"/>
        <v>23511.599999999999</v>
      </c>
      <c r="AS220" s="5">
        <v>24096</v>
      </c>
      <c r="AT220" s="127">
        <f t="shared" si="3"/>
        <v>14457.6</v>
      </c>
      <c r="AU220" s="5">
        <v>9120</v>
      </c>
      <c r="AV220" s="118">
        <f t="shared" si="4"/>
        <v>5472</v>
      </c>
      <c r="AW220" s="5">
        <v>12816</v>
      </c>
      <c r="AX220" s="118">
        <f t="shared" si="5"/>
        <v>7689.5999999999995</v>
      </c>
      <c r="AY220" s="5">
        <v>7728</v>
      </c>
      <c r="AZ220" s="127">
        <f t="shared" si="6"/>
        <v>4636.8</v>
      </c>
      <c r="BA220" s="105">
        <v>17112</v>
      </c>
      <c r="BB220" s="118">
        <f t="shared" si="7"/>
        <v>10267.199999999999</v>
      </c>
      <c r="BC220" s="105">
        <v>26496</v>
      </c>
      <c r="BD220" s="118">
        <f t="shared" si="8"/>
        <v>15897.599999999999</v>
      </c>
      <c r="BE220" s="5">
        <v>26352</v>
      </c>
      <c r="BF220" s="127">
        <f t="shared" si="9"/>
        <v>11858.4</v>
      </c>
      <c r="BG220" s="105">
        <v>34752</v>
      </c>
      <c r="BH220" s="118">
        <f t="shared" si="57"/>
        <v>15638.4</v>
      </c>
      <c r="BI220" s="5">
        <v>22360</v>
      </c>
      <c r="BJ220" s="118">
        <f t="shared" si="11"/>
        <v>10062</v>
      </c>
      <c r="BK220" s="5">
        <v>23600</v>
      </c>
      <c r="BL220" s="127">
        <f t="shared" si="12"/>
        <v>10620</v>
      </c>
      <c r="BM220" s="220" t="s">
        <v>723</v>
      </c>
      <c r="BO220" s="1" t="s">
        <v>539</v>
      </c>
      <c r="BP220" s="220" t="s">
        <v>724</v>
      </c>
      <c r="BQ220" s="233"/>
      <c r="BR220" s="234"/>
    </row>
    <row r="221" spans="1:70" s="8" customFormat="1">
      <c r="A221" s="219" t="s">
        <v>451</v>
      </c>
      <c r="B221" s="182" t="s">
        <v>267</v>
      </c>
      <c r="C221" s="66" t="s">
        <v>175</v>
      </c>
      <c r="D221" s="284"/>
      <c r="E221" s="77" t="s">
        <v>176</v>
      </c>
      <c r="F221" s="281"/>
      <c r="G221" s="71" t="s">
        <v>202</v>
      </c>
      <c r="H221" s="70" t="s">
        <v>276</v>
      </c>
      <c r="I221" s="70" t="s">
        <v>180</v>
      </c>
      <c r="J221" s="71" t="s">
        <v>193</v>
      </c>
      <c r="K221" s="70" t="s">
        <v>275</v>
      </c>
      <c r="L221" s="69" t="s">
        <v>185</v>
      </c>
      <c r="M221" s="180" t="s">
        <v>465</v>
      </c>
      <c r="N221" s="68">
        <v>2.85</v>
      </c>
      <c r="O221" s="58">
        <v>3.65</v>
      </c>
      <c r="P221" s="144">
        <v>3.65</v>
      </c>
      <c r="Q221" s="144">
        <v>3.65</v>
      </c>
      <c r="R221" s="144">
        <v>3.65</v>
      </c>
      <c r="S221" s="144">
        <v>3.65</v>
      </c>
      <c r="T221" s="144">
        <v>3.65</v>
      </c>
      <c r="U221" s="144">
        <v>3.65</v>
      </c>
      <c r="V221" s="144">
        <v>3.65</v>
      </c>
      <c r="W221" s="144">
        <v>3.65</v>
      </c>
      <c r="X221" s="144">
        <v>3.5</v>
      </c>
      <c r="Y221" s="144">
        <v>3.5</v>
      </c>
      <c r="Z221" s="144">
        <v>3.5</v>
      </c>
      <c r="AA221" s="58">
        <v>3.5</v>
      </c>
      <c r="AB221" s="68">
        <v>0.77</v>
      </c>
      <c r="AC221" s="10">
        <v>0.77</v>
      </c>
      <c r="AD221" s="10">
        <v>0.77</v>
      </c>
      <c r="AE221" s="10">
        <v>0.77</v>
      </c>
      <c r="AF221" s="10">
        <v>0.77</v>
      </c>
      <c r="AG221" s="10">
        <v>0.77</v>
      </c>
      <c r="AH221" s="10">
        <v>0.77</v>
      </c>
      <c r="AI221" s="10">
        <v>0.77</v>
      </c>
      <c r="AJ221" s="10">
        <v>0.77</v>
      </c>
      <c r="AK221" s="10">
        <v>0.65</v>
      </c>
      <c r="AL221" s="10">
        <v>0.65</v>
      </c>
      <c r="AM221" s="10">
        <v>0.65</v>
      </c>
      <c r="AN221" s="149">
        <v>0.65</v>
      </c>
      <c r="AO221" s="5">
        <v>0</v>
      </c>
      <c r="AP221" s="118">
        <f t="shared" si="1"/>
        <v>0</v>
      </c>
      <c r="AQ221" s="5">
        <v>0</v>
      </c>
      <c r="AR221" s="118">
        <f t="shared" si="2"/>
        <v>0</v>
      </c>
      <c r="AS221" s="5">
        <v>0</v>
      </c>
      <c r="AT221" s="127">
        <f t="shared" si="3"/>
        <v>0</v>
      </c>
      <c r="AU221" s="5">
        <v>0</v>
      </c>
      <c r="AV221" s="118">
        <f t="shared" si="4"/>
        <v>0</v>
      </c>
      <c r="AW221" s="5">
        <v>0</v>
      </c>
      <c r="AX221" s="118">
        <f t="shared" si="5"/>
        <v>0</v>
      </c>
      <c r="AY221" s="5">
        <v>0</v>
      </c>
      <c r="AZ221" s="127">
        <f t="shared" si="6"/>
        <v>0</v>
      </c>
      <c r="BA221" s="5">
        <v>0</v>
      </c>
      <c r="BB221" s="118">
        <f t="shared" si="7"/>
        <v>0</v>
      </c>
      <c r="BC221" s="5">
        <v>0</v>
      </c>
      <c r="BD221" s="118">
        <f t="shared" si="8"/>
        <v>0</v>
      </c>
      <c r="BE221" s="5">
        <v>0</v>
      </c>
      <c r="BF221" s="127">
        <f t="shared" si="9"/>
        <v>0</v>
      </c>
      <c r="BG221" s="5">
        <v>0</v>
      </c>
      <c r="BH221" s="118">
        <f t="shared" si="57"/>
        <v>0</v>
      </c>
      <c r="BI221" s="5">
        <v>0</v>
      </c>
      <c r="BJ221" s="118">
        <f t="shared" si="11"/>
        <v>0</v>
      </c>
      <c r="BK221" s="5">
        <v>0</v>
      </c>
      <c r="BL221" s="127">
        <f t="shared" si="12"/>
        <v>0</v>
      </c>
      <c r="BM221" s="220" t="s">
        <v>725</v>
      </c>
      <c r="BO221" s="1" t="s">
        <v>539</v>
      </c>
      <c r="BP221" s="220" t="s">
        <v>726</v>
      </c>
      <c r="BQ221" s="233"/>
      <c r="BR221" s="234"/>
    </row>
    <row r="222" spans="1:70" s="8" customFormat="1">
      <c r="A222" s="219" t="s">
        <v>451</v>
      </c>
      <c r="B222" s="182" t="s">
        <v>267</v>
      </c>
      <c r="C222" s="66" t="s">
        <v>175</v>
      </c>
      <c r="D222" s="284"/>
      <c r="E222" s="77" t="s">
        <v>176</v>
      </c>
      <c r="F222" s="281"/>
      <c r="G222" s="71" t="s">
        <v>202</v>
      </c>
      <c r="H222" s="70" t="s">
        <v>276</v>
      </c>
      <c r="I222" s="70" t="s">
        <v>180</v>
      </c>
      <c r="J222" s="71" t="s">
        <v>193</v>
      </c>
      <c r="K222" s="70" t="s">
        <v>275</v>
      </c>
      <c r="L222" s="69" t="s">
        <v>185</v>
      </c>
      <c r="M222" s="180" t="s">
        <v>465</v>
      </c>
      <c r="N222" s="68">
        <v>2.85</v>
      </c>
      <c r="O222" s="58">
        <v>3.65</v>
      </c>
      <c r="P222" s="144">
        <v>3.65</v>
      </c>
      <c r="Q222" s="144">
        <v>3.65</v>
      </c>
      <c r="R222" s="144">
        <v>3.65</v>
      </c>
      <c r="S222" s="144">
        <v>3.65</v>
      </c>
      <c r="T222" s="144">
        <v>3.65</v>
      </c>
      <c r="U222" s="144">
        <v>3.65</v>
      </c>
      <c r="V222" s="144">
        <v>3.65</v>
      </c>
      <c r="W222" s="144">
        <v>3.65</v>
      </c>
      <c r="X222" s="144">
        <v>3.5</v>
      </c>
      <c r="Y222" s="144">
        <v>3.5</v>
      </c>
      <c r="Z222" s="144">
        <v>3.5</v>
      </c>
      <c r="AA222" s="58">
        <v>3.5</v>
      </c>
      <c r="AB222" s="68">
        <v>0.77</v>
      </c>
      <c r="AC222" s="10">
        <v>0.77</v>
      </c>
      <c r="AD222" s="10">
        <v>0.77</v>
      </c>
      <c r="AE222" s="10">
        <v>0.77</v>
      </c>
      <c r="AF222" s="10">
        <v>0.77</v>
      </c>
      <c r="AG222" s="10">
        <v>0.77</v>
      </c>
      <c r="AH222" s="10">
        <v>0.77</v>
      </c>
      <c r="AI222" s="10">
        <v>0.77</v>
      </c>
      <c r="AJ222" s="10">
        <v>0.77</v>
      </c>
      <c r="AK222" s="10">
        <v>0.65</v>
      </c>
      <c r="AL222" s="10">
        <v>0.65</v>
      </c>
      <c r="AM222" s="10">
        <v>0.65</v>
      </c>
      <c r="AN222" s="149">
        <v>0.65</v>
      </c>
      <c r="AO222" s="5"/>
      <c r="AP222" s="118">
        <f t="shared" si="1"/>
        <v>0</v>
      </c>
      <c r="AQ222" s="5"/>
      <c r="AR222" s="118">
        <f t="shared" ref="AR222:AR230" si="61">AD222*AQ222</f>
        <v>0</v>
      </c>
      <c r="AS222" s="5"/>
      <c r="AT222" s="127">
        <f t="shared" ref="AT222:AT230" si="62">AE222*AS222</f>
        <v>0</v>
      </c>
      <c r="AU222" s="5"/>
      <c r="AV222" s="118">
        <f t="shared" ref="AV222:AV230" si="63">AF222*AU222</f>
        <v>0</v>
      </c>
      <c r="AW222" s="5"/>
      <c r="AX222" s="118">
        <f t="shared" ref="AX222:AX230" si="64">AG222*AW222</f>
        <v>0</v>
      </c>
      <c r="AY222" s="5"/>
      <c r="AZ222" s="127">
        <f t="shared" si="6"/>
        <v>0</v>
      </c>
      <c r="BA222" s="5">
        <v>0</v>
      </c>
      <c r="BB222" s="118">
        <f t="shared" si="7"/>
        <v>0</v>
      </c>
      <c r="BC222" s="5">
        <v>0</v>
      </c>
      <c r="BD222" s="118">
        <f t="shared" si="8"/>
        <v>0</v>
      </c>
      <c r="BE222" s="5">
        <v>0</v>
      </c>
      <c r="BF222" s="127">
        <f t="shared" si="9"/>
        <v>0</v>
      </c>
      <c r="BG222" s="5">
        <v>0</v>
      </c>
      <c r="BH222" s="118">
        <f t="shared" si="57"/>
        <v>0</v>
      </c>
      <c r="BI222" s="5">
        <v>0</v>
      </c>
      <c r="BJ222" s="118">
        <f t="shared" ref="BJ222:BJ230" si="65">AM222*BI222</f>
        <v>0</v>
      </c>
      <c r="BK222" s="5">
        <v>0</v>
      </c>
      <c r="BL222" s="127">
        <f t="shared" si="12"/>
        <v>0</v>
      </c>
      <c r="BM222" s="220" t="s">
        <v>725</v>
      </c>
      <c r="BO222" s="1" t="s">
        <v>539</v>
      </c>
      <c r="BP222" s="220" t="s">
        <v>727</v>
      </c>
      <c r="BQ222" s="233"/>
      <c r="BR222" s="234"/>
    </row>
    <row r="223" spans="1:70" s="8" customFormat="1">
      <c r="A223" s="219" t="s">
        <v>451</v>
      </c>
      <c r="B223" s="182" t="s">
        <v>267</v>
      </c>
      <c r="C223" s="66" t="s">
        <v>175</v>
      </c>
      <c r="D223" s="284"/>
      <c r="E223" s="77" t="s">
        <v>176</v>
      </c>
      <c r="F223" s="281"/>
      <c r="G223" s="71" t="s">
        <v>202</v>
      </c>
      <c r="H223" s="70" t="s">
        <v>276</v>
      </c>
      <c r="I223" s="70" t="s">
        <v>180</v>
      </c>
      <c r="J223" s="71" t="s">
        <v>193</v>
      </c>
      <c r="K223" s="70" t="s">
        <v>275</v>
      </c>
      <c r="L223" s="69" t="s">
        <v>185</v>
      </c>
      <c r="M223" s="180" t="s">
        <v>465</v>
      </c>
      <c r="N223" s="68">
        <v>2.85</v>
      </c>
      <c r="O223" s="58">
        <v>3.65</v>
      </c>
      <c r="P223" s="144">
        <v>3.65</v>
      </c>
      <c r="Q223" s="144">
        <v>3.65</v>
      </c>
      <c r="R223" s="144">
        <v>3.65</v>
      </c>
      <c r="S223" s="144">
        <v>3.65</v>
      </c>
      <c r="T223" s="144">
        <v>3.65</v>
      </c>
      <c r="U223" s="144">
        <v>3.65</v>
      </c>
      <c r="V223" s="144">
        <v>3.65</v>
      </c>
      <c r="W223" s="144">
        <v>3.65</v>
      </c>
      <c r="X223" s="144">
        <v>3.5</v>
      </c>
      <c r="Y223" s="144">
        <v>3.5</v>
      </c>
      <c r="Z223" s="144">
        <v>3.5</v>
      </c>
      <c r="AA223" s="58">
        <v>3.5</v>
      </c>
      <c r="AB223" s="68">
        <v>0.77</v>
      </c>
      <c r="AC223" s="10">
        <v>0.77</v>
      </c>
      <c r="AD223" s="10">
        <v>0.77</v>
      </c>
      <c r="AE223" s="10">
        <v>0.77</v>
      </c>
      <c r="AF223" s="10">
        <v>0.77</v>
      </c>
      <c r="AG223" s="10">
        <v>0.77</v>
      </c>
      <c r="AH223" s="10">
        <v>0.77</v>
      </c>
      <c r="AI223" s="10">
        <v>0.77</v>
      </c>
      <c r="AJ223" s="10">
        <v>0.77</v>
      </c>
      <c r="AK223" s="10">
        <v>0.65</v>
      </c>
      <c r="AL223" s="10">
        <v>0.65</v>
      </c>
      <c r="AM223" s="10">
        <v>0.65</v>
      </c>
      <c r="AN223" s="149">
        <v>0.65</v>
      </c>
      <c r="AO223" s="5"/>
      <c r="AP223" s="118">
        <f t="shared" si="1"/>
        <v>0</v>
      </c>
      <c r="AQ223" s="5"/>
      <c r="AR223" s="118">
        <f t="shared" si="61"/>
        <v>0</v>
      </c>
      <c r="AS223" s="5"/>
      <c r="AT223" s="127">
        <f t="shared" si="62"/>
        <v>0</v>
      </c>
      <c r="AU223" s="5"/>
      <c r="AV223" s="118">
        <f t="shared" si="63"/>
        <v>0</v>
      </c>
      <c r="AW223" s="5"/>
      <c r="AX223" s="118">
        <f t="shared" si="64"/>
        <v>0</v>
      </c>
      <c r="AY223" s="5"/>
      <c r="AZ223" s="127">
        <f t="shared" si="6"/>
        <v>0</v>
      </c>
      <c r="BA223" s="5">
        <v>39</v>
      </c>
      <c r="BB223" s="118">
        <f t="shared" si="7"/>
        <v>30.03</v>
      </c>
      <c r="BC223" s="5">
        <v>0</v>
      </c>
      <c r="BD223" s="118">
        <f t="shared" si="8"/>
        <v>0</v>
      </c>
      <c r="BE223" s="5">
        <v>0</v>
      </c>
      <c r="BF223" s="127">
        <f t="shared" si="9"/>
        <v>0</v>
      </c>
      <c r="BG223" s="5">
        <v>0</v>
      </c>
      <c r="BH223" s="118">
        <f t="shared" si="57"/>
        <v>0</v>
      </c>
      <c r="BI223" s="5">
        <v>0</v>
      </c>
      <c r="BJ223" s="118">
        <f t="shared" si="65"/>
        <v>0</v>
      </c>
      <c r="BK223" s="5">
        <v>0</v>
      </c>
      <c r="BL223" s="127">
        <f t="shared" si="12"/>
        <v>0</v>
      </c>
      <c r="BM223" s="220" t="s">
        <v>725</v>
      </c>
      <c r="BO223" s="1" t="s">
        <v>539</v>
      </c>
      <c r="BP223" s="220" t="s">
        <v>728</v>
      </c>
      <c r="BQ223" s="233"/>
      <c r="BR223" s="234"/>
    </row>
    <row r="224" spans="1:70" s="8" customFormat="1">
      <c r="A224" s="219" t="s">
        <v>451</v>
      </c>
      <c r="B224" s="182" t="s">
        <v>267</v>
      </c>
      <c r="C224" s="66" t="s">
        <v>175</v>
      </c>
      <c r="D224" s="284"/>
      <c r="E224" s="77" t="s">
        <v>176</v>
      </c>
      <c r="F224" s="281"/>
      <c r="G224" s="71" t="s">
        <v>202</v>
      </c>
      <c r="H224" s="70" t="s">
        <v>276</v>
      </c>
      <c r="I224" s="70" t="s">
        <v>180</v>
      </c>
      <c r="J224" s="71" t="s">
        <v>193</v>
      </c>
      <c r="K224" s="70" t="s">
        <v>275</v>
      </c>
      <c r="L224" s="69" t="s">
        <v>185</v>
      </c>
      <c r="M224" s="180" t="s">
        <v>465</v>
      </c>
      <c r="N224" s="68">
        <v>2.85</v>
      </c>
      <c r="O224" s="58">
        <v>3.65</v>
      </c>
      <c r="P224" s="144">
        <v>3.65</v>
      </c>
      <c r="Q224" s="144">
        <v>3.65</v>
      </c>
      <c r="R224" s="144">
        <v>3.65</v>
      </c>
      <c r="S224" s="144">
        <v>3.65</v>
      </c>
      <c r="T224" s="144">
        <v>3.65</v>
      </c>
      <c r="U224" s="144">
        <v>3.65</v>
      </c>
      <c r="V224" s="144">
        <v>3.65</v>
      </c>
      <c r="W224" s="144">
        <v>3.65</v>
      </c>
      <c r="X224" s="144">
        <v>3.5</v>
      </c>
      <c r="Y224" s="144">
        <v>3.5</v>
      </c>
      <c r="Z224" s="144">
        <v>3.5</v>
      </c>
      <c r="AA224" s="58">
        <v>3.5</v>
      </c>
      <c r="AB224" s="68">
        <v>0.77</v>
      </c>
      <c r="AC224" s="10">
        <v>0.77</v>
      </c>
      <c r="AD224" s="10">
        <v>0.77</v>
      </c>
      <c r="AE224" s="10">
        <v>0.77</v>
      </c>
      <c r="AF224" s="10">
        <v>0.77</v>
      </c>
      <c r="AG224" s="10">
        <v>0.77</v>
      </c>
      <c r="AH224" s="10">
        <v>0.77</v>
      </c>
      <c r="AI224" s="10">
        <v>0.77</v>
      </c>
      <c r="AJ224" s="10">
        <v>0.77</v>
      </c>
      <c r="AK224" s="10">
        <v>0.65</v>
      </c>
      <c r="AL224" s="10">
        <v>0.65</v>
      </c>
      <c r="AM224" s="10">
        <v>0.65</v>
      </c>
      <c r="AN224" s="149">
        <v>0.65</v>
      </c>
      <c r="AO224" s="5"/>
      <c r="AP224" s="118">
        <f t="shared" si="1"/>
        <v>0</v>
      </c>
      <c r="AQ224" s="5"/>
      <c r="AR224" s="118">
        <f t="shared" si="61"/>
        <v>0</v>
      </c>
      <c r="AS224" s="5"/>
      <c r="AT224" s="127">
        <f t="shared" si="62"/>
        <v>0</v>
      </c>
      <c r="AU224" s="5"/>
      <c r="AV224" s="118">
        <f t="shared" si="63"/>
        <v>0</v>
      </c>
      <c r="AW224" s="5"/>
      <c r="AX224" s="118">
        <f t="shared" si="64"/>
        <v>0</v>
      </c>
      <c r="AY224" s="5"/>
      <c r="AZ224" s="127">
        <f t="shared" si="6"/>
        <v>0</v>
      </c>
      <c r="BA224" s="5">
        <v>0</v>
      </c>
      <c r="BB224" s="118">
        <f t="shared" si="7"/>
        <v>0</v>
      </c>
      <c r="BC224" s="5">
        <v>0</v>
      </c>
      <c r="BD224" s="118">
        <f t="shared" si="8"/>
        <v>0</v>
      </c>
      <c r="BE224" s="5">
        <v>0</v>
      </c>
      <c r="BF224" s="127">
        <f t="shared" si="9"/>
        <v>0</v>
      </c>
      <c r="BG224" s="5">
        <v>0</v>
      </c>
      <c r="BH224" s="118">
        <f t="shared" si="57"/>
        <v>0</v>
      </c>
      <c r="BI224" s="5">
        <v>0</v>
      </c>
      <c r="BJ224" s="118">
        <f t="shared" si="65"/>
        <v>0</v>
      </c>
      <c r="BK224" s="5">
        <v>0</v>
      </c>
      <c r="BL224" s="127">
        <f t="shared" si="12"/>
        <v>0</v>
      </c>
      <c r="BM224" s="220" t="s">
        <v>725</v>
      </c>
      <c r="BO224" s="1" t="s">
        <v>539</v>
      </c>
      <c r="BP224" s="220" t="s">
        <v>729</v>
      </c>
      <c r="BQ224" s="233"/>
      <c r="BR224" s="234"/>
    </row>
    <row r="225" spans="1:70" s="8" customFormat="1">
      <c r="A225" s="219" t="s">
        <v>451</v>
      </c>
      <c r="B225" s="182" t="s">
        <v>267</v>
      </c>
      <c r="C225" s="66" t="s">
        <v>175</v>
      </c>
      <c r="D225" s="284"/>
      <c r="E225" s="77" t="s">
        <v>176</v>
      </c>
      <c r="F225" s="281"/>
      <c r="G225" s="71" t="s">
        <v>202</v>
      </c>
      <c r="H225" s="70" t="s">
        <v>276</v>
      </c>
      <c r="I225" s="70" t="s">
        <v>180</v>
      </c>
      <c r="J225" s="71" t="s">
        <v>193</v>
      </c>
      <c r="K225" s="70" t="s">
        <v>275</v>
      </c>
      <c r="L225" s="69" t="s">
        <v>185</v>
      </c>
      <c r="M225" s="180" t="s">
        <v>465</v>
      </c>
      <c r="N225" s="68">
        <v>2.85</v>
      </c>
      <c r="O225" s="58">
        <v>3.65</v>
      </c>
      <c r="P225" s="144">
        <v>3.65</v>
      </c>
      <c r="Q225" s="144">
        <v>3.65</v>
      </c>
      <c r="R225" s="144">
        <v>3.65</v>
      </c>
      <c r="S225" s="144">
        <v>3.65</v>
      </c>
      <c r="T225" s="144">
        <v>3.65</v>
      </c>
      <c r="U225" s="144">
        <v>3.65</v>
      </c>
      <c r="V225" s="144">
        <v>3.65</v>
      </c>
      <c r="W225" s="144">
        <v>3.65</v>
      </c>
      <c r="X225" s="144">
        <v>3.5</v>
      </c>
      <c r="Y225" s="144">
        <v>3.5</v>
      </c>
      <c r="Z225" s="144">
        <v>3.5</v>
      </c>
      <c r="AA225" s="58">
        <v>3.5</v>
      </c>
      <c r="AB225" s="68">
        <v>0.77</v>
      </c>
      <c r="AC225" s="10">
        <v>0.77</v>
      </c>
      <c r="AD225" s="10">
        <v>0.77</v>
      </c>
      <c r="AE225" s="10">
        <v>0.77</v>
      </c>
      <c r="AF225" s="10">
        <v>0.77</v>
      </c>
      <c r="AG225" s="10">
        <v>0.77</v>
      </c>
      <c r="AH225" s="10">
        <v>0.77</v>
      </c>
      <c r="AI225" s="10">
        <v>0.77</v>
      </c>
      <c r="AJ225" s="10">
        <v>0.77</v>
      </c>
      <c r="AK225" s="10">
        <v>0.65</v>
      </c>
      <c r="AL225" s="10">
        <v>0.65</v>
      </c>
      <c r="AM225" s="10">
        <v>0.65</v>
      </c>
      <c r="AN225" s="149">
        <v>0.65</v>
      </c>
      <c r="AO225" s="5"/>
      <c r="AP225" s="118">
        <f t="shared" si="1"/>
        <v>0</v>
      </c>
      <c r="AQ225" s="5"/>
      <c r="AR225" s="118">
        <f t="shared" si="61"/>
        <v>0</v>
      </c>
      <c r="AS225" s="5"/>
      <c r="AT225" s="127">
        <f t="shared" si="62"/>
        <v>0</v>
      </c>
      <c r="AU225" s="5"/>
      <c r="AV225" s="118">
        <f t="shared" si="63"/>
        <v>0</v>
      </c>
      <c r="AW225" s="5"/>
      <c r="AX225" s="118">
        <f t="shared" si="64"/>
        <v>0</v>
      </c>
      <c r="AY225" s="5"/>
      <c r="AZ225" s="127">
        <f t="shared" si="6"/>
        <v>0</v>
      </c>
      <c r="BA225" s="5">
        <v>0</v>
      </c>
      <c r="BB225" s="118">
        <f t="shared" si="7"/>
        <v>0</v>
      </c>
      <c r="BC225" s="5">
        <v>0</v>
      </c>
      <c r="BD225" s="118">
        <f t="shared" si="8"/>
        <v>0</v>
      </c>
      <c r="BE225" s="5">
        <v>0</v>
      </c>
      <c r="BF225" s="127">
        <f t="shared" si="9"/>
        <v>0</v>
      </c>
      <c r="BG225" s="5">
        <v>0</v>
      </c>
      <c r="BH225" s="118">
        <f t="shared" si="57"/>
        <v>0</v>
      </c>
      <c r="BI225" s="5">
        <v>0</v>
      </c>
      <c r="BJ225" s="118">
        <f t="shared" si="65"/>
        <v>0</v>
      </c>
      <c r="BK225" s="5">
        <v>0</v>
      </c>
      <c r="BL225" s="127">
        <f t="shared" si="12"/>
        <v>0</v>
      </c>
      <c r="BM225" s="220" t="s">
        <v>725</v>
      </c>
      <c r="BO225" s="1" t="s">
        <v>539</v>
      </c>
      <c r="BP225" s="220" t="s">
        <v>730</v>
      </c>
      <c r="BQ225" s="233"/>
      <c r="BR225" s="234"/>
    </row>
    <row r="226" spans="1:70" s="8" customFormat="1">
      <c r="A226" s="219" t="s">
        <v>451</v>
      </c>
      <c r="B226" s="182" t="s">
        <v>267</v>
      </c>
      <c r="C226" s="66" t="s">
        <v>175</v>
      </c>
      <c r="D226" s="284"/>
      <c r="E226" s="77" t="s">
        <v>176</v>
      </c>
      <c r="F226" s="281"/>
      <c r="G226" s="71" t="s">
        <v>202</v>
      </c>
      <c r="H226" s="70" t="s">
        <v>276</v>
      </c>
      <c r="I226" s="70" t="s">
        <v>180</v>
      </c>
      <c r="J226" s="71" t="s">
        <v>193</v>
      </c>
      <c r="K226" s="70" t="s">
        <v>275</v>
      </c>
      <c r="L226" s="69" t="s">
        <v>387</v>
      </c>
      <c r="M226" s="83" t="s">
        <v>731</v>
      </c>
      <c r="N226" s="68">
        <v>2.85</v>
      </c>
      <c r="O226" s="58">
        <v>3.65</v>
      </c>
      <c r="P226" s="144">
        <v>3.65</v>
      </c>
      <c r="Q226" s="144">
        <v>3.65</v>
      </c>
      <c r="R226" s="144">
        <v>3.65</v>
      </c>
      <c r="S226" s="144">
        <v>3.65</v>
      </c>
      <c r="T226" s="144">
        <v>3.65</v>
      </c>
      <c r="U226" s="144">
        <v>3.65</v>
      </c>
      <c r="V226" s="144">
        <v>3.65</v>
      </c>
      <c r="W226" s="144">
        <v>3.65</v>
      </c>
      <c r="X226" s="144">
        <v>3.5</v>
      </c>
      <c r="Y226" s="144">
        <v>3.5</v>
      </c>
      <c r="Z226" s="144">
        <v>3.5</v>
      </c>
      <c r="AA226" s="58">
        <v>3.5</v>
      </c>
      <c r="AB226" s="58">
        <v>0.77</v>
      </c>
      <c r="AC226" s="10">
        <v>0.77</v>
      </c>
      <c r="AD226" s="10">
        <v>0.77</v>
      </c>
      <c r="AE226" s="10">
        <v>0.77</v>
      </c>
      <c r="AF226" s="10">
        <v>0.77</v>
      </c>
      <c r="AG226" s="10">
        <v>0.77</v>
      </c>
      <c r="AH226" s="10">
        <v>0.77</v>
      </c>
      <c r="AI226" s="10">
        <v>0.77</v>
      </c>
      <c r="AJ226" s="10">
        <v>0.77</v>
      </c>
      <c r="AK226" s="10">
        <v>0.65</v>
      </c>
      <c r="AL226" s="10">
        <v>0.65</v>
      </c>
      <c r="AM226" s="10">
        <v>0.65</v>
      </c>
      <c r="AN226" s="149">
        <v>0.65</v>
      </c>
      <c r="AO226" s="5">
        <v>920</v>
      </c>
      <c r="AP226" s="118">
        <f t="shared" si="1"/>
        <v>708.4</v>
      </c>
      <c r="AQ226" s="5">
        <v>0</v>
      </c>
      <c r="AR226" s="118">
        <f t="shared" si="61"/>
        <v>0</v>
      </c>
      <c r="AS226" s="5">
        <v>0</v>
      </c>
      <c r="AT226" s="127">
        <f t="shared" si="62"/>
        <v>0</v>
      </c>
      <c r="AU226" s="5">
        <v>0</v>
      </c>
      <c r="AV226" s="118">
        <f t="shared" si="63"/>
        <v>0</v>
      </c>
      <c r="AW226" s="5">
        <v>0</v>
      </c>
      <c r="AX226" s="118">
        <f t="shared" si="64"/>
        <v>0</v>
      </c>
      <c r="AY226" s="5">
        <v>0</v>
      </c>
      <c r="AZ226" s="127">
        <f t="shared" si="6"/>
        <v>0</v>
      </c>
      <c r="BA226" s="5">
        <v>0</v>
      </c>
      <c r="BB226" s="118">
        <f t="shared" si="7"/>
        <v>0</v>
      </c>
      <c r="BC226" s="5">
        <v>0</v>
      </c>
      <c r="BD226" s="118">
        <f t="shared" si="8"/>
        <v>0</v>
      </c>
      <c r="BE226" s="5">
        <v>0</v>
      </c>
      <c r="BF226" s="127">
        <f t="shared" si="9"/>
        <v>0</v>
      </c>
      <c r="BG226" s="5">
        <v>0</v>
      </c>
      <c r="BH226" s="118">
        <f t="shared" si="57"/>
        <v>0</v>
      </c>
      <c r="BI226" s="105">
        <v>0</v>
      </c>
      <c r="BJ226" s="118">
        <f t="shared" si="65"/>
        <v>0</v>
      </c>
      <c r="BK226" s="5">
        <v>0</v>
      </c>
      <c r="BL226" s="127">
        <f t="shared" si="12"/>
        <v>0</v>
      </c>
      <c r="BM226" s="220" t="s">
        <v>725</v>
      </c>
      <c r="BO226" s="1" t="s">
        <v>539</v>
      </c>
      <c r="BP226" s="220" t="s">
        <v>726</v>
      </c>
      <c r="BQ226" s="233"/>
      <c r="BR226" s="234"/>
    </row>
    <row r="227" spans="1:70" s="8" customFormat="1">
      <c r="A227" s="219" t="s">
        <v>451</v>
      </c>
      <c r="B227" s="182" t="s">
        <v>267</v>
      </c>
      <c r="C227" s="66" t="s">
        <v>175</v>
      </c>
      <c r="D227" s="284"/>
      <c r="E227" s="77" t="s">
        <v>176</v>
      </c>
      <c r="F227" s="281"/>
      <c r="G227" s="71" t="s">
        <v>202</v>
      </c>
      <c r="H227" s="70" t="s">
        <v>276</v>
      </c>
      <c r="I227" s="70" t="s">
        <v>180</v>
      </c>
      <c r="J227" s="71" t="s">
        <v>193</v>
      </c>
      <c r="K227" s="70" t="s">
        <v>275</v>
      </c>
      <c r="L227" s="69" t="s">
        <v>387</v>
      </c>
      <c r="M227" s="83" t="s">
        <v>731</v>
      </c>
      <c r="N227" s="68">
        <v>2.85</v>
      </c>
      <c r="O227" s="58">
        <v>3.65</v>
      </c>
      <c r="P227" s="144">
        <v>3.65</v>
      </c>
      <c r="Q227" s="144">
        <v>3.65</v>
      </c>
      <c r="R227" s="144">
        <v>3.65</v>
      </c>
      <c r="S227" s="144">
        <v>3.65</v>
      </c>
      <c r="T227" s="144">
        <v>3.65</v>
      </c>
      <c r="U227" s="144">
        <v>3.65</v>
      </c>
      <c r="V227" s="144">
        <v>3.65</v>
      </c>
      <c r="W227" s="144">
        <v>3.65</v>
      </c>
      <c r="X227" s="144">
        <v>3.5</v>
      </c>
      <c r="Y227" s="144">
        <v>3.5</v>
      </c>
      <c r="Z227" s="144">
        <v>3.5</v>
      </c>
      <c r="AA227" s="58">
        <v>3.5</v>
      </c>
      <c r="AB227" s="58">
        <v>0.77</v>
      </c>
      <c r="AC227" s="10">
        <v>0.77</v>
      </c>
      <c r="AD227" s="10">
        <v>0.77</v>
      </c>
      <c r="AE227" s="10">
        <v>0.77</v>
      </c>
      <c r="AF227" s="10">
        <v>0.77</v>
      </c>
      <c r="AG227" s="10">
        <v>0.77</v>
      </c>
      <c r="AH227" s="10">
        <v>0.77</v>
      </c>
      <c r="AI227" s="10">
        <v>0.77</v>
      </c>
      <c r="AJ227" s="10">
        <v>0.77</v>
      </c>
      <c r="AK227" s="10">
        <v>0.65</v>
      </c>
      <c r="AL227" s="10">
        <v>0.65</v>
      </c>
      <c r="AM227" s="10">
        <v>0.65</v>
      </c>
      <c r="AN227" s="149">
        <v>0.65</v>
      </c>
      <c r="AO227" s="5"/>
      <c r="AP227" s="118">
        <f t="shared" si="1"/>
        <v>0</v>
      </c>
      <c r="AQ227" s="5"/>
      <c r="AR227" s="118">
        <f t="shared" si="61"/>
        <v>0</v>
      </c>
      <c r="AS227" s="5"/>
      <c r="AT227" s="127">
        <f t="shared" si="62"/>
        <v>0</v>
      </c>
      <c r="AU227" s="5"/>
      <c r="AV227" s="118">
        <f t="shared" si="63"/>
        <v>0</v>
      </c>
      <c r="AW227" s="5"/>
      <c r="AX227" s="118">
        <f t="shared" si="64"/>
        <v>0</v>
      </c>
      <c r="AY227" s="5"/>
      <c r="AZ227" s="127">
        <f t="shared" si="6"/>
        <v>0</v>
      </c>
      <c r="BA227" s="5">
        <v>0</v>
      </c>
      <c r="BB227" s="118">
        <f t="shared" si="7"/>
        <v>0</v>
      </c>
      <c r="BC227" s="5">
        <v>0</v>
      </c>
      <c r="BD227" s="118">
        <f t="shared" si="8"/>
        <v>0</v>
      </c>
      <c r="BE227" s="5">
        <v>0</v>
      </c>
      <c r="BF227" s="127">
        <f t="shared" si="9"/>
        <v>0</v>
      </c>
      <c r="BG227" s="5">
        <v>0</v>
      </c>
      <c r="BH227" s="118">
        <f t="shared" si="57"/>
        <v>0</v>
      </c>
      <c r="BI227" s="105">
        <v>0</v>
      </c>
      <c r="BJ227" s="118">
        <f t="shared" si="65"/>
        <v>0</v>
      </c>
      <c r="BK227" s="5">
        <v>0</v>
      </c>
      <c r="BL227" s="127">
        <f t="shared" si="12"/>
        <v>0</v>
      </c>
      <c r="BM227" s="220" t="s">
        <v>725</v>
      </c>
      <c r="BO227" s="1" t="s">
        <v>539</v>
      </c>
      <c r="BP227" s="220" t="s">
        <v>727</v>
      </c>
      <c r="BQ227" s="233"/>
      <c r="BR227" s="234"/>
    </row>
    <row r="228" spans="1:70" s="8" customFormat="1">
      <c r="A228" s="219" t="s">
        <v>451</v>
      </c>
      <c r="B228" s="182" t="s">
        <v>267</v>
      </c>
      <c r="C228" s="66" t="s">
        <v>175</v>
      </c>
      <c r="D228" s="284"/>
      <c r="E228" s="77" t="s">
        <v>176</v>
      </c>
      <c r="F228" s="281"/>
      <c r="G228" s="71" t="s">
        <v>202</v>
      </c>
      <c r="H228" s="70" t="s">
        <v>276</v>
      </c>
      <c r="I228" s="70" t="s">
        <v>180</v>
      </c>
      <c r="J228" s="71" t="s">
        <v>193</v>
      </c>
      <c r="K228" s="70" t="s">
        <v>275</v>
      </c>
      <c r="L228" s="69" t="s">
        <v>387</v>
      </c>
      <c r="M228" s="83" t="s">
        <v>731</v>
      </c>
      <c r="N228" s="68">
        <v>2.85</v>
      </c>
      <c r="O228" s="58">
        <v>3.65</v>
      </c>
      <c r="P228" s="144">
        <v>3.65</v>
      </c>
      <c r="Q228" s="144">
        <v>3.65</v>
      </c>
      <c r="R228" s="144">
        <v>3.65</v>
      </c>
      <c r="S228" s="144">
        <v>3.65</v>
      </c>
      <c r="T228" s="144">
        <v>3.65</v>
      </c>
      <c r="U228" s="144">
        <v>3.65</v>
      </c>
      <c r="V228" s="144">
        <v>3.65</v>
      </c>
      <c r="W228" s="144">
        <v>3.65</v>
      </c>
      <c r="X228" s="144">
        <v>3.5</v>
      </c>
      <c r="Y228" s="144">
        <v>3.5</v>
      </c>
      <c r="Z228" s="144">
        <v>3.5</v>
      </c>
      <c r="AA228" s="58">
        <v>3.5</v>
      </c>
      <c r="AB228" s="58">
        <v>0.77</v>
      </c>
      <c r="AC228" s="10">
        <v>0.77</v>
      </c>
      <c r="AD228" s="10">
        <v>0.77</v>
      </c>
      <c r="AE228" s="10">
        <v>0.77</v>
      </c>
      <c r="AF228" s="10">
        <v>0.77</v>
      </c>
      <c r="AG228" s="10">
        <v>0.77</v>
      </c>
      <c r="AH228" s="10">
        <v>0.77</v>
      </c>
      <c r="AI228" s="10">
        <v>0.77</v>
      </c>
      <c r="AJ228" s="10">
        <v>0.77</v>
      </c>
      <c r="AK228" s="10">
        <v>0.65</v>
      </c>
      <c r="AL228" s="10">
        <v>0.65</v>
      </c>
      <c r="AM228" s="10">
        <v>0.65</v>
      </c>
      <c r="AN228" s="149">
        <v>0.65</v>
      </c>
      <c r="AO228" s="5"/>
      <c r="AP228" s="118">
        <f t="shared" si="1"/>
        <v>0</v>
      </c>
      <c r="AQ228" s="5"/>
      <c r="AR228" s="118">
        <f t="shared" si="61"/>
        <v>0</v>
      </c>
      <c r="AS228" s="5"/>
      <c r="AT228" s="127">
        <f t="shared" si="62"/>
        <v>0</v>
      </c>
      <c r="AU228" s="5"/>
      <c r="AV228" s="118">
        <f t="shared" si="63"/>
        <v>0</v>
      </c>
      <c r="AW228" s="5"/>
      <c r="AX228" s="118">
        <f t="shared" si="64"/>
        <v>0</v>
      </c>
      <c r="AY228" s="5"/>
      <c r="AZ228" s="127">
        <f t="shared" si="6"/>
        <v>0</v>
      </c>
      <c r="BA228" s="5">
        <v>0</v>
      </c>
      <c r="BB228" s="118">
        <f t="shared" si="7"/>
        <v>0</v>
      </c>
      <c r="BC228" s="5">
        <v>0</v>
      </c>
      <c r="BD228" s="118">
        <f t="shared" si="8"/>
        <v>0</v>
      </c>
      <c r="BE228" s="5">
        <v>0</v>
      </c>
      <c r="BF228" s="127">
        <f t="shared" si="9"/>
        <v>0</v>
      </c>
      <c r="BG228" s="5">
        <v>0</v>
      </c>
      <c r="BH228" s="118">
        <f t="shared" ref="BH228:BH287" si="66">AL228*BG228</f>
        <v>0</v>
      </c>
      <c r="BI228" s="105">
        <v>0</v>
      </c>
      <c r="BJ228" s="118">
        <f t="shared" si="65"/>
        <v>0</v>
      </c>
      <c r="BK228" s="5">
        <v>0</v>
      </c>
      <c r="BL228" s="127">
        <f t="shared" si="12"/>
        <v>0</v>
      </c>
      <c r="BM228" s="220" t="s">
        <v>725</v>
      </c>
      <c r="BO228" s="1" t="s">
        <v>539</v>
      </c>
      <c r="BP228" s="220" t="s">
        <v>728</v>
      </c>
      <c r="BQ228" s="233"/>
      <c r="BR228" s="234"/>
    </row>
    <row r="229" spans="1:70" s="8" customFormat="1">
      <c r="A229" s="219" t="s">
        <v>451</v>
      </c>
      <c r="B229" s="182" t="s">
        <v>267</v>
      </c>
      <c r="C229" s="66" t="s">
        <v>175</v>
      </c>
      <c r="D229" s="284"/>
      <c r="E229" s="77" t="s">
        <v>176</v>
      </c>
      <c r="F229" s="281"/>
      <c r="G229" s="71" t="s">
        <v>202</v>
      </c>
      <c r="H229" s="70" t="s">
        <v>276</v>
      </c>
      <c r="I229" s="70" t="s">
        <v>180</v>
      </c>
      <c r="J229" s="71" t="s">
        <v>193</v>
      </c>
      <c r="K229" s="70" t="s">
        <v>275</v>
      </c>
      <c r="L229" s="69" t="s">
        <v>387</v>
      </c>
      <c r="M229" s="83" t="s">
        <v>731</v>
      </c>
      <c r="N229" s="68">
        <v>2.85</v>
      </c>
      <c r="O229" s="58">
        <v>3.65</v>
      </c>
      <c r="P229" s="144">
        <v>3.65</v>
      </c>
      <c r="Q229" s="144">
        <v>3.65</v>
      </c>
      <c r="R229" s="144">
        <v>3.65</v>
      </c>
      <c r="S229" s="144">
        <v>3.65</v>
      </c>
      <c r="T229" s="144">
        <v>3.65</v>
      </c>
      <c r="U229" s="144">
        <v>3.65</v>
      </c>
      <c r="V229" s="144">
        <v>3.65</v>
      </c>
      <c r="W229" s="144">
        <v>3.65</v>
      </c>
      <c r="X229" s="144">
        <v>3.5</v>
      </c>
      <c r="Y229" s="144">
        <v>3.5</v>
      </c>
      <c r="Z229" s="144">
        <v>3.5</v>
      </c>
      <c r="AA229" s="58">
        <v>3.5</v>
      </c>
      <c r="AB229" s="58">
        <v>0.77</v>
      </c>
      <c r="AC229" s="10">
        <v>0.77</v>
      </c>
      <c r="AD229" s="10">
        <v>0.77</v>
      </c>
      <c r="AE229" s="10">
        <v>0.77</v>
      </c>
      <c r="AF229" s="10">
        <v>0.77</v>
      </c>
      <c r="AG229" s="10">
        <v>0.77</v>
      </c>
      <c r="AH229" s="10">
        <v>0.77</v>
      </c>
      <c r="AI229" s="10">
        <v>0.77</v>
      </c>
      <c r="AJ229" s="10">
        <v>0.77</v>
      </c>
      <c r="AK229" s="10">
        <v>0.65</v>
      </c>
      <c r="AL229" s="10">
        <v>0.65</v>
      </c>
      <c r="AM229" s="10">
        <v>0.65</v>
      </c>
      <c r="AN229" s="149">
        <v>0.65</v>
      </c>
      <c r="AO229" s="5"/>
      <c r="AP229" s="118">
        <f t="shared" si="1"/>
        <v>0</v>
      </c>
      <c r="AQ229" s="5"/>
      <c r="AR229" s="118">
        <f t="shared" si="61"/>
        <v>0</v>
      </c>
      <c r="AS229" s="5"/>
      <c r="AT229" s="127">
        <f t="shared" si="62"/>
        <v>0</v>
      </c>
      <c r="AU229" s="5"/>
      <c r="AV229" s="118">
        <f t="shared" si="63"/>
        <v>0</v>
      </c>
      <c r="AW229" s="5"/>
      <c r="AX229" s="118">
        <f t="shared" si="64"/>
        <v>0</v>
      </c>
      <c r="AY229" s="5"/>
      <c r="AZ229" s="127">
        <f t="shared" si="6"/>
        <v>0</v>
      </c>
      <c r="BA229" s="5">
        <v>0</v>
      </c>
      <c r="BB229" s="118">
        <f t="shared" si="7"/>
        <v>0</v>
      </c>
      <c r="BC229" s="5">
        <v>0</v>
      </c>
      <c r="BD229" s="118">
        <f t="shared" si="8"/>
        <v>0</v>
      </c>
      <c r="BE229" s="5">
        <v>0</v>
      </c>
      <c r="BF229" s="127">
        <f t="shared" si="9"/>
        <v>0</v>
      </c>
      <c r="BG229" s="5">
        <v>0</v>
      </c>
      <c r="BH229" s="118">
        <f t="shared" si="66"/>
        <v>0</v>
      </c>
      <c r="BI229" s="105">
        <v>0</v>
      </c>
      <c r="BJ229" s="118">
        <f t="shared" si="65"/>
        <v>0</v>
      </c>
      <c r="BK229" s="5">
        <v>0</v>
      </c>
      <c r="BL229" s="127">
        <f t="shared" si="12"/>
        <v>0</v>
      </c>
      <c r="BM229" s="220" t="s">
        <v>725</v>
      </c>
      <c r="BO229" s="1" t="s">
        <v>539</v>
      </c>
      <c r="BP229" s="220" t="s">
        <v>729</v>
      </c>
      <c r="BQ229" s="233"/>
      <c r="BR229" s="234"/>
    </row>
    <row r="230" spans="1:70" s="8" customFormat="1">
      <c r="A230" s="219" t="s">
        <v>451</v>
      </c>
      <c r="B230" s="182" t="s">
        <v>267</v>
      </c>
      <c r="C230" s="66" t="s">
        <v>175</v>
      </c>
      <c r="D230" s="284"/>
      <c r="E230" s="77" t="s">
        <v>176</v>
      </c>
      <c r="F230" s="281"/>
      <c r="G230" s="71" t="s">
        <v>202</v>
      </c>
      <c r="H230" s="70" t="s">
        <v>276</v>
      </c>
      <c r="I230" s="70" t="s">
        <v>180</v>
      </c>
      <c r="J230" s="71" t="s">
        <v>193</v>
      </c>
      <c r="K230" s="70" t="s">
        <v>275</v>
      </c>
      <c r="L230" s="69" t="s">
        <v>387</v>
      </c>
      <c r="M230" s="83" t="s">
        <v>731</v>
      </c>
      <c r="N230" s="68">
        <v>2.85</v>
      </c>
      <c r="O230" s="58">
        <v>3.65</v>
      </c>
      <c r="P230" s="144">
        <v>3.65</v>
      </c>
      <c r="Q230" s="144">
        <v>3.65</v>
      </c>
      <c r="R230" s="144">
        <v>3.65</v>
      </c>
      <c r="S230" s="144">
        <v>3.65</v>
      </c>
      <c r="T230" s="144">
        <v>3.65</v>
      </c>
      <c r="U230" s="144">
        <v>3.65</v>
      </c>
      <c r="V230" s="144">
        <v>3.65</v>
      </c>
      <c r="W230" s="144">
        <v>3.65</v>
      </c>
      <c r="X230" s="144">
        <v>3.5</v>
      </c>
      <c r="Y230" s="144">
        <v>3.5</v>
      </c>
      <c r="Z230" s="144">
        <v>3.5</v>
      </c>
      <c r="AA230" s="58">
        <v>3.5</v>
      </c>
      <c r="AB230" s="58">
        <v>0.77</v>
      </c>
      <c r="AC230" s="10">
        <v>0.77</v>
      </c>
      <c r="AD230" s="10">
        <v>0.77</v>
      </c>
      <c r="AE230" s="10">
        <v>0.77</v>
      </c>
      <c r="AF230" s="10">
        <v>0.77</v>
      </c>
      <c r="AG230" s="10">
        <v>0.77</v>
      </c>
      <c r="AH230" s="10">
        <v>0.77</v>
      </c>
      <c r="AI230" s="10">
        <v>0.77</v>
      </c>
      <c r="AJ230" s="10">
        <v>0.77</v>
      </c>
      <c r="AK230" s="10">
        <v>0.65</v>
      </c>
      <c r="AL230" s="10">
        <v>0.65</v>
      </c>
      <c r="AM230" s="10">
        <v>0.65</v>
      </c>
      <c r="AN230" s="149">
        <v>0.65</v>
      </c>
      <c r="AO230" s="5"/>
      <c r="AP230" s="118">
        <f t="shared" si="1"/>
        <v>0</v>
      </c>
      <c r="AQ230" s="5"/>
      <c r="AR230" s="118">
        <f t="shared" si="61"/>
        <v>0</v>
      </c>
      <c r="AS230" s="5"/>
      <c r="AT230" s="127">
        <f t="shared" si="62"/>
        <v>0</v>
      </c>
      <c r="AU230" s="5"/>
      <c r="AV230" s="118">
        <f t="shared" si="63"/>
        <v>0</v>
      </c>
      <c r="AW230" s="5"/>
      <c r="AX230" s="118">
        <f t="shared" si="64"/>
        <v>0</v>
      </c>
      <c r="AY230" s="5"/>
      <c r="AZ230" s="127">
        <f t="shared" si="6"/>
        <v>0</v>
      </c>
      <c r="BA230" s="5">
        <v>0</v>
      </c>
      <c r="BB230" s="118">
        <f t="shared" si="7"/>
        <v>0</v>
      </c>
      <c r="BC230" s="5">
        <v>0</v>
      </c>
      <c r="BD230" s="118">
        <f t="shared" si="8"/>
        <v>0</v>
      </c>
      <c r="BE230" s="5">
        <v>0</v>
      </c>
      <c r="BF230" s="127">
        <f t="shared" si="9"/>
        <v>0</v>
      </c>
      <c r="BG230" s="5">
        <v>0</v>
      </c>
      <c r="BH230" s="118">
        <f t="shared" si="66"/>
        <v>0</v>
      </c>
      <c r="BI230" s="105">
        <v>0</v>
      </c>
      <c r="BJ230" s="118">
        <f t="shared" si="65"/>
        <v>0</v>
      </c>
      <c r="BK230" s="5">
        <v>0</v>
      </c>
      <c r="BL230" s="127">
        <f t="shared" si="12"/>
        <v>0</v>
      </c>
      <c r="BM230" s="220" t="s">
        <v>725</v>
      </c>
      <c r="BO230" s="1" t="s">
        <v>539</v>
      </c>
      <c r="BP230" s="220" t="s">
        <v>730</v>
      </c>
      <c r="BQ230" s="233"/>
      <c r="BR230" s="234"/>
    </row>
    <row r="231" spans="1:70" s="8" customFormat="1">
      <c r="A231" s="219" t="s">
        <v>451</v>
      </c>
      <c r="B231" s="182"/>
      <c r="C231" s="66" t="s">
        <v>175</v>
      </c>
      <c r="D231" s="285"/>
      <c r="E231" s="77" t="s">
        <v>176</v>
      </c>
      <c r="F231" s="280"/>
      <c r="G231" s="71"/>
      <c r="H231" s="70"/>
      <c r="I231" s="70"/>
      <c r="J231" s="71"/>
      <c r="K231" s="70"/>
      <c r="L231" s="69"/>
      <c r="M231" s="52"/>
      <c r="N231" s="68">
        <v>0</v>
      </c>
      <c r="O231" s="58"/>
      <c r="P231" s="181"/>
      <c r="Q231" s="80"/>
      <c r="R231" s="80"/>
      <c r="S231" s="80"/>
      <c r="T231" s="80"/>
      <c r="U231" s="80"/>
      <c r="V231" s="80"/>
      <c r="W231" s="80"/>
      <c r="X231" s="80"/>
      <c r="Y231" s="80"/>
      <c r="Z231" s="80"/>
      <c r="AA231" s="49"/>
      <c r="AB231" s="52"/>
      <c r="AC231" s="48"/>
      <c r="AD231" s="48"/>
      <c r="AE231" s="48"/>
      <c r="AF231" s="48"/>
      <c r="AG231" s="48"/>
      <c r="AH231" s="48"/>
      <c r="AI231" s="48"/>
      <c r="AJ231" s="48"/>
      <c r="AK231" s="48"/>
      <c r="AL231" s="48"/>
      <c r="AM231" s="48"/>
      <c r="AN231" s="150"/>
      <c r="AO231" s="23"/>
      <c r="AP231" s="184"/>
      <c r="AQ231" s="23"/>
      <c r="AR231" s="184">
        <f t="shared" si="2"/>
        <v>0</v>
      </c>
      <c r="AS231" s="23">
        <v>0</v>
      </c>
      <c r="AT231" s="185">
        <f t="shared" si="3"/>
        <v>0</v>
      </c>
      <c r="AU231" s="23">
        <v>0</v>
      </c>
      <c r="AV231" s="184">
        <f t="shared" si="4"/>
        <v>0</v>
      </c>
      <c r="AW231" s="23">
        <v>0</v>
      </c>
      <c r="AX231" s="184">
        <f t="shared" si="5"/>
        <v>0</v>
      </c>
      <c r="AY231" s="23"/>
      <c r="AZ231" s="185">
        <f t="shared" si="6"/>
        <v>0</v>
      </c>
      <c r="BA231" s="50"/>
      <c r="BB231" s="184">
        <f t="shared" si="7"/>
        <v>0</v>
      </c>
      <c r="BC231" s="50"/>
      <c r="BD231" s="184">
        <f t="shared" si="8"/>
        <v>0</v>
      </c>
      <c r="BE231" s="23"/>
      <c r="BF231" s="185">
        <f t="shared" si="9"/>
        <v>0</v>
      </c>
      <c r="BG231" s="50"/>
      <c r="BH231" s="184">
        <f t="shared" si="66"/>
        <v>0</v>
      </c>
      <c r="BI231" s="23"/>
      <c r="BJ231" s="184">
        <f t="shared" si="11"/>
        <v>0</v>
      </c>
      <c r="BK231" s="23"/>
      <c r="BL231" s="185">
        <f t="shared" si="12"/>
        <v>0</v>
      </c>
      <c r="BM231" s="220"/>
      <c r="BP231" s="220" t="s">
        <v>208</v>
      </c>
      <c r="BQ231" s="233"/>
      <c r="BR231" s="234"/>
    </row>
    <row r="232" spans="1:70">
      <c r="A232" s="219" t="s">
        <v>451</v>
      </c>
      <c r="B232" s="212" t="s">
        <v>267</v>
      </c>
      <c r="C232" s="73" t="s">
        <v>175</v>
      </c>
      <c r="D232" s="286" t="s">
        <v>388</v>
      </c>
      <c r="E232" s="102" t="s">
        <v>176</v>
      </c>
      <c r="F232" s="279" t="s">
        <v>75</v>
      </c>
      <c r="G232" s="64" t="s">
        <v>178</v>
      </c>
      <c r="H232" s="63" t="s">
        <v>732</v>
      </c>
      <c r="I232" s="63" t="s">
        <v>180</v>
      </c>
      <c r="J232" s="64" t="s">
        <v>272</v>
      </c>
      <c r="K232" s="63" t="s">
        <v>715</v>
      </c>
      <c r="L232" s="62" t="s">
        <v>185</v>
      </c>
      <c r="M232" s="83" t="s">
        <v>453</v>
      </c>
      <c r="N232" s="61">
        <v>2.8800000000000003</v>
      </c>
      <c r="O232" s="59">
        <v>3.8</v>
      </c>
      <c r="P232" s="144">
        <v>3.8</v>
      </c>
      <c r="Q232" s="144">
        <v>3.8</v>
      </c>
      <c r="R232" s="144">
        <v>3.8</v>
      </c>
      <c r="S232" s="144">
        <v>3.8</v>
      </c>
      <c r="T232" s="144">
        <v>3.8</v>
      </c>
      <c r="U232" s="144">
        <v>3.8</v>
      </c>
      <c r="V232" s="144">
        <v>3.8</v>
      </c>
      <c r="W232" s="144">
        <v>3.8</v>
      </c>
      <c r="X232" s="144">
        <v>3.7</v>
      </c>
      <c r="Y232" s="144">
        <v>3.7</v>
      </c>
      <c r="Z232" s="144">
        <v>3.7</v>
      </c>
      <c r="AA232" s="58">
        <v>3.7</v>
      </c>
      <c r="AB232" s="58">
        <v>0.92</v>
      </c>
      <c r="AC232" s="10">
        <v>0.92</v>
      </c>
      <c r="AD232" s="10">
        <v>0.92</v>
      </c>
      <c r="AE232" s="10">
        <v>0.92</v>
      </c>
      <c r="AF232" s="10">
        <v>0.92</v>
      </c>
      <c r="AG232" s="10">
        <v>0.92</v>
      </c>
      <c r="AH232" s="10">
        <v>0.92</v>
      </c>
      <c r="AI232" s="10">
        <v>0.92</v>
      </c>
      <c r="AJ232" s="10">
        <v>0.92</v>
      </c>
      <c r="AK232" s="10">
        <v>0.82</v>
      </c>
      <c r="AL232" s="10">
        <v>0.82</v>
      </c>
      <c r="AM232" s="10">
        <v>0.82</v>
      </c>
      <c r="AN232" s="149">
        <v>0.82</v>
      </c>
      <c r="AO232" s="5">
        <v>4159</v>
      </c>
      <c r="AP232" s="118">
        <f t="shared" si="1"/>
        <v>3826.28</v>
      </c>
      <c r="AQ232" s="5">
        <v>6080</v>
      </c>
      <c r="AR232" s="118">
        <f t="shared" si="2"/>
        <v>5593.6</v>
      </c>
      <c r="AS232" s="5">
        <v>160</v>
      </c>
      <c r="AT232" s="127">
        <f t="shared" si="3"/>
        <v>147.20000000000002</v>
      </c>
      <c r="AU232" s="5">
        <v>3491</v>
      </c>
      <c r="AV232" s="118">
        <f t="shared" si="4"/>
        <v>3211.7200000000003</v>
      </c>
      <c r="AW232" s="5">
        <v>2360</v>
      </c>
      <c r="AX232" s="118">
        <f t="shared" si="5"/>
        <v>2171.2000000000003</v>
      </c>
      <c r="AY232" s="5">
        <v>2629</v>
      </c>
      <c r="AZ232" s="127">
        <f t="shared" si="6"/>
        <v>2418.6800000000003</v>
      </c>
      <c r="BA232" s="5">
        <v>840</v>
      </c>
      <c r="BB232" s="118">
        <f t="shared" si="7"/>
        <v>772.80000000000007</v>
      </c>
      <c r="BC232" s="5">
        <v>3040</v>
      </c>
      <c r="BD232" s="118">
        <f t="shared" si="8"/>
        <v>2796.8</v>
      </c>
      <c r="BE232" s="5">
        <v>1880</v>
      </c>
      <c r="BF232" s="127">
        <f t="shared" si="9"/>
        <v>1541.6</v>
      </c>
      <c r="BG232" s="5">
        <v>4080</v>
      </c>
      <c r="BH232" s="118">
        <f t="shared" si="66"/>
        <v>3345.6</v>
      </c>
      <c r="BI232" s="5">
        <v>1000</v>
      </c>
      <c r="BJ232" s="118">
        <f t="shared" si="11"/>
        <v>820</v>
      </c>
      <c r="BK232" s="5">
        <v>240</v>
      </c>
      <c r="BL232" s="127">
        <f t="shared" si="12"/>
        <v>196.79999999999998</v>
      </c>
      <c r="BM232" s="236" t="s">
        <v>733</v>
      </c>
      <c r="BO232" s="1" t="s">
        <v>539</v>
      </c>
      <c r="BP232" s="220" t="s">
        <v>734</v>
      </c>
      <c r="BQ232" s="233"/>
      <c r="BR232" s="234"/>
    </row>
    <row r="233" spans="1:70">
      <c r="A233" s="219" t="s">
        <v>451</v>
      </c>
      <c r="B233" s="213" t="s">
        <v>267</v>
      </c>
      <c r="C233" s="66" t="s">
        <v>175</v>
      </c>
      <c r="D233" s="287"/>
      <c r="E233" s="103" t="s">
        <v>176</v>
      </c>
      <c r="F233" s="281"/>
      <c r="G233" s="71" t="s">
        <v>178</v>
      </c>
      <c r="H233" s="70" t="s">
        <v>735</v>
      </c>
      <c r="I233" s="70" t="s">
        <v>180</v>
      </c>
      <c r="J233" s="71" t="s">
        <v>272</v>
      </c>
      <c r="K233" s="70" t="s">
        <v>228</v>
      </c>
      <c r="L233" s="69" t="s">
        <v>185</v>
      </c>
      <c r="M233" s="83" t="s">
        <v>453</v>
      </c>
      <c r="N233" s="68">
        <v>2.8800000000000003</v>
      </c>
      <c r="O233" s="58">
        <v>3.8</v>
      </c>
      <c r="P233" s="144">
        <v>3.8</v>
      </c>
      <c r="Q233" s="144">
        <v>3.8</v>
      </c>
      <c r="R233" s="144">
        <v>3.8</v>
      </c>
      <c r="S233" s="144">
        <v>3.8</v>
      </c>
      <c r="T233" s="144">
        <v>3.8</v>
      </c>
      <c r="U233" s="144">
        <v>3.8</v>
      </c>
      <c r="V233" s="144">
        <v>3.8</v>
      </c>
      <c r="W233" s="144">
        <v>3.8</v>
      </c>
      <c r="X233" s="144">
        <v>3.7</v>
      </c>
      <c r="Y233" s="144">
        <v>3.7</v>
      </c>
      <c r="Z233" s="144">
        <v>3.7</v>
      </c>
      <c r="AA233" s="58">
        <v>3.7</v>
      </c>
      <c r="AB233" s="58">
        <v>0.92</v>
      </c>
      <c r="AC233" s="10">
        <v>0.92</v>
      </c>
      <c r="AD233" s="10">
        <v>0.92</v>
      </c>
      <c r="AE233" s="10">
        <v>0.92</v>
      </c>
      <c r="AF233" s="10">
        <v>0.92</v>
      </c>
      <c r="AG233" s="10">
        <v>0.92</v>
      </c>
      <c r="AH233" s="10">
        <v>0.92</v>
      </c>
      <c r="AI233" s="10">
        <v>0.92</v>
      </c>
      <c r="AJ233" s="10">
        <v>0.92</v>
      </c>
      <c r="AK233" s="10">
        <v>0.82</v>
      </c>
      <c r="AL233" s="10">
        <v>0.82</v>
      </c>
      <c r="AM233" s="10">
        <v>0.82</v>
      </c>
      <c r="AN233" s="149">
        <v>0.82</v>
      </c>
      <c r="AP233" s="118">
        <f t="shared" si="1"/>
        <v>0</v>
      </c>
      <c r="AR233" s="118">
        <f t="shared" si="2"/>
        <v>0</v>
      </c>
      <c r="AT233" s="127">
        <f t="shared" si="3"/>
        <v>0</v>
      </c>
      <c r="AU233" s="5"/>
      <c r="AV233" s="118">
        <f t="shared" si="4"/>
        <v>0</v>
      </c>
      <c r="AW233" s="5"/>
      <c r="AX233" s="118">
        <f t="shared" si="5"/>
        <v>0</v>
      </c>
      <c r="AY233" s="5"/>
      <c r="AZ233" s="127">
        <f t="shared" si="6"/>
        <v>0</v>
      </c>
      <c r="BA233" s="5">
        <v>1879</v>
      </c>
      <c r="BB233" s="118">
        <f t="shared" si="7"/>
        <v>1728.68</v>
      </c>
      <c r="BC233" s="5">
        <v>1720</v>
      </c>
      <c r="BD233" s="118">
        <f t="shared" si="8"/>
        <v>1582.4</v>
      </c>
      <c r="BE233" s="5">
        <v>919</v>
      </c>
      <c r="BF233" s="127">
        <f t="shared" si="9"/>
        <v>753.57999999999993</v>
      </c>
      <c r="BG233" s="5">
        <v>2680</v>
      </c>
      <c r="BH233" s="118">
        <f t="shared" si="66"/>
        <v>2197.6</v>
      </c>
      <c r="BI233" s="5">
        <v>2880</v>
      </c>
      <c r="BJ233" s="118">
        <f t="shared" si="11"/>
        <v>2361.6</v>
      </c>
      <c r="BK233" s="5">
        <v>1240</v>
      </c>
      <c r="BL233" s="127">
        <f t="shared" si="12"/>
        <v>1016.8</v>
      </c>
      <c r="BM233" s="236" t="s">
        <v>736</v>
      </c>
      <c r="BO233" s="1" t="s">
        <v>539</v>
      </c>
      <c r="BP233" s="220" t="s">
        <v>737</v>
      </c>
      <c r="BQ233" s="233"/>
      <c r="BR233" s="234"/>
    </row>
    <row r="234" spans="1:70">
      <c r="A234" s="219" t="s">
        <v>451</v>
      </c>
      <c r="B234" s="213" t="s">
        <v>267</v>
      </c>
      <c r="C234" s="66" t="s">
        <v>175</v>
      </c>
      <c r="D234" s="287"/>
      <c r="E234" s="103" t="s">
        <v>176</v>
      </c>
      <c r="F234" s="281"/>
      <c r="G234" s="71" t="s">
        <v>178</v>
      </c>
      <c r="H234" s="70" t="s">
        <v>735</v>
      </c>
      <c r="I234" s="70" t="s">
        <v>180</v>
      </c>
      <c r="J234" s="71" t="s">
        <v>272</v>
      </c>
      <c r="K234" s="70" t="s">
        <v>394</v>
      </c>
      <c r="L234" s="69" t="s">
        <v>185</v>
      </c>
      <c r="M234" s="83" t="s">
        <v>453</v>
      </c>
      <c r="N234" s="68">
        <v>2.8800000000000003</v>
      </c>
      <c r="O234" s="58">
        <v>3.8</v>
      </c>
      <c r="P234" s="144">
        <v>3.8</v>
      </c>
      <c r="Q234" s="144">
        <v>3.8</v>
      </c>
      <c r="R234" s="144">
        <v>3.8</v>
      </c>
      <c r="S234" s="144">
        <v>3.8</v>
      </c>
      <c r="T234" s="144">
        <v>3.8</v>
      </c>
      <c r="U234" s="144">
        <v>3.8</v>
      </c>
      <c r="V234" s="144">
        <v>3.8</v>
      </c>
      <c r="W234" s="144">
        <v>3.8</v>
      </c>
      <c r="X234" s="144">
        <v>3.7</v>
      </c>
      <c r="Y234" s="144">
        <v>3.7</v>
      </c>
      <c r="Z234" s="144">
        <v>3.7</v>
      </c>
      <c r="AA234" s="58">
        <v>3.7</v>
      </c>
      <c r="AB234" s="58">
        <v>0.92</v>
      </c>
      <c r="AC234" s="10">
        <v>0.92</v>
      </c>
      <c r="AD234" s="10">
        <v>0.92</v>
      </c>
      <c r="AE234" s="10">
        <v>0.92</v>
      </c>
      <c r="AF234" s="10">
        <v>0.92</v>
      </c>
      <c r="AG234" s="10">
        <v>0.92</v>
      </c>
      <c r="AH234" s="10">
        <v>0.92</v>
      </c>
      <c r="AI234" s="10">
        <v>0.92</v>
      </c>
      <c r="AJ234" s="10">
        <v>0.92</v>
      </c>
      <c r="AK234" s="10">
        <v>0.82</v>
      </c>
      <c r="AL234" s="10">
        <v>0.82</v>
      </c>
      <c r="AM234" s="10">
        <v>0.82</v>
      </c>
      <c r="AN234" s="149">
        <v>0.82</v>
      </c>
      <c r="AO234" s="5">
        <v>6160</v>
      </c>
      <c r="AP234" s="118">
        <f t="shared" si="1"/>
        <v>5667.2</v>
      </c>
      <c r="AQ234" s="5">
        <v>0</v>
      </c>
      <c r="AR234" s="118">
        <f t="shared" si="2"/>
        <v>0</v>
      </c>
      <c r="AS234" s="5">
        <v>0</v>
      </c>
      <c r="AT234" s="127">
        <f t="shared" si="3"/>
        <v>0</v>
      </c>
      <c r="AU234" s="5">
        <v>0</v>
      </c>
      <c r="AV234" s="118">
        <f t="shared" si="4"/>
        <v>0</v>
      </c>
      <c r="AW234" s="5">
        <v>0</v>
      </c>
      <c r="AX234" s="118">
        <f t="shared" si="5"/>
        <v>0</v>
      </c>
      <c r="AY234" s="5">
        <v>0</v>
      </c>
      <c r="AZ234" s="127">
        <f t="shared" si="6"/>
        <v>0</v>
      </c>
      <c r="BA234" s="5">
        <v>0</v>
      </c>
      <c r="BB234" s="118">
        <f t="shared" si="7"/>
        <v>0</v>
      </c>
      <c r="BC234" s="5">
        <v>0</v>
      </c>
      <c r="BD234" s="118">
        <f t="shared" si="8"/>
        <v>0</v>
      </c>
      <c r="BE234" s="5">
        <v>0</v>
      </c>
      <c r="BF234" s="127">
        <f t="shared" si="9"/>
        <v>0</v>
      </c>
      <c r="BG234" s="5">
        <v>0</v>
      </c>
      <c r="BH234" s="118">
        <f t="shared" si="66"/>
        <v>0</v>
      </c>
      <c r="BI234" s="5">
        <v>0</v>
      </c>
      <c r="BJ234" s="118">
        <f t="shared" si="11"/>
        <v>0</v>
      </c>
      <c r="BK234" s="5">
        <v>0</v>
      </c>
      <c r="BL234" s="127">
        <f t="shared" si="12"/>
        <v>0</v>
      </c>
      <c r="BM234" s="220" t="s">
        <v>738</v>
      </c>
      <c r="BO234" s="1" t="s">
        <v>539</v>
      </c>
      <c r="BP234" s="220" t="s">
        <v>739</v>
      </c>
      <c r="BQ234" s="233"/>
      <c r="BR234" s="234"/>
    </row>
    <row r="235" spans="1:70">
      <c r="A235" s="219" t="s">
        <v>451</v>
      </c>
      <c r="B235" s="213" t="s">
        <v>267</v>
      </c>
      <c r="C235" s="66" t="s">
        <v>175</v>
      </c>
      <c r="D235" s="287"/>
      <c r="E235" s="103" t="s">
        <v>176</v>
      </c>
      <c r="F235" s="281"/>
      <c r="G235" s="71" t="s">
        <v>202</v>
      </c>
      <c r="H235" s="70" t="s">
        <v>735</v>
      </c>
      <c r="I235" s="70" t="s">
        <v>184</v>
      </c>
      <c r="J235" s="71" t="s">
        <v>272</v>
      </c>
      <c r="K235" s="70" t="s">
        <v>394</v>
      </c>
      <c r="L235" s="69" t="s">
        <v>185</v>
      </c>
      <c r="M235" s="83" t="s">
        <v>453</v>
      </c>
      <c r="N235" s="68">
        <v>7.5</v>
      </c>
      <c r="O235" s="68">
        <v>7.5</v>
      </c>
      <c r="P235" s="144">
        <v>10.5</v>
      </c>
      <c r="Q235" s="144">
        <v>10.5</v>
      </c>
      <c r="R235" s="144">
        <v>10.5</v>
      </c>
      <c r="S235" s="144">
        <v>10.5</v>
      </c>
      <c r="T235" s="144">
        <v>10.5</v>
      </c>
      <c r="U235" s="144">
        <v>10.5</v>
      </c>
      <c r="V235" s="144">
        <v>10.5</v>
      </c>
      <c r="W235" s="144">
        <v>10.5</v>
      </c>
      <c r="X235" s="144">
        <v>10.5</v>
      </c>
      <c r="Y235" s="144">
        <v>9.8000000000000007</v>
      </c>
      <c r="Z235" s="144">
        <v>9.8000000000000007</v>
      </c>
      <c r="AA235" s="58">
        <v>9.8000000000000007</v>
      </c>
      <c r="AB235" s="58">
        <v>2.2999999999999998</v>
      </c>
      <c r="AC235" s="10">
        <v>2.52</v>
      </c>
      <c r="AD235" s="10">
        <v>2.52</v>
      </c>
      <c r="AE235" s="10">
        <v>2.52</v>
      </c>
      <c r="AF235" s="10">
        <v>2.52</v>
      </c>
      <c r="AG235" s="10">
        <v>2.52</v>
      </c>
      <c r="AH235" s="10">
        <v>2.52</v>
      </c>
      <c r="AI235" s="10">
        <v>2.52</v>
      </c>
      <c r="AJ235" s="10">
        <v>2.52</v>
      </c>
      <c r="AK235" s="10">
        <v>2.52</v>
      </c>
      <c r="AL235" s="10">
        <v>2.2999999999999998</v>
      </c>
      <c r="AM235" s="10">
        <v>2.2999999999999998</v>
      </c>
      <c r="AN235" s="149">
        <v>2.2999999999999998</v>
      </c>
      <c r="AO235" s="5">
        <v>6159</v>
      </c>
      <c r="AP235" s="118">
        <f t="shared" si="1"/>
        <v>15520.68</v>
      </c>
      <c r="AQ235" s="5">
        <v>4200</v>
      </c>
      <c r="AR235" s="118">
        <f t="shared" si="2"/>
        <v>10584</v>
      </c>
      <c r="AS235" s="5">
        <v>400</v>
      </c>
      <c r="AT235" s="127">
        <f t="shared" si="3"/>
        <v>1008</v>
      </c>
      <c r="AU235" s="5">
        <v>829</v>
      </c>
      <c r="AV235" s="118">
        <f t="shared" si="4"/>
        <v>2089.08</v>
      </c>
      <c r="AW235" s="5">
        <v>1000</v>
      </c>
      <c r="AX235" s="118">
        <f t="shared" si="5"/>
        <v>2520</v>
      </c>
      <c r="AY235" s="5">
        <v>1239</v>
      </c>
      <c r="AZ235" s="127">
        <f t="shared" si="6"/>
        <v>3122.28</v>
      </c>
      <c r="BA235" s="105">
        <v>1000</v>
      </c>
      <c r="BB235" s="118">
        <f t="shared" si="7"/>
        <v>2520</v>
      </c>
      <c r="BC235" s="105">
        <v>360</v>
      </c>
      <c r="BD235" s="118">
        <f t="shared" si="8"/>
        <v>907.2</v>
      </c>
      <c r="BE235" s="105">
        <v>393</v>
      </c>
      <c r="BF235" s="127">
        <f t="shared" si="9"/>
        <v>990.36</v>
      </c>
      <c r="BG235" s="105">
        <v>0</v>
      </c>
      <c r="BH235" s="118">
        <f t="shared" si="66"/>
        <v>0</v>
      </c>
      <c r="BI235" s="105">
        <v>40</v>
      </c>
      <c r="BJ235" s="118">
        <f t="shared" si="11"/>
        <v>92</v>
      </c>
      <c r="BK235" s="105">
        <v>80</v>
      </c>
      <c r="BL235" s="127">
        <f t="shared" si="12"/>
        <v>184</v>
      </c>
      <c r="BM235" s="235" t="s">
        <v>740</v>
      </c>
      <c r="BO235" s="1" t="s">
        <v>539</v>
      </c>
      <c r="BP235" s="220" t="s">
        <v>741</v>
      </c>
      <c r="BQ235" s="233"/>
      <c r="BR235" s="234"/>
    </row>
    <row r="236" spans="1:70">
      <c r="A236" s="219" t="s">
        <v>451</v>
      </c>
      <c r="B236" s="213" t="s">
        <v>267</v>
      </c>
      <c r="C236" s="66" t="s">
        <v>175</v>
      </c>
      <c r="D236" s="287"/>
      <c r="E236" s="103" t="s">
        <v>176</v>
      </c>
      <c r="F236" s="281"/>
      <c r="G236" s="71" t="s">
        <v>202</v>
      </c>
      <c r="H236" s="70" t="s">
        <v>735</v>
      </c>
      <c r="I236" s="70" t="s">
        <v>184</v>
      </c>
      <c r="J236" s="71" t="s">
        <v>272</v>
      </c>
      <c r="K236" s="70" t="s">
        <v>394</v>
      </c>
      <c r="L236" s="69" t="s">
        <v>185</v>
      </c>
      <c r="M236" s="83" t="s">
        <v>453</v>
      </c>
      <c r="N236" s="68">
        <v>7.5</v>
      </c>
      <c r="O236" s="68">
        <v>7.5</v>
      </c>
      <c r="P236" s="144">
        <v>10.5</v>
      </c>
      <c r="Q236" s="144">
        <v>10.5</v>
      </c>
      <c r="R236" s="144">
        <v>10.5</v>
      </c>
      <c r="S236" s="144">
        <v>10.5</v>
      </c>
      <c r="T236" s="144">
        <v>10.5</v>
      </c>
      <c r="U236" s="144">
        <v>10.5</v>
      </c>
      <c r="V236" s="144">
        <v>10.5</v>
      </c>
      <c r="W236" s="144">
        <v>10.5</v>
      </c>
      <c r="X236" s="144">
        <v>10.5</v>
      </c>
      <c r="Y236" s="144">
        <v>9.8000000000000007</v>
      </c>
      <c r="Z236" s="144">
        <v>9.8000000000000007</v>
      </c>
      <c r="AA236" s="58">
        <v>9.8000000000000007</v>
      </c>
      <c r="AB236" s="58">
        <v>2.2999999999999998</v>
      </c>
      <c r="AC236" s="10">
        <v>2.52</v>
      </c>
      <c r="AD236" s="10">
        <v>2.52</v>
      </c>
      <c r="AE236" s="10">
        <v>2.52</v>
      </c>
      <c r="AF236" s="10">
        <v>2.52</v>
      </c>
      <c r="AG236" s="10">
        <v>2.52</v>
      </c>
      <c r="AH236" s="10">
        <v>2.52</v>
      </c>
      <c r="AI236" s="10">
        <v>2.52</v>
      </c>
      <c r="AJ236" s="10">
        <v>2.52</v>
      </c>
      <c r="AK236" s="10">
        <v>2.52</v>
      </c>
      <c r="AL236" s="10">
        <v>2.2999999999999998</v>
      </c>
      <c r="AM236" s="10">
        <v>2.2999999999999998</v>
      </c>
      <c r="AN236" s="149">
        <v>2.2999999999999998</v>
      </c>
      <c r="AP236" s="118">
        <f t="shared" si="1"/>
        <v>0</v>
      </c>
      <c r="AR236" s="118">
        <f t="shared" si="2"/>
        <v>0</v>
      </c>
      <c r="AT236" s="127">
        <f t="shared" si="3"/>
        <v>0</v>
      </c>
      <c r="AU236" s="5"/>
      <c r="AV236" s="118">
        <f t="shared" si="4"/>
        <v>0</v>
      </c>
      <c r="AW236" s="5"/>
      <c r="AX236" s="118">
        <f t="shared" si="5"/>
        <v>0</v>
      </c>
      <c r="AY236" s="5"/>
      <c r="AZ236" s="127">
        <f t="shared" si="6"/>
        <v>0</v>
      </c>
      <c r="BA236" s="105">
        <v>1234</v>
      </c>
      <c r="BB236" s="118">
        <f t="shared" si="7"/>
        <v>3109.68</v>
      </c>
      <c r="BC236" s="105">
        <v>480</v>
      </c>
      <c r="BD236" s="118">
        <f t="shared" si="8"/>
        <v>1209.5999999999999</v>
      </c>
      <c r="BE236" s="105">
        <v>440</v>
      </c>
      <c r="BF236" s="127">
        <f t="shared" si="9"/>
        <v>1108.8</v>
      </c>
      <c r="BG236" s="105">
        <v>959</v>
      </c>
      <c r="BH236" s="118">
        <f t="shared" si="66"/>
        <v>2205.6999999999998</v>
      </c>
      <c r="BI236" s="105">
        <v>1517</v>
      </c>
      <c r="BJ236" s="118">
        <f t="shared" si="11"/>
        <v>3489.1</v>
      </c>
      <c r="BK236" s="105">
        <v>600</v>
      </c>
      <c r="BL236" s="127">
        <f t="shared" si="12"/>
        <v>1380</v>
      </c>
      <c r="BM236" s="235" t="s">
        <v>742</v>
      </c>
      <c r="BO236" s="1" t="s">
        <v>539</v>
      </c>
      <c r="BP236" s="220" t="s">
        <v>743</v>
      </c>
      <c r="BQ236" s="233"/>
      <c r="BR236" s="234"/>
    </row>
    <row r="237" spans="1:70">
      <c r="A237" s="219" t="s">
        <v>451</v>
      </c>
      <c r="B237" s="213" t="s">
        <v>267</v>
      </c>
      <c r="C237" s="66" t="s">
        <v>175</v>
      </c>
      <c r="D237" s="287"/>
      <c r="E237" s="103" t="s">
        <v>176</v>
      </c>
      <c r="F237" s="281"/>
      <c r="G237" s="71" t="s">
        <v>202</v>
      </c>
      <c r="H237" s="70" t="s">
        <v>735</v>
      </c>
      <c r="I237" s="70" t="s">
        <v>184</v>
      </c>
      <c r="J237" s="71" t="s">
        <v>272</v>
      </c>
      <c r="K237" s="70" t="s">
        <v>744</v>
      </c>
      <c r="L237" s="69" t="s">
        <v>185</v>
      </c>
      <c r="M237" s="83" t="s">
        <v>453</v>
      </c>
      <c r="N237" s="68">
        <v>7.98</v>
      </c>
      <c r="O237" s="68">
        <v>10.5</v>
      </c>
      <c r="P237" s="144">
        <v>10.5</v>
      </c>
      <c r="Q237" s="144">
        <v>10.5</v>
      </c>
      <c r="R237" s="144">
        <v>10.5</v>
      </c>
      <c r="S237" s="144">
        <v>10.5</v>
      </c>
      <c r="T237" s="144">
        <v>10.5</v>
      </c>
      <c r="U237" s="144">
        <v>10.5</v>
      </c>
      <c r="V237" s="144">
        <v>10.5</v>
      </c>
      <c r="W237" s="144">
        <v>10.5</v>
      </c>
      <c r="X237" s="144">
        <v>10.5</v>
      </c>
      <c r="Y237" s="144">
        <v>10.5</v>
      </c>
      <c r="Z237" s="144">
        <v>10.5</v>
      </c>
      <c r="AA237" s="58">
        <v>10.5</v>
      </c>
      <c r="AB237" s="58">
        <v>2.25</v>
      </c>
      <c r="AC237" s="10">
        <v>2.52</v>
      </c>
      <c r="AD237" s="10">
        <v>2.52</v>
      </c>
      <c r="AE237" s="10">
        <v>2.52</v>
      </c>
      <c r="AF237" s="10">
        <v>2.52</v>
      </c>
      <c r="AG237" s="10">
        <v>2.52</v>
      </c>
      <c r="AH237" s="10">
        <v>2.52</v>
      </c>
      <c r="AI237" s="10">
        <v>2.52</v>
      </c>
      <c r="AJ237" s="10">
        <v>2.52</v>
      </c>
      <c r="AK237" s="10">
        <v>2.52</v>
      </c>
      <c r="AL237" s="10">
        <v>2.52</v>
      </c>
      <c r="AM237" s="10">
        <v>2.52</v>
      </c>
      <c r="AN237" s="149">
        <v>2.52</v>
      </c>
      <c r="AO237" s="5">
        <v>0</v>
      </c>
      <c r="AP237" s="118">
        <f t="shared" si="1"/>
        <v>0</v>
      </c>
      <c r="AQ237" s="5">
        <v>0</v>
      </c>
      <c r="AR237" s="118">
        <f t="shared" si="2"/>
        <v>0</v>
      </c>
      <c r="AS237" s="5">
        <v>0</v>
      </c>
      <c r="AT237" s="127">
        <f t="shared" si="3"/>
        <v>0</v>
      </c>
      <c r="AU237" s="5">
        <v>0</v>
      </c>
      <c r="AV237" s="118">
        <f t="shared" si="4"/>
        <v>0</v>
      </c>
      <c r="AW237" s="5">
        <v>0</v>
      </c>
      <c r="AX237" s="118">
        <f t="shared" si="5"/>
        <v>0</v>
      </c>
      <c r="AY237" s="5">
        <v>0</v>
      </c>
      <c r="AZ237" s="127">
        <f t="shared" si="6"/>
        <v>0</v>
      </c>
      <c r="BA237" s="105">
        <v>0</v>
      </c>
      <c r="BB237" s="118">
        <f t="shared" si="7"/>
        <v>0</v>
      </c>
      <c r="BC237" s="105">
        <v>0</v>
      </c>
      <c r="BD237" s="118">
        <f t="shared" si="8"/>
        <v>0</v>
      </c>
      <c r="BE237" s="105">
        <v>0</v>
      </c>
      <c r="BF237" s="127">
        <f t="shared" si="9"/>
        <v>0</v>
      </c>
      <c r="BG237" s="105">
        <v>0</v>
      </c>
      <c r="BH237" s="118">
        <f t="shared" si="66"/>
        <v>0</v>
      </c>
      <c r="BI237" s="105">
        <v>0</v>
      </c>
      <c r="BJ237" s="118">
        <f t="shared" si="11"/>
        <v>0</v>
      </c>
      <c r="BK237" s="105">
        <v>0</v>
      </c>
      <c r="BL237" s="127">
        <f t="shared" si="12"/>
        <v>0</v>
      </c>
      <c r="BM237" s="220" t="s">
        <v>745</v>
      </c>
      <c r="BO237" s="1" t="s">
        <v>539</v>
      </c>
      <c r="BP237" s="220" t="s">
        <v>746</v>
      </c>
      <c r="BQ237" s="233"/>
      <c r="BR237" s="234"/>
    </row>
    <row r="238" spans="1:70">
      <c r="A238" s="219" t="s">
        <v>451</v>
      </c>
      <c r="B238" s="213" t="s">
        <v>267</v>
      </c>
      <c r="C238" s="66" t="s">
        <v>175</v>
      </c>
      <c r="D238" s="287"/>
      <c r="E238" s="103" t="s">
        <v>176</v>
      </c>
      <c r="F238" s="281"/>
      <c r="G238" s="71" t="s">
        <v>202</v>
      </c>
      <c r="H238" s="70" t="s">
        <v>735</v>
      </c>
      <c r="I238" s="70" t="s">
        <v>184</v>
      </c>
      <c r="J238" s="71" t="s">
        <v>272</v>
      </c>
      <c r="K238" s="70" t="s">
        <v>747</v>
      </c>
      <c r="L238" s="69" t="s">
        <v>185</v>
      </c>
      <c r="M238" s="83" t="s">
        <v>453</v>
      </c>
      <c r="N238" s="68">
        <v>7.98</v>
      </c>
      <c r="O238" s="68">
        <v>10.5</v>
      </c>
      <c r="P238" s="144">
        <v>10.5</v>
      </c>
      <c r="Q238" s="144">
        <v>10.5</v>
      </c>
      <c r="R238" s="144">
        <v>10.5</v>
      </c>
      <c r="S238" s="144">
        <v>10.5</v>
      </c>
      <c r="T238" s="144">
        <v>10.5</v>
      </c>
      <c r="U238" s="144">
        <v>10.5</v>
      </c>
      <c r="V238" s="144">
        <v>10.5</v>
      </c>
      <c r="W238" s="144">
        <v>10.5</v>
      </c>
      <c r="X238" s="144">
        <v>10.5</v>
      </c>
      <c r="Y238" s="144">
        <v>10.5</v>
      </c>
      <c r="Z238" s="144">
        <v>10.5</v>
      </c>
      <c r="AA238" s="58">
        <v>10.5</v>
      </c>
      <c r="AB238" s="58">
        <v>2.25</v>
      </c>
      <c r="AC238" s="10">
        <v>2.25</v>
      </c>
      <c r="AD238" s="10">
        <v>2.25</v>
      </c>
      <c r="AE238" s="10">
        <v>2.25</v>
      </c>
      <c r="AF238" s="10">
        <v>2.52</v>
      </c>
      <c r="AG238" s="10">
        <v>2.52</v>
      </c>
      <c r="AH238" s="10">
        <v>2.52</v>
      </c>
      <c r="AI238" s="10">
        <v>2.52</v>
      </c>
      <c r="AJ238" s="10">
        <v>2.52</v>
      </c>
      <c r="AK238" s="10">
        <v>2.52</v>
      </c>
      <c r="AL238" s="10">
        <v>2.52</v>
      </c>
      <c r="AM238" s="10">
        <v>2.52</v>
      </c>
      <c r="AN238" s="149">
        <v>2.52</v>
      </c>
      <c r="AO238" s="5">
        <v>0</v>
      </c>
      <c r="AP238" s="118">
        <f t="shared" si="1"/>
        <v>0</v>
      </c>
      <c r="AQ238" s="5">
        <v>0</v>
      </c>
      <c r="AR238" s="118">
        <f t="shared" si="2"/>
        <v>0</v>
      </c>
      <c r="AS238" s="5">
        <v>0</v>
      </c>
      <c r="AT238" s="127">
        <f t="shared" si="3"/>
        <v>0</v>
      </c>
      <c r="AU238" s="5">
        <v>0</v>
      </c>
      <c r="AV238" s="118">
        <f t="shared" si="4"/>
        <v>0</v>
      </c>
      <c r="AW238" s="5">
        <v>0</v>
      </c>
      <c r="AX238" s="118">
        <f t="shared" si="5"/>
        <v>0</v>
      </c>
      <c r="AY238" s="5">
        <v>0</v>
      </c>
      <c r="AZ238" s="127">
        <f t="shared" si="6"/>
        <v>0</v>
      </c>
      <c r="BA238" s="105">
        <v>0</v>
      </c>
      <c r="BB238" s="118">
        <f t="shared" si="7"/>
        <v>0</v>
      </c>
      <c r="BC238" s="105">
        <v>0</v>
      </c>
      <c r="BD238" s="118">
        <f t="shared" si="8"/>
        <v>0</v>
      </c>
      <c r="BE238" s="105">
        <v>0</v>
      </c>
      <c r="BF238" s="127">
        <f t="shared" si="9"/>
        <v>0</v>
      </c>
      <c r="BG238" s="105">
        <v>0</v>
      </c>
      <c r="BH238" s="118">
        <f t="shared" si="66"/>
        <v>0</v>
      </c>
      <c r="BI238" s="105">
        <v>0</v>
      </c>
      <c r="BJ238" s="118">
        <f t="shared" si="11"/>
        <v>0</v>
      </c>
      <c r="BK238" s="105">
        <v>0</v>
      </c>
      <c r="BL238" s="127">
        <f t="shared" si="12"/>
        <v>0</v>
      </c>
      <c r="BM238" s="220" t="s">
        <v>748</v>
      </c>
      <c r="BO238" s="1" t="s">
        <v>539</v>
      </c>
      <c r="BP238" s="220" t="s">
        <v>749</v>
      </c>
      <c r="BQ238" s="233"/>
      <c r="BR238" s="234"/>
    </row>
    <row r="239" spans="1:70">
      <c r="A239" s="219" t="s">
        <v>451</v>
      </c>
      <c r="B239" s="213" t="s">
        <v>267</v>
      </c>
      <c r="C239" s="66" t="s">
        <v>175</v>
      </c>
      <c r="D239" s="287"/>
      <c r="E239" s="103" t="s">
        <v>176</v>
      </c>
      <c r="F239" s="281"/>
      <c r="G239" s="71" t="s">
        <v>202</v>
      </c>
      <c r="H239" s="70" t="s">
        <v>735</v>
      </c>
      <c r="I239" s="70" t="s">
        <v>180</v>
      </c>
      <c r="J239" s="71" t="s">
        <v>272</v>
      </c>
      <c r="K239" s="70" t="s">
        <v>715</v>
      </c>
      <c r="L239" s="69" t="s">
        <v>387</v>
      </c>
      <c r="M239" s="68" t="s">
        <v>750</v>
      </c>
      <c r="N239" s="68">
        <v>2.8800000000000003</v>
      </c>
      <c r="O239" s="68">
        <v>3.8</v>
      </c>
      <c r="P239" s="144">
        <v>0</v>
      </c>
      <c r="Q239" s="144">
        <v>3.8</v>
      </c>
      <c r="R239" s="144">
        <v>3.8</v>
      </c>
      <c r="S239" s="144">
        <v>3.8</v>
      </c>
      <c r="T239" s="144">
        <v>3.8</v>
      </c>
      <c r="U239" s="144">
        <v>3.8</v>
      </c>
      <c r="V239" s="144">
        <v>3.8</v>
      </c>
      <c r="W239" s="144">
        <v>3.8</v>
      </c>
      <c r="X239" s="144">
        <v>3.7</v>
      </c>
      <c r="Y239" s="144">
        <v>3.7</v>
      </c>
      <c r="Z239" s="144">
        <v>3.7</v>
      </c>
      <c r="AA239" s="58">
        <v>3.7</v>
      </c>
      <c r="AB239" s="58">
        <v>0.92</v>
      </c>
      <c r="AC239" s="10">
        <v>0.92</v>
      </c>
      <c r="AD239" s="10">
        <v>0.92</v>
      </c>
      <c r="AE239" s="10">
        <v>0.92</v>
      </c>
      <c r="AF239" s="10">
        <v>0.92</v>
      </c>
      <c r="AG239" s="10">
        <v>0.92</v>
      </c>
      <c r="AH239" s="10">
        <v>0.92</v>
      </c>
      <c r="AI239" s="10">
        <v>0.92</v>
      </c>
      <c r="AJ239" s="10">
        <v>0.92</v>
      </c>
      <c r="AK239" s="10">
        <v>0.82</v>
      </c>
      <c r="AL239" s="10">
        <v>0.82</v>
      </c>
      <c r="AM239" s="10">
        <v>0.82</v>
      </c>
      <c r="AN239" s="149">
        <v>0.82</v>
      </c>
      <c r="AO239" s="5">
        <v>0</v>
      </c>
      <c r="AP239" s="118">
        <f t="shared" si="1"/>
        <v>0</v>
      </c>
      <c r="AQ239" s="5">
        <v>2940</v>
      </c>
      <c r="AR239" s="118">
        <f t="shared" si="2"/>
        <v>2704.8</v>
      </c>
      <c r="AS239" s="5">
        <v>1959</v>
      </c>
      <c r="AT239" s="127">
        <f t="shared" si="3"/>
        <v>1802.28</v>
      </c>
      <c r="AU239" s="5">
        <v>3400</v>
      </c>
      <c r="AV239" s="118">
        <f t="shared" si="4"/>
        <v>3128</v>
      </c>
      <c r="AW239" s="5">
        <v>880</v>
      </c>
      <c r="AX239" s="118">
        <f t="shared" si="5"/>
        <v>809.6</v>
      </c>
      <c r="AY239" s="5">
        <v>1380</v>
      </c>
      <c r="AZ239" s="127">
        <f t="shared" si="6"/>
        <v>1269.6000000000001</v>
      </c>
      <c r="BA239" s="105">
        <v>280</v>
      </c>
      <c r="BB239" s="118">
        <f t="shared" si="7"/>
        <v>257.60000000000002</v>
      </c>
      <c r="BC239" s="105">
        <v>320</v>
      </c>
      <c r="BD239" s="118">
        <f t="shared" si="8"/>
        <v>294.40000000000003</v>
      </c>
      <c r="BE239" s="105">
        <v>160</v>
      </c>
      <c r="BF239" s="127">
        <f t="shared" si="9"/>
        <v>131.19999999999999</v>
      </c>
      <c r="BG239" s="105">
        <v>40</v>
      </c>
      <c r="BH239" s="118">
        <f t="shared" si="66"/>
        <v>32.799999999999997</v>
      </c>
      <c r="BI239" s="105">
        <v>0</v>
      </c>
      <c r="BJ239" s="118">
        <f t="shared" si="11"/>
        <v>0</v>
      </c>
      <c r="BK239" s="105">
        <v>0</v>
      </c>
      <c r="BL239" s="127">
        <f t="shared" si="12"/>
        <v>0</v>
      </c>
      <c r="BM239" s="236" t="s">
        <v>751</v>
      </c>
      <c r="BO239" s="1" t="s">
        <v>539</v>
      </c>
      <c r="BP239" s="220" t="s">
        <v>734</v>
      </c>
      <c r="BQ239" s="233"/>
      <c r="BR239" s="234"/>
    </row>
    <row r="240" spans="1:70">
      <c r="A240" s="219" t="s">
        <v>451</v>
      </c>
      <c r="B240" s="213" t="s">
        <v>267</v>
      </c>
      <c r="C240" s="66" t="s">
        <v>175</v>
      </c>
      <c r="D240" s="287"/>
      <c r="E240" s="103" t="s">
        <v>176</v>
      </c>
      <c r="F240" s="281"/>
      <c r="G240" s="71" t="s">
        <v>202</v>
      </c>
      <c r="H240" s="70" t="s">
        <v>735</v>
      </c>
      <c r="I240" s="70" t="s">
        <v>180</v>
      </c>
      <c r="J240" s="71" t="s">
        <v>272</v>
      </c>
      <c r="K240" s="70" t="s">
        <v>715</v>
      </c>
      <c r="L240" s="69" t="s">
        <v>387</v>
      </c>
      <c r="M240" s="68" t="s">
        <v>750</v>
      </c>
      <c r="N240" s="68">
        <v>2.8800000000000003</v>
      </c>
      <c r="O240" s="68">
        <v>3.8</v>
      </c>
      <c r="P240" s="144">
        <v>0</v>
      </c>
      <c r="Q240" s="144">
        <v>3.8</v>
      </c>
      <c r="R240" s="144">
        <v>3.8</v>
      </c>
      <c r="S240" s="144">
        <v>3.8</v>
      </c>
      <c r="T240" s="144">
        <v>3.8</v>
      </c>
      <c r="U240" s="144">
        <v>3.8</v>
      </c>
      <c r="V240" s="144">
        <v>3.8</v>
      </c>
      <c r="W240" s="144">
        <v>3.8</v>
      </c>
      <c r="X240" s="144">
        <v>3.7</v>
      </c>
      <c r="Y240" s="144">
        <v>3.7</v>
      </c>
      <c r="Z240" s="144">
        <v>3.7</v>
      </c>
      <c r="AA240" s="58">
        <v>3.7</v>
      </c>
      <c r="AB240" s="58">
        <v>0.92</v>
      </c>
      <c r="AC240" s="10">
        <v>0.92</v>
      </c>
      <c r="AD240" s="10">
        <v>0.92</v>
      </c>
      <c r="AE240" s="10">
        <v>0.92</v>
      </c>
      <c r="AF240" s="10">
        <v>0.92</v>
      </c>
      <c r="AG240" s="10">
        <v>0.92</v>
      </c>
      <c r="AH240" s="10">
        <v>0.92</v>
      </c>
      <c r="AI240" s="10">
        <v>0.92</v>
      </c>
      <c r="AJ240" s="10">
        <v>0.92</v>
      </c>
      <c r="AK240" s="10">
        <v>0.82</v>
      </c>
      <c r="AL240" s="10">
        <v>0.82</v>
      </c>
      <c r="AM240" s="10">
        <v>0.82</v>
      </c>
      <c r="AN240" s="149">
        <v>0.82</v>
      </c>
      <c r="AP240" s="118">
        <f t="shared" si="1"/>
        <v>0</v>
      </c>
      <c r="AR240" s="118">
        <f t="shared" si="2"/>
        <v>0</v>
      </c>
      <c r="AT240" s="127">
        <f t="shared" si="3"/>
        <v>0</v>
      </c>
      <c r="AU240" s="5"/>
      <c r="AV240" s="118">
        <f t="shared" si="4"/>
        <v>0</v>
      </c>
      <c r="AW240" s="5"/>
      <c r="AX240" s="118">
        <f t="shared" si="5"/>
        <v>0</v>
      </c>
      <c r="AY240" s="5"/>
      <c r="AZ240" s="127">
        <f t="shared" si="6"/>
        <v>0</v>
      </c>
      <c r="BA240" s="105">
        <v>960</v>
      </c>
      <c r="BB240" s="118">
        <f t="shared" si="7"/>
        <v>883.2</v>
      </c>
      <c r="BC240" s="105">
        <v>1960</v>
      </c>
      <c r="BD240" s="118">
        <f t="shared" si="8"/>
        <v>1803.2</v>
      </c>
      <c r="BE240" s="105">
        <v>800</v>
      </c>
      <c r="BF240" s="127">
        <f t="shared" si="9"/>
        <v>656</v>
      </c>
      <c r="BG240" s="105">
        <v>720</v>
      </c>
      <c r="BH240" s="118">
        <f t="shared" si="66"/>
        <v>590.4</v>
      </c>
      <c r="BI240" s="105">
        <v>480</v>
      </c>
      <c r="BJ240" s="118">
        <f t="shared" si="11"/>
        <v>393.59999999999997</v>
      </c>
      <c r="BK240" s="105">
        <v>6160</v>
      </c>
      <c r="BL240" s="127">
        <f t="shared" si="12"/>
        <v>5051.2</v>
      </c>
      <c r="BM240" s="236" t="s">
        <v>752</v>
      </c>
      <c r="BO240" s="1" t="s">
        <v>539</v>
      </c>
      <c r="BP240" s="220" t="s">
        <v>737</v>
      </c>
      <c r="BQ240" s="233"/>
      <c r="BR240" s="234"/>
    </row>
    <row r="241" spans="1:70">
      <c r="A241" s="219" t="s">
        <v>451</v>
      </c>
      <c r="B241" s="213" t="s">
        <v>267</v>
      </c>
      <c r="C241" s="66" t="s">
        <v>175</v>
      </c>
      <c r="D241" s="287"/>
      <c r="E241" s="103" t="s">
        <v>176</v>
      </c>
      <c r="F241" s="281"/>
      <c r="G241" s="71" t="s">
        <v>202</v>
      </c>
      <c r="H241" s="70" t="s">
        <v>735</v>
      </c>
      <c r="I241" s="70" t="s">
        <v>184</v>
      </c>
      <c r="J241" s="71" t="s">
        <v>272</v>
      </c>
      <c r="K241" s="70" t="s">
        <v>394</v>
      </c>
      <c r="L241" s="69" t="s">
        <v>387</v>
      </c>
      <c r="M241" s="68" t="s">
        <v>750</v>
      </c>
      <c r="N241" s="68">
        <v>7.5</v>
      </c>
      <c r="O241" s="68">
        <v>7.5</v>
      </c>
      <c r="P241" s="144">
        <v>0</v>
      </c>
      <c r="Q241" s="144">
        <v>10.5</v>
      </c>
      <c r="R241" s="144">
        <v>10.5</v>
      </c>
      <c r="S241" s="144">
        <v>10.5</v>
      </c>
      <c r="T241" s="144">
        <v>10.5</v>
      </c>
      <c r="U241" s="144">
        <v>10.5</v>
      </c>
      <c r="V241" s="144">
        <v>10.5</v>
      </c>
      <c r="W241" s="144">
        <v>10.5</v>
      </c>
      <c r="X241" s="144">
        <v>10.5</v>
      </c>
      <c r="Y241" s="144">
        <v>9.8000000000000007</v>
      </c>
      <c r="Z241" s="144">
        <v>9.8000000000000007</v>
      </c>
      <c r="AA241" s="58">
        <v>9.8000000000000007</v>
      </c>
      <c r="AB241" s="58">
        <v>2.2999999999999998</v>
      </c>
      <c r="AC241" s="10">
        <v>2.52</v>
      </c>
      <c r="AD241" s="10">
        <v>2.52</v>
      </c>
      <c r="AE241" s="10">
        <v>2.52</v>
      </c>
      <c r="AF241" s="10">
        <v>2.52</v>
      </c>
      <c r="AG241" s="10">
        <v>2.52</v>
      </c>
      <c r="AH241" s="10">
        <v>2.52</v>
      </c>
      <c r="AI241" s="10">
        <v>2.52</v>
      </c>
      <c r="AJ241" s="10">
        <v>2.52</v>
      </c>
      <c r="AK241" s="10">
        <v>2.52</v>
      </c>
      <c r="AL241" s="10">
        <v>2.2999999999999998</v>
      </c>
      <c r="AM241" s="10">
        <v>2.2999999999999998</v>
      </c>
      <c r="AN241" s="149">
        <v>2.2999999999999998</v>
      </c>
      <c r="AO241" s="5">
        <v>0</v>
      </c>
      <c r="AP241" s="118">
        <f t="shared" si="1"/>
        <v>0</v>
      </c>
      <c r="AQ241" s="5">
        <v>2200</v>
      </c>
      <c r="AR241" s="118">
        <f t="shared" si="2"/>
        <v>5544</v>
      </c>
      <c r="AS241" s="5">
        <v>2320</v>
      </c>
      <c r="AT241" s="127">
        <f t="shared" si="3"/>
        <v>5846.4</v>
      </c>
      <c r="AU241" s="5">
        <v>3960</v>
      </c>
      <c r="AV241" s="118">
        <f t="shared" si="4"/>
        <v>9979.2000000000007</v>
      </c>
      <c r="AW241" s="5">
        <v>3800</v>
      </c>
      <c r="AX241" s="118">
        <f t="shared" si="5"/>
        <v>9576</v>
      </c>
      <c r="AY241" s="5">
        <v>1560</v>
      </c>
      <c r="AZ241" s="127">
        <f t="shared" si="6"/>
        <v>3931.2</v>
      </c>
      <c r="BA241" s="105">
        <v>40</v>
      </c>
      <c r="BB241" s="118">
        <f t="shared" si="7"/>
        <v>100.8</v>
      </c>
      <c r="BC241" s="105">
        <v>480</v>
      </c>
      <c r="BD241" s="118">
        <f t="shared" si="8"/>
        <v>1209.5999999999999</v>
      </c>
      <c r="BE241" s="105">
        <v>0</v>
      </c>
      <c r="BF241" s="127">
        <f t="shared" si="9"/>
        <v>0</v>
      </c>
      <c r="BG241" s="105">
        <v>40</v>
      </c>
      <c r="BH241" s="118">
        <f t="shared" si="66"/>
        <v>92</v>
      </c>
      <c r="BI241" s="105">
        <v>0</v>
      </c>
      <c r="BJ241" s="118">
        <f t="shared" si="11"/>
        <v>0</v>
      </c>
      <c r="BK241" s="105">
        <v>0</v>
      </c>
      <c r="BL241" s="127">
        <f t="shared" si="12"/>
        <v>0</v>
      </c>
      <c r="BM241" s="235" t="s">
        <v>753</v>
      </c>
      <c r="BO241" s="1" t="s">
        <v>539</v>
      </c>
      <c r="BP241" s="220" t="s">
        <v>741</v>
      </c>
      <c r="BQ241" s="233"/>
      <c r="BR241" s="234"/>
    </row>
    <row r="242" spans="1:70">
      <c r="A242" s="219" t="s">
        <v>451</v>
      </c>
      <c r="B242" s="213" t="s">
        <v>267</v>
      </c>
      <c r="C242" s="66" t="s">
        <v>175</v>
      </c>
      <c r="D242" s="287"/>
      <c r="E242" s="103" t="s">
        <v>176</v>
      </c>
      <c r="F242" s="281"/>
      <c r="G242" s="71" t="s">
        <v>202</v>
      </c>
      <c r="H242" s="70" t="s">
        <v>754</v>
      </c>
      <c r="I242" s="70" t="s">
        <v>184</v>
      </c>
      <c r="J242" s="71" t="s">
        <v>272</v>
      </c>
      <c r="K242" s="70" t="s">
        <v>394</v>
      </c>
      <c r="L242" s="69" t="s">
        <v>387</v>
      </c>
      <c r="M242" s="68" t="s">
        <v>750</v>
      </c>
      <c r="N242" s="68">
        <v>7.5</v>
      </c>
      <c r="O242" s="68">
        <v>7.5</v>
      </c>
      <c r="P242" s="144">
        <v>0</v>
      </c>
      <c r="Q242" s="144">
        <v>10.5</v>
      </c>
      <c r="R242" s="144">
        <v>10.5</v>
      </c>
      <c r="S242" s="144">
        <v>10.5</v>
      </c>
      <c r="T242" s="144">
        <v>10.5</v>
      </c>
      <c r="U242" s="144">
        <v>10.5</v>
      </c>
      <c r="V242" s="144">
        <v>10.5</v>
      </c>
      <c r="W242" s="144">
        <v>10.5</v>
      </c>
      <c r="X242" s="144">
        <v>10.5</v>
      </c>
      <c r="Y242" s="144">
        <v>9.8000000000000007</v>
      </c>
      <c r="Z242" s="144">
        <v>9.8000000000000007</v>
      </c>
      <c r="AA242" s="58">
        <v>9.8000000000000007</v>
      </c>
      <c r="AB242" s="58">
        <v>2.2999999999999998</v>
      </c>
      <c r="AC242" s="10">
        <v>2.52</v>
      </c>
      <c r="AD242" s="10">
        <v>2.52</v>
      </c>
      <c r="AE242" s="10">
        <v>2.52</v>
      </c>
      <c r="AF242" s="10">
        <v>2.52</v>
      </c>
      <c r="AG242" s="10">
        <v>2.52</v>
      </c>
      <c r="AH242" s="10">
        <v>2.52</v>
      </c>
      <c r="AI242" s="10">
        <v>2.52</v>
      </c>
      <c r="AJ242" s="10">
        <v>2.52</v>
      </c>
      <c r="AK242" s="10">
        <v>2.52</v>
      </c>
      <c r="AL242" s="10">
        <v>2.2999999999999998</v>
      </c>
      <c r="AM242" s="10">
        <v>2.2999999999999998</v>
      </c>
      <c r="AN242" s="149">
        <v>2.2999999999999998</v>
      </c>
      <c r="AP242" s="118">
        <f t="shared" si="1"/>
        <v>0</v>
      </c>
      <c r="AR242" s="118">
        <f t="shared" si="2"/>
        <v>0</v>
      </c>
      <c r="AT242" s="127">
        <f t="shared" si="3"/>
        <v>0</v>
      </c>
      <c r="AU242" s="5"/>
      <c r="AV242" s="118">
        <f t="shared" si="4"/>
        <v>0</v>
      </c>
      <c r="AW242" s="5">
        <v>5660</v>
      </c>
      <c r="AX242" s="118">
        <f t="shared" si="5"/>
        <v>14263.2</v>
      </c>
      <c r="AY242" s="5">
        <v>8000</v>
      </c>
      <c r="AZ242" s="127">
        <f t="shared" si="6"/>
        <v>20160</v>
      </c>
      <c r="BA242" s="105">
        <v>5660</v>
      </c>
      <c r="BB242" s="118">
        <f t="shared" si="7"/>
        <v>14263.2</v>
      </c>
      <c r="BC242" s="105">
        <f>80+7920</f>
        <v>8000</v>
      </c>
      <c r="BD242" s="118">
        <f t="shared" si="8"/>
        <v>20160</v>
      </c>
      <c r="BE242" s="105">
        <v>4200</v>
      </c>
      <c r="BF242" s="127">
        <f t="shared" si="9"/>
        <v>10584</v>
      </c>
      <c r="BG242" s="105">
        <v>4080</v>
      </c>
      <c r="BH242" s="118">
        <f t="shared" si="66"/>
        <v>9384</v>
      </c>
      <c r="BI242" s="105">
        <v>7960</v>
      </c>
      <c r="BJ242" s="118">
        <f t="shared" si="11"/>
        <v>18308</v>
      </c>
      <c r="BK242" s="105">
        <v>12178</v>
      </c>
      <c r="BL242" s="127">
        <f t="shared" si="12"/>
        <v>28009.399999999998</v>
      </c>
      <c r="BM242" s="235" t="s">
        <v>755</v>
      </c>
      <c r="BO242" s="1" t="s">
        <v>539</v>
      </c>
      <c r="BP242" s="220" t="s">
        <v>743</v>
      </c>
      <c r="BQ242" s="233"/>
      <c r="BR242" s="234"/>
    </row>
    <row r="243" spans="1:70">
      <c r="A243" s="219" t="s">
        <v>451</v>
      </c>
      <c r="B243" s="213" t="s">
        <v>267</v>
      </c>
      <c r="C243" s="66" t="s">
        <v>175</v>
      </c>
      <c r="D243" s="287"/>
      <c r="E243" s="103" t="s">
        <v>176</v>
      </c>
      <c r="F243" s="281"/>
      <c r="G243" s="71" t="s">
        <v>202</v>
      </c>
      <c r="H243" s="70" t="s">
        <v>276</v>
      </c>
      <c r="I243" s="70" t="s">
        <v>180</v>
      </c>
      <c r="J243" s="71" t="s">
        <v>193</v>
      </c>
      <c r="K243" s="70" t="s">
        <v>181</v>
      </c>
      <c r="L243" s="69" t="s">
        <v>185</v>
      </c>
      <c r="M243" s="180" t="s">
        <v>465</v>
      </c>
      <c r="N243" s="68">
        <v>4.4300000000000006</v>
      </c>
      <c r="O243" s="68">
        <v>5.7</v>
      </c>
      <c r="P243" s="144">
        <v>5.7</v>
      </c>
      <c r="Q243" s="144">
        <v>5.7</v>
      </c>
      <c r="R243" s="144">
        <v>5.7</v>
      </c>
      <c r="S243" s="144">
        <v>5.7</v>
      </c>
      <c r="T243" s="144">
        <v>5.7</v>
      </c>
      <c r="U243" s="144">
        <v>5.7</v>
      </c>
      <c r="V243" s="144">
        <v>5.7</v>
      </c>
      <c r="W243" s="144">
        <v>5.7</v>
      </c>
      <c r="X243" s="144">
        <v>5.4</v>
      </c>
      <c r="Y243" s="144">
        <v>5.4</v>
      </c>
      <c r="Z243" s="144">
        <v>5.4</v>
      </c>
      <c r="AA243" s="58">
        <v>5.4</v>
      </c>
      <c r="AB243" s="58">
        <v>1.27</v>
      </c>
      <c r="AC243" s="10">
        <v>1.27</v>
      </c>
      <c r="AD243" s="10">
        <v>1.27</v>
      </c>
      <c r="AE243" s="10">
        <v>1.27</v>
      </c>
      <c r="AF243" s="10">
        <v>1.27</v>
      </c>
      <c r="AG243" s="10">
        <v>1.27</v>
      </c>
      <c r="AH243" s="10">
        <v>1.27</v>
      </c>
      <c r="AI243" s="10">
        <v>1.27</v>
      </c>
      <c r="AJ243" s="10">
        <v>1.27</v>
      </c>
      <c r="AK243" s="10">
        <v>0.97</v>
      </c>
      <c r="AL243" s="10">
        <v>0.97</v>
      </c>
      <c r="AM243" s="10">
        <v>0.97</v>
      </c>
      <c r="AN243" s="149">
        <v>0.97</v>
      </c>
      <c r="AO243" s="5">
        <v>1556</v>
      </c>
      <c r="AP243" s="118">
        <f t="shared" si="1"/>
        <v>1976.1200000000001</v>
      </c>
      <c r="AQ243" s="5">
        <v>400</v>
      </c>
      <c r="AR243" s="118">
        <f t="shared" si="2"/>
        <v>508</v>
      </c>
      <c r="AS243" s="5">
        <v>1080</v>
      </c>
      <c r="AT243" s="127">
        <f t="shared" si="3"/>
        <v>1371.6</v>
      </c>
      <c r="AU243" s="5">
        <v>640</v>
      </c>
      <c r="AV243" s="118">
        <f t="shared" si="4"/>
        <v>812.8</v>
      </c>
      <c r="AW243" s="5">
        <v>1268</v>
      </c>
      <c r="AX243" s="118">
        <f t="shared" si="5"/>
        <v>1610.3600000000001</v>
      </c>
      <c r="AY243" s="5">
        <v>1078</v>
      </c>
      <c r="AZ243" s="127">
        <f t="shared" si="6"/>
        <v>1369.06</v>
      </c>
      <c r="BA243" s="5">
        <v>0</v>
      </c>
      <c r="BB243" s="118">
        <f t="shared" si="7"/>
        <v>0</v>
      </c>
      <c r="BC243" s="5">
        <v>0</v>
      </c>
      <c r="BD243" s="118">
        <f t="shared" si="8"/>
        <v>0</v>
      </c>
      <c r="BE243" s="105">
        <v>0</v>
      </c>
      <c r="BF243" s="127">
        <f t="shared" si="9"/>
        <v>0</v>
      </c>
      <c r="BG243" s="105">
        <v>0</v>
      </c>
      <c r="BH243" s="118">
        <f t="shared" si="66"/>
        <v>0</v>
      </c>
      <c r="BI243" s="5">
        <v>0</v>
      </c>
      <c r="BJ243" s="118">
        <f t="shared" si="11"/>
        <v>0</v>
      </c>
      <c r="BK243" s="105">
        <v>0</v>
      </c>
      <c r="BL243" s="127">
        <f t="shared" si="12"/>
        <v>0</v>
      </c>
      <c r="BM243" s="220" t="s">
        <v>756</v>
      </c>
      <c r="BO243" s="1" t="s">
        <v>539</v>
      </c>
      <c r="BP243" s="220" t="s">
        <v>757</v>
      </c>
      <c r="BQ243" s="233"/>
      <c r="BR243" s="234"/>
    </row>
    <row r="244" spans="1:70">
      <c r="A244" s="219" t="s">
        <v>451</v>
      </c>
      <c r="B244" s="213" t="s">
        <v>267</v>
      </c>
      <c r="C244" s="66" t="s">
        <v>175</v>
      </c>
      <c r="D244" s="287"/>
      <c r="E244" s="103" t="s">
        <v>176</v>
      </c>
      <c r="F244" s="281"/>
      <c r="G244" s="71" t="s">
        <v>202</v>
      </c>
      <c r="H244" s="70" t="s">
        <v>276</v>
      </c>
      <c r="I244" s="70" t="s">
        <v>180</v>
      </c>
      <c r="J244" s="71" t="s">
        <v>193</v>
      </c>
      <c r="K244" s="70" t="s">
        <v>181</v>
      </c>
      <c r="L244" s="69" t="s">
        <v>185</v>
      </c>
      <c r="M244" s="180" t="s">
        <v>465</v>
      </c>
      <c r="N244" s="68">
        <v>4.4300000000000006</v>
      </c>
      <c r="O244" s="68">
        <v>5.7</v>
      </c>
      <c r="P244" s="144">
        <v>5.7</v>
      </c>
      <c r="Q244" s="144">
        <v>5.7</v>
      </c>
      <c r="R244" s="144">
        <v>5.7</v>
      </c>
      <c r="S244" s="144">
        <v>5.7</v>
      </c>
      <c r="T244" s="144">
        <v>5.7</v>
      </c>
      <c r="U244" s="144">
        <v>5.7</v>
      </c>
      <c r="V244" s="144">
        <v>5.7</v>
      </c>
      <c r="W244" s="144">
        <v>5.7</v>
      </c>
      <c r="X244" s="144">
        <v>5.4</v>
      </c>
      <c r="Y244" s="144">
        <v>5.4</v>
      </c>
      <c r="Z244" s="144">
        <v>5.4</v>
      </c>
      <c r="AA244" s="58">
        <v>5.4</v>
      </c>
      <c r="AB244" s="58">
        <v>1.27</v>
      </c>
      <c r="AC244" s="10">
        <v>1.27</v>
      </c>
      <c r="AD244" s="10">
        <v>1.27</v>
      </c>
      <c r="AE244" s="10">
        <v>1.27</v>
      </c>
      <c r="AF244" s="10">
        <v>1.27</v>
      </c>
      <c r="AG244" s="10">
        <v>1.27</v>
      </c>
      <c r="AH244" s="10">
        <v>1.27</v>
      </c>
      <c r="AI244" s="10">
        <v>1.27</v>
      </c>
      <c r="AJ244" s="10">
        <v>1.27</v>
      </c>
      <c r="AK244" s="10">
        <v>0.97</v>
      </c>
      <c r="AL244" s="10">
        <v>0.97</v>
      </c>
      <c r="AM244" s="10">
        <v>0.97</v>
      </c>
      <c r="AN244" s="149">
        <v>0.97</v>
      </c>
      <c r="AP244" s="118">
        <f t="shared" si="1"/>
        <v>0</v>
      </c>
      <c r="AR244" s="118">
        <f t="shared" si="2"/>
        <v>0</v>
      </c>
      <c r="AT244" s="127">
        <f t="shared" si="3"/>
        <v>0</v>
      </c>
      <c r="AU244" s="5"/>
      <c r="AV244" s="118">
        <f t="shared" si="4"/>
        <v>0</v>
      </c>
      <c r="AW244" s="5"/>
      <c r="AX244" s="118">
        <f t="shared" si="5"/>
        <v>0</v>
      </c>
      <c r="AY244" s="5"/>
      <c r="AZ244" s="127">
        <f t="shared" si="6"/>
        <v>0</v>
      </c>
      <c r="BA244" s="5">
        <v>11</v>
      </c>
      <c r="BB244" s="118">
        <f t="shared" si="7"/>
        <v>13.97</v>
      </c>
      <c r="BC244" s="5">
        <v>0</v>
      </c>
      <c r="BD244" s="118">
        <f t="shared" si="8"/>
        <v>0</v>
      </c>
      <c r="BE244" s="105">
        <v>0</v>
      </c>
      <c r="BF244" s="127">
        <f t="shared" si="9"/>
        <v>0</v>
      </c>
      <c r="BG244" s="105">
        <v>38</v>
      </c>
      <c r="BH244" s="118">
        <f t="shared" si="66"/>
        <v>36.86</v>
      </c>
      <c r="BI244" s="5">
        <v>0</v>
      </c>
      <c r="BJ244" s="118">
        <f t="shared" si="11"/>
        <v>0</v>
      </c>
      <c r="BK244" s="105">
        <v>0</v>
      </c>
      <c r="BL244" s="127">
        <f t="shared" si="12"/>
        <v>0</v>
      </c>
      <c r="BM244" s="220" t="s">
        <v>756</v>
      </c>
      <c r="BO244" s="1" t="s">
        <v>539</v>
      </c>
      <c r="BP244" s="220" t="s">
        <v>758</v>
      </c>
      <c r="BQ244" s="233"/>
      <c r="BR244" s="234"/>
    </row>
    <row r="245" spans="1:70">
      <c r="A245" s="219" t="s">
        <v>451</v>
      </c>
      <c r="B245" s="213" t="s">
        <v>267</v>
      </c>
      <c r="C245" s="66" t="s">
        <v>175</v>
      </c>
      <c r="D245" s="287"/>
      <c r="E245" s="103" t="s">
        <v>176</v>
      </c>
      <c r="F245" s="281"/>
      <c r="G245" s="71" t="s">
        <v>202</v>
      </c>
      <c r="H245" s="70" t="s">
        <v>276</v>
      </c>
      <c r="I245" s="70" t="s">
        <v>180</v>
      </c>
      <c r="J245" s="71" t="s">
        <v>193</v>
      </c>
      <c r="K245" s="70" t="s">
        <v>181</v>
      </c>
      <c r="L245" s="69" t="s">
        <v>185</v>
      </c>
      <c r="M245" s="180" t="s">
        <v>465</v>
      </c>
      <c r="N245" s="68">
        <v>4.4300000000000006</v>
      </c>
      <c r="O245" s="68">
        <v>5.7</v>
      </c>
      <c r="P245" s="144">
        <v>5.7</v>
      </c>
      <c r="Q245" s="144">
        <v>5.7</v>
      </c>
      <c r="R245" s="144">
        <v>5.7</v>
      </c>
      <c r="S245" s="144">
        <v>5.7</v>
      </c>
      <c r="T245" s="144">
        <v>5.7</v>
      </c>
      <c r="U245" s="144">
        <v>5.7</v>
      </c>
      <c r="V245" s="144">
        <v>5.7</v>
      </c>
      <c r="W245" s="144">
        <v>5.7</v>
      </c>
      <c r="X245" s="144">
        <v>5.4</v>
      </c>
      <c r="Y245" s="144">
        <v>5.4</v>
      </c>
      <c r="Z245" s="144">
        <v>5.4</v>
      </c>
      <c r="AA245" s="58">
        <v>5.4</v>
      </c>
      <c r="AB245" s="58">
        <v>1.27</v>
      </c>
      <c r="AC245" s="10">
        <v>1.27</v>
      </c>
      <c r="AD245" s="10">
        <v>1.27</v>
      </c>
      <c r="AE245" s="10">
        <v>1.27</v>
      </c>
      <c r="AF245" s="10">
        <v>1.27</v>
      </c>
      <c r="AG245" s="10">
        <v>1.27</v>
      </c>
      <c r="AH245" s="10">
        <v>1.27</v>
      </c>
      <c r="AI245" s="10">
        <v>1.27</v>
      </c>
      <c r="AJ245" s="10">
        <v>1.27</v>
      </c>
      <c r="AK245" s="10">
        <v>0.97</v>
      </c>
      <c r="AL245" s="10">
        <v>0.97</v>
      </c>
      <c r="AM245" s="10">
        <v>0.97</v>
      </c>
      <c r="AN245" s="149">
        <v>0.97</v>
      </c>
      <c r="AP245" s="118">
        <f t="shared" si="1"/>
        <v>0</v>
      </c>
      <c r="AR245" s="118">
        <f t="shared" si="2"/>
        <v>0</v>
      </c>
      <c r="AT245" s="127">
        <f t="shared" si="3"/>
        <v>0</v>
      </c>
      <c r="AU245" s="5"/>
      <c r="AV245" s="118">
        <f t="shared" si="4"/>
        <v>0</v>
      </c>
      <c r="AW245" s="5"/>
      <c r="AX245" s="118">
        <f t="shared" si="5"/>
        <v>0</v>
      </c>
      <c r="AY245" s="5"/>
      <c r="AZ245" s="127">
        <f t="shared" si="6"/>
        <v>0</v>
      </c>
      <c r="BA245" s="5">
        <v>0</v>
      </c>
      <c r="BB245" s="118">
        <f t="shared" si="7"/>
        <v>0</v>
      </c>
      <c r="BC245" s="5">
        <v>0</v>
      </c>
      <c r="BD245" s="118">
        <f t="shared" si="8"/>
        <v>0</v>
      </c>
      <c r="BE245" s="105">
        <v>0</v>
      </c>
      <c r="BF245" s="127">
        <f t="shared" si="9"/>
        <v>0</v>
      </c>
      <c r="BG245" s="105">
        <v>0</v>
      </c>
      <c r="BH245" s="118">
        <f t="shared" si="66"/>
        <v>0</v>
      </c>
      <c r="BI245" s="5">
        <v>0</v>
      </c>
      <c r="BJ245" s="118">
        <f t="shared" si="11"/>
        <v>0</v>
      </c>
      <c r="BK245" s="105">
        <v>0</v>
      </c>
      <c r="BL245" s="127">
        <f t="shared" si="12"/>
        <v>0</v>
      </c>
      <c r="BM245" s="220" t="s">
        <v>756</v>
      </c>
      <c r="BO245" s="1" t="s">
        <v>539</v>
      </c>
      <c r="BP245" s="220" t="s">
        <v>759</v>
      </c>
      <c r="BQ245" s="233"/>
      <c r="BR245" s="234"/>
    </row>
    <row r="246" spans="1:70">
      <c r="A246" s="219" t="s">
        <v>451</v>
      </c>
      <c r="B246" s="213" t="s">
        <v>267</v>
      </c>
      <c r="C246" s="66" t="s">
        <v>175</v>
      </c>
      <c r="D246" s="287"/>
      <c r="E246" s="103" t="s">
        <v>176</v>
      </c>
      <c r="F246" s="281"/>
      <c r="G246" s="71" t="s">
        <v>202</v>
      </c>
      <c r="H246" s="70" t="s">
        <v>276</v>
      </c>
      <c r="I246" s="70" t="s">
        <v>180</v>
      </c>
      <c r="J246" s="71" t="s">
        <v>193</v>
      </c>
      <c r="K246" s="70" t="s">
        <v>181</v>
      </c>
      <c r="L246" s="69" t="s">
        <v>185</v>
      </c>
      <c r="M246" s="180" t="s">
        <v>465</v>
      </c>
      <c r="N246" s="68">
        <v>4.4300000000000006</v>
      </c>
      <c r="O246" s="68">
        <v>5.7</v>
      </c>
      <c r="P246" s="144">
        <v>5.7</v>
      </c>
      <c r="Q246" s="144">
        <v>5.7</v>
      </c>
      <c r="R246" s="144">
        <v>5.7</v>
      </c>
      <c r="S246" s="144">
        <v>5.7</v>
      </c>
      <c r="T246" s="144">
        <v>5.7</v>
      </c>
      <c r="U246" s="144">
        <v>5.7</v>
      </c>
      <c r="V246" s="144">
        <v>5.7</v>
      </c>
      <c r="W246" s="144">
        <v>5.7</v>
      </c>
      <c r="X246" s="144">
        <v>5.4</v>
      </c>
      <c r="Y246" s="144">
        <v>5.4</v>
      </c>
      <c r="Z246" s="144">
        <v>5.4</v>
      </c>
      <c r="AA246" s="58">
        <v>5.4</v>
      </c>
      <c r="AB246" s="58">
        <v>1.27</v>
      </c>
      <c r="AC246" s="10">
        <v>1.27</v>
      </c>
      <c r="AD246" s="10">
        <v>1.27</v>
      </c>
      <c r="AE246" s="10">
        <v>1.27</v>
      </c>
      <c r="AF246" s="10">
        <v>1.27</v>
      </c>
      <c r="AG246" s="10">
        <v>1.27</v>
      </c>
      <c r="AH246" s="10">
        <v>1.27</v>
      </c>
      <c r="AI246" s="10">
        <v>1.27</v>
      </c>
      <c r="AJ246" s="10">
        <v>1.27</v>
      </c>
      <c r="AK246" s="10">
        <v>0.97</v>
      </c>
      <c r="AL246" s="10">
        <v>0.97</v>
      </c>
      <c r="AM246" s="10">
        <v>0.97</v>
      </c>
      <c r="AN246" s="149">
        <v>0.97</v>
      </c>
      <c r="AP246" s="118">
        <f t="shared" si="1"/>
        <v>0</v>
      </c>
      <c r="AR246" s="118">
        <f t="shared" si="2"/>
        <v>0</v>
      </c>
      <c r="AT246" s="127">
        <f t="shared" si="3"/>
        <v>0</v>
      </c>
      <c r="AU246" s="5"/>
      <c r="AV246" s="118">
        <f t="shared" si="4"/>
        <v>0</v>
      </c>
      <c r="AW246" s="5"/>
      <c r="AX246" s="118">
        <f t="shared" si="5"/>
        <v>0</v>
      </c>
      <c r="AY246" s="5"/>
      <c r="AZ246" s="127">
        <f t="shared" si="6"/>
        <v>0</v>
      </c>
      <c r="BA246" s="5">
        <v>0</v>
      </c>
      <c r="BB246" s="118">
        <f t="shared" si="7"/>
        <v>0</v>
      </c>
      <c r="BC246" s="5">
        <v>0</v>
      </c>
      <c r="BD246" s="118">
        <f t="shared" si="8"/>
        <v>0</v>
      </c>
      <c r="BE246" s="105">
        <v>0</v>
      </c>
      <c r="BF246" s="127">
        <f t="shared" si="9"/>
        <v>0</v>
      </c>
      <c r="BG246" s="105">
        <v>120</v>
      </c>
      <c r="BH246" s="118">
        <f t="shared" si="66"/>
        <v>116.39999999999999</v>
      </c>
      <c r="BI246" s="5">
        <v>0</v>
      </c>
      <c r="BJ246" s="118">
        <f t="shared" si="11"/>
        <v>0</v>
      </c>
      <c r="BK246" s="105">
        <v>0</v>
      </c>
      <c r="BL246" s="127">
        <f t="shared" si="12"/>
        <v>0</v>
      </c>
      <c r="BM246" s="220" t="s">
        <v>756</v>
      </c>
      <c r="BO246" s="1" t="s">
        <v>539</v>
      </c>
      <c r="BP246" s="220" t="s">
        <v>760</v>
      </c>
      <c r="BQ246" s="233"/>
      <c r="BR246" s="234"/>
    </row>
    <row r="247" spans="1:70">
      <c r="A247" s="219" t="s">
        <v>451</v>
      </c>
      <c r="B247" s="213" t="s">
        <v>267</v>
      </c>
      <c r="C247" s="66" t="s">
        <v>175</v>
      </c>
      <c r="D247" s="287"/>
      <c r="E247" s="103" t="s">
        <v>176</v>
      </c>
      <c r="F247" s="281"/>
      <c r="G247" s="71" t="s">
        <v>202</v>
      </c>
      <c r="H247" s="70" t="s">
        <v>276</v>
      </c>
      <c r="I247" s="70" t="s">
        <v>180</v>
      </c>
      <c r="J247" s="71" t="s">
        <v>193</v>
      </c>
      <c r="K247" s="70" t="s">
        <v>181</v>
      </c>
      <c r="L247" s="69" t="s">
        <v>185</v>
      </c>
      <c r="M247" s="180" t="s">
        <v>465</v>
      </c>
      <c r="N247" s="68">
        <v>4.4300000000000006</v>
      </c>
      <c r="O247" s="68">
        <v>5.7</v>
      </c>
      <c r="P247" s="144">
        <v>5.7</v>
      </c>
      <c r="Q247" s="144">
        <v>5.7</v>
      </c>
      <c r="R247" s="144">
        <v>5.7</v>
      </c>
      <c r="S247" s="144">
        <v>5.7</v>
      </c>
      <c r="T247" s="144">
        <v>5.7</v>
      </c>
      <c r="U247" s="144">
        <v>5.7</v>
      </c>
      <c r="V247" s="144">
        <v>5.7</v>
      </c>
      <c r="W247" s="144">
        <v>5.7</v>
      </c>
      <c r="X247" s="144">
        <v>5.4</v>
      </c>
      <c r="Y247" s="144">
        <v>5.4</v>
      </c>
      <c r="Z247" s="144">
        <v>5.4</v>
      </c>
      <c r="AA247" s="58">
        <v>5.4</v>
      </c>
      <c r="AB247" s="58">
        <v>1.27</v>
      </c>
      <c r="AC247" s="10">
        <v>1.27</v>
      </c>
      <c r="AD247" s="10">
        <v>1.27</v>
      </c>
      <c r="AE247" s="10">
        <v>1.27</v>
      </c>
      <c r="AF247" s="10">
        <v>1.27</v>
      </c>
      <c r="AG247" s="10">
        <v>1.27</v>
      </c>
      <c r="AH247" s="10">
        <v>1.27</v>
      </c>
      <c r="AI247" s="10">
        <v>1.27</v>
      </c>
      <c r="AJ247" s="10">
        <v>1.27</v>
      </c>
      <c r="AK247" s="10">
        <v>0.97</v>
      </c>
      <c r="AL247" s="10">
        <v>0.97</v>
      </c>
      <c r="AM247" s="10">
        <v>0.97</v>
      </c>
      <c r="AN247" s="149">
        <v>0.97</v>
      </c>
      <c r="AP247" s="118">
        <f t="shared" si="1"/>
        <v>0</v>
      </c>
      <c r="AR247" s="118">
        <f t="shared" si="2"/>
        <v>0</v>
      </c>
      <c r="AT247" s="127">
        <f t="shared" si="3"/>
        <v>0</v>
      </c>
      <c r="AU247" s="5"/>
      <c r="AV247" s="118">
        <f t="shared" si="4"/>
        <v>0</v>
      </c>
      <c r="AW247" s="5"/>
      <c r="AX247" s="118">
        <f t="shared" si="5"/>
        <v>0</v>
      </c>
      <c r="AY247" s="5"/>
      <c r="AZ247" s="127">
        <f t="shared" si="6"/>
        <v>0</v>
      </c>
      <c r="BA247" s="5">
        <v>0</v>
      </c>
      <c r="BB247" s="118">
        <f t="shared" si="7"/>
        <v>0</v>
      </c>
      <c r="BC247" s="5">
        <v>0</v>
      </c>
      <c r="BD247" s="118">
        <f t="shared" si="8"/>
        <v>0</v>
      </c>
      <c r="BE247" s="105">
        <v>0</v>
      </c>
      <c r="BF247" s="127">
        <f t="shared" si="9"/>
        <v>0</v>
      </c>
      <c r="BG247" s="105">
        <v>0</v>
      </c>
      <c r="BH247" s="118">
        <f t="shared" si="66"/>
        <v>0</v>
      </c>
      <c r="BI247" s="5">
        <v>0</v>
      </c>
      <c r="BJ247" s="118">
        <f t="shared" si="11"/>
        <v>0</v>
      </c>
      <c r="BK247" s="105">
        <v>0</v>
      </c>
      <c r="BL247" s="127">
        <f t="shared" si="12"/>
        <v>0</v>
      </c>
      <c r="BM247" s="220" t="s">
        <v>756</v>
      </c>
      <c r="BO247" s="1" t="s">
        <v>539</v>
      </c>
      <c r="BP247" s="220" t="s">
        <v>761</v>
      </c>
      <c r="BQ247" s="233"/>
      <c r="BR247" s="234"/>
    </row>
    <row r="248" spans="1:70">
      <c r="A248" s="219" t="s">
        <v>451</v>
      </c>
      <c r="B248" s="213" t="s">
        <v>267</v>
      </c>
      <c r="C248" s="66" t="s">
        <v>175</v>
      </c>
      <c r="D248" s="287"/>
      <c r="E248" s="103" t="s">
        <v>176</v>
      </c>
      <c r="F248" s="281"/>
      <c r="G248" s="71" t="s">
        <v>202</v>
      </c>
      <c r="H248" s="70" t="s">
        <v>276</v>
      </c>
      <c r="I248" s="70" t="s">
        <v>180</v>
      </c>
      <c r="J248" s="71" t="s">
        <v>193</v>
      </c>
      <c r="K248" s="70" t="s">
        <v>181</v>
      </c>
      <c r="L248" s="69" t="s">
        <v>185</v>
      </c>
      <c r="M248" s="180" t="s">
        <v>465</v>
      </c>
      <c r="N248" s="68">
        <v>4.4300000000000006</v>
      </c>
      <c r="O248" s="68">
        <v>5.7</v>
      </c>
      <c r="P248" s="144">
        <v>5.7</v>
      </c>
      <c r="Q248" s="144">
        <v>5.7</v>
      </c>
      <c r="R248" s="144">
        <v>5.7</v>
      </c>
      <c r="S248" s="144">
        <v>5.7</v>
      </c>
      <c r="T248" s="144">
        <v>5.7</v>
      </c>
      <c r="U248" s="144">
        <v>5.7</v>
      </c>
      <c r="V248" s="144">
        <v>5.7</v>
      </c>
      <c r="W248" s="144">
        <v>5.7</v>
      </c>
      <c r="X248" s="144">
        <v>5.4</v>
      </c>
      <c r="Y248" s="144">
        <v>5.4</v>
      </c>
      <c r="Z248" s="144">
        <v>5.4</v>
      </c>
      <c r="AA248" s="58">
        <v>5.4</v>
      </c>
      <c r="AB248" s="58">
        <v>1.27</v>
      </c>
      <c r="AC248" s="10">
        <v>1.27</v>
      </c>
      <c r="AD248" s="10">
        <v>1.27</v>
      </c>
      <c r="AE248" s="10">
        <v>1.27</v>
      </c>
      <c r="AF248" s="10">
        <v>1.27</v>
      </c>
      <c r="AG248" s="10">
        <v>1.27</v>
      </c>
      <c r="AH248" s="10">
        <v>1.27</v>
      </c>
      <c r="AI248" s="10">
        <v>1.27</v>
      </c>
      <c r="AJ248" s="10">
        <v>1.27</v>
      </c>
      <c r="AK248" s="10">
        <v>0.97</v>
      </c>
      <c r="AL248" s="10">
        <v>0.97</v>
      </c>
      <c r="AM248" s="10">
        <v>0.97</v>
      </c>
      <c r="AN248" s="149">
        <v>0.97</v>
      </c>
      <c r="AP248" s="118">
        <f t="shared" si="1"/>
        <v>0</v>
      </c>
      <c r="AR248" s="118">
        <f t="shared" si="2"/>
        <v>0</v>
      </c>
      <c r="AT248" s="127">
        <f t="shared" si="3"/>
        <v>0</v>
      </c>
      <c r="AU248" s="5"/>
      <c r="AV248" s="118">
        <f t="shared" si="4"/>
        <v>0</v>
      </c>
      <c r="AW248" s="5"/>
      <c r="AX248" s="118">
        <f t="shared" si="5"/>
        <v>0</v>
      </c>
      <c r="AY248" s="5"/>
      <c r="AZ248" s="127">
        <f t="shared" si="6"/>
        <v>0</v>
      </c>
      <c r="BA248" s="5">
        <v>0</v>
      </c>
      <c r="BB248" s="118">
        <f t="shared" si="7"/>
        <v>0</v>
      </c>
      <c r="BC248" s="5">
        <v>0</v>
      </c>
      <c r="BD248" s="118">
        <f t="shared" si="8"/>
        <v>0</v>
      </c>
      <c r="BE248" s="105">
        <v>0</v>
      </c>
      <c r="BF248" s="127">
        <f t="shared" si="9"/>
        <v>0</v>
      </c>
      <c r="BG248" s="105">
        <v>0</v>
      </c>
      <c r="BH248" s="118">
        <f t="shared" si="66"/>
        <v>0</v>
      </c>
      <c r="BI248" s="5">
        <v>0</v>
      </c>
      <c r="BJ248" s="118">
        <f t="shared" si="11"/>
        <v>0</v>
      </c>
      <c r="BK248" s="105">
        <v>0</v>
      </c>
      <c r="BL248" s="127">
        <f t="shared" si="12"/>
        <v>0</v>
      </c>
      <c r="BM248" s="220" t="s">
        <v>756</v>
      </c>
      <c r="BO248" s="1" t="s">
        <v>539</v>
      </c>
      <c r="BP248" s="220" t="s">
        <v>762</v>
      </c>
      <c r="BQ248" s="233"/>
      <c r="BR248" s="234"/>
    </row>
    <row r="249" spans="1:70">
      <c r="A249" s="219" t="s">
        <v>451</v>
      </c>
      <c r="B249" s="213" t="s">
        <v>267</v>
      </c>
      <c r="C249" s="66" t="s">
        <v>175</v>
      </c>
      <c r="D249" s="287"/>
      <c r="E249" s="103" t="s">
        <v>176</v>
      </c>
      <c r="F249" s="281"/>
      <c r="G249" s="71" t="s">
        <v>202</v>
      </c>
      <c r="H249" s="70" t="s">
        <v>276</v>
      </c>
      <c r="I249" s="70" t="s">
        <v>180</v>
      </c>
      <c r="J249" s="71" t="s">
        <v>193</v>
      </c>
      <c r="K249" s="70" t="s">
        <v>181</v>
      </c>
      <c r="L249" s="69" t="s">
        <v>185</v>
      </c>
      <c r="M249" s="180" t="s">
        <v>465</v>
      </c>
      <c r="N249" s="68">
        <v>4.4300000000000006</v>
      </c>
      <c r="O249" s="68">
        <v>5.7</v>
      </c>
      <c r="P249" s="144">
        <v>5.7</v>
      </c>
      <c r="Q249" s="144">
        <v>5.7</v>
      </c>
      <c r="R249" s="144">
        <v>5.7</v>
      </c>
      <c r="S249" s="144">
        <v>5.7</v>
      </c>
      <c r="T249" s="144">
        <v>5.7</v>
      </c>
      <c r="U249" s="144">
        <v>5.7</v>
      </c>
      <c r="V249" s="144">
        <v>5.7</v>
      </c>
      <c r="W249" s="144">
        <v>5.7</v>
      </c>
      <c r="X249" s="144">
        <v>5.4</v>
      </c>
      <c r="Y249" s="144">
        <v>5.4</v>
      </c>
      <c r="Z249" s="144">
        <v>5.4</v>
      </c>
      <c r="AA249" s="58">
        <v>5.4</v>
      </c>
      <c r="AB249" s="58">
        <v>1.27</v>
      </c>
      <c r="AC249" s="10">
        <v>1.27</v>
      </c>
      <c r="AD249" s="10">
        <v>1.27</v>
      </c>
      <c r="AE249" s="10">
        <v>1.27</v>
      </c>
      <c r="AF249" s="10">
        <v>1.27</v>
      </c>
      <c r="AG249" s="10">
        <v>1.27</v>
      </c>
      <c r="AH249" s="10">
        <v>1.27</v>
      </c>
      <c r="AI249" s="10">
        <v>1.27</v>
      </c>
      <c r="AJ249" s="10">
        <v>1.27</v>
      </c>
      <c r="AK249" s="10">
        <v>0.97</v>
      </c>
      <c r="AL249" s="10">
        <v>0.97</v>
      </c>
      <c r="AM249" s="10">
        <v>0.97</v>
      </c>
      <c r="AN249" s="149">
        <v>0.97</v>
      </c>
      <c r="AP249" s="118">
        <f t="shared" si="1"/>
        <v>0</v>
      </c>
      <c r="AR249" s="118">
        <f t="shared" si="2"/>
        <v>0</v>
      </c>
      <c r="AT249" s="127">
        <f t="shared" si="3"/>
        <v>0</v>
      </c>
      <c r="AU249" s="5"/>
      <c r="AV249" s="118">
        <f t="shared" si="4"/>
        <v>0</v>
      </c>
      <c r="AW249" s="5"/>
      <c r="AX249" s="118">
        <f t="shared" si="5"/>
        <v>0</v>
      </c>
      <c r="AY249" s="5"/>
      <c r="AZ249" s="127">
        <f t="shared" si="6"/>
        <v>0</v>
      </c>
      <c r="BA249" s="5">
        <v>0</v>
      </c>
      <c r="BB249" s="118">
        <f t="shared" si="7"/>
        <v>0</v>
      </c>
      <c r="BC249" s="5">
        <v>0</v>
      </c>
      <c r="BD249" s="118">
        <f t="shared" si="8"/>
        <v>0</v>
      </c>
      <c r="BE249" s="105">
        <v>0</v>
      </c>
      <c r="BF249" s="127">
        <f t="shared" si="9"/>
        <v>0</v>
      </c>
      <c r="BG249" s="105">
        <v>0</v>
      </c>
      <c r="BH249" s="118">
        <f t="shared" si="66"/>
        <v>0</v>
      </c>
      <c r="BI249" s="5">
        <v>0</v>
      </c>
      <c r="BJ249" s="118">
        <f t="shared" si="11"/>
        <v>0</v>
      </c>
      <c r="BK249" s="105">
        <v>0</v>
      </c>
      <c r="BL249" s="127">
        <f t="shared" si="12"/>
        <v>0</v>
      </c>
      <c r="BM249" s="220" t="s">
        <v>756</v>
      </c>
      <c r="BO249" s="1" t="s">
        <v>539</v>
      </c>
      <c r="BP249" s="220" t="s">
        <v>763</v>
      </c>
      <c r="BQ249" s="233"/>
      <c r="BR249" s="234"/>
    </row>
    <row r="250" spans="1:70">
      <c r="A250" s="219" t="s">
        <v>451</v>
      </c>
      <c r="B250" s="213" t="s">
        <v>267</v>
      </c>
      <c r="C250" s="66" t="s">
        <v>175</v>
      </c>
      <c r="D250" s="287"/>
      <c r="E250" s="103" t="s">
        <v>176</v>
      </c>
      <c r="F250" s="281"/>
      <c r="G250" s="71" t="s">
        <v>202</v>
      </c>
      <c r="H250" s="70" t="s">
        <v>276</v>
      </c>
      <c r="I250" s="70" t="s">
        <v>180</v>
      </c>
      <c r="J250" s="71" t="s">
        <v>193</v>
      </c>
      <c r="K250" s="70" t="s">
        <v>715</v>
      </c>
      <c r="L250" s="69" t="s">
        <v>185</v>
      </c>
      <c r="M250" s="180" t="s">
        <v>465</v>
      </c>
      <c r="N250" s="68">
        <v>2.85</v>
      </c>
      <c r="O250" s="68">
        <v>3.65</v>
      </c>
      <c r="P250" s="144">
        <v>3.65</v>
      </c>
      <c r="Q250" s="144">
        <v>3.65</v>
      </c>
      <c r="R250" s="144">
        <v>3.65</v>
      </c>
      <c r="S250" s="144">
        <v>3.65</v>
      </c>
      <c r="T250" s="144">
        <v>3.65</v>
      </c>
      <c r="U250" s="144">
        <v>3.65</v>
      </c>
      <c r="V250" s="144">
        <v>3.65</v>
      </c>
      <c r="W250" s="144">
        <v>3.65</v>
      </c>
      <c r="X250" s="144">
        <v>3.5</v>
      </c>
      <c r="Y250" s="144">
        <v>3.5</v>
      </c>
      <c r="Z250" s="144">
        <v>3.5</v>
      </c>
      <c r="AA250" s="58">
        <v>3.5</v>
      </c>
      <c r="AB250" s="58">
        <v>0.77</v>
      </c>
      <c r="AC250" s="10">
        <v>0.77</v>
      </c>
      <c r="AD250" s="10">
        <v>0.77</v>
      </c>
      <c r="AE250" s="10">
        <v>0.77</v>
      </c>
      <c r="AF250" s="10">
        <v>0.77</v>
      </c>
      <c r="AG250" s="10">
        <v>0.77</v>
      </c>
      <c r="AH250" s="10">
        <v>0.77</v>
      </c>
      <c r="AI250" s="10">
        <v>0.77</v>
      </c>
      <c r="AJ250" s="10">
        <v>0.77</v>
      </c>
      <c r="AK250" s="10">
        <v>0.65</v>
      </c>
      <c r="AL250" s="10">
        <v>0.65</v>
      </c>
      <c r="AM250" s="10">
        <v>0.65</v>
      </c>
      <c r="AN250" s="149">
        <v>0.65</v>
      </c>
      <c r="AO250" s="5">
        <v>0</v>
      </c>
      <c r="AP250" s="118">
        <f t="shared" si="1"/>
        <v>0</v>
      </c>
      <c r="AQ250" s="5">
        <v>2657</v>
      </c>
      <c r="AR250" s="118">
        <f t="shared" si="2"/>
        <v>2045.89</v>
      </c>
      <c r="AS250" s="5">
        <v>0</v>
      </c>
      <c r="AT250" s="127">
        <f t="shared" si="3"/>
        <v>0</v>
      </c>
      <c r="AU250" s="5">
        <v>0</v>
      </c>
      <c r="AV250" s="118">
        <f t="shared" si="4"/>
        <v>0</v>
      </c>
      <c r="AW250" s="5">
        <v>0</v>
      </c>
      <c r="AX250" s="118">
        <f t="shared" si="5"/>
        <v>0</v>
      </c>
      <c r="AY250" s="5">
        <v>0</v>
      </c>
      <c r="AZ250" s="127">
        <f t="shared" si="6"/>
        <v>0</v>
      </c>
      <c r="BA250" s="5">
        <v>0</v>
      </c>
      <c r="BB250" s="118">
        <f t="shared" si="7"/>
        <v>0</v>
      </c>
      <c r="BC250" s="5">
        <v>0</v>
      </c>
      <c r="BD250" s="118">
        <f t="shared" si="8"/>
        <v>0</v>
      </c>
      <c r="BE250" s="105">
        <v>0</v>
      </c>
      <c r="BF250" s="127">
        <f t="shared" si="9"/>
        <v>0</v>
      </c>
      <c r="BG250" s="105">
        <v>0</v>
      </c>
      <c r="BH250" s="118">
        <f t="shared" si="66"/>
        <v>0</v>
      </c>
      <c r="BI250" s="5">
        <v>0</v>
      </c>
      <c r="BJ250" s="118">
        <f t="shared" si="11"/>
        <v>0</v>
      </c>
      <c r="BK250" s="105">
        <v>0</v>
      </c>
      <c r="BL250" s="127">
        <f t="shared" si="12"/>
        <v>0</v>
      </c>
      <c r="BM250" s="220" t="s">
        <v>764</v>
      </c>
      <c r="BO250" s="1" t="s">
        <v>539</v>
      </c>
      <c r="BP250" s="220" t="s">
        <v>765</v>
      </c>
      <c r="BQ250" s="233"/>
      <c r="BR250" s="234"/>
    </row>
    <row r="251" spans="1:70">
      <c r="A251" s="219" t="s">
        <v>451</v>
      </c>
      <c r="B251" s="213" t="s">
        <v>267</v>
      </c>
      <c r="C251" s="66" t="s">
        <v>175</v>
      </c>
      <c r="D251" s="287"/>
      <c r="E251" s="103" t="s">
        <v>176</v>
      </c>
      <c r="F251" s="281"/>
      <c r="G251" s="71" t="s">
        <v>202</v>
      </c>
      <c r="H251" s="70" t="s">
        <v>276</v>
      </c>
      <c r="I251" s="70" t="s">
        <v>180</v>
      </c>
      <c r="J251" s="71" t="s">
        <v>193</v>
      </c>
      <c r="K251" s="70" t="s">
        <v>715</v>
      </c>
      <c r="L251" s="69" t="s">
        <v>185</v>
      </c>
      <c r="M251" s="180" t="s">
        <v>465</v>
      </c>
      <c r="N251" s="68">
        <v>2.85</v>
      </c>
      <c r="O251" s="68">
        <v>3.65</v>
      </c>
      <c r="P251" s="144">
        <v>3.65</v>
      </c>
      <c r="Q251" s="144">
        <v>3.65</v>
      </c>
      <c r="R251" s="144">
        <v>3.65</v>
      </c>
      <c r="S251" s="144">
        <v>3.65</v>
      </c>
      <c r="T251" s="144">
        <v>3.65</v>
      </c>
      <c r="U251" s="144">
        <v>3.65</v>
      </c>
      <c r="V251" s="144">
        <v>3.65</v>
      </c>
      <c r="W251" s="144">
        <v>3.65</v>
      </c>
      <c r="X251" s="144">
        <v>3.5</v>
      </c>
      <c r="Y251" s="144">
        <v>3.5</v>
      </c>
      <c r="Z251" s="144">
        <v>3.5</v>
      </c>
      <c r="AA251" s="58">
        <v>3.5</v>
      </c>
      <c r="AB251" s="58">
        <v>0.77</v>
      </c>
      <c r="AC251" s="10">
        <v>0.77</v>
      </c>
      <c r="AD251" s="10">
        <v>0.77</v>
      </c>
      <c r="AE251" s="10">
        <v>0.77</v>
      </c>
      <c r="AF251" s="10">
        <v>0.77</v>
      </c>
      <c r="AG251" s="10">
        <v>0.77</v>
      </c>
      <c r="AH251" s="10">
        <v>0.77</v>
      </c>
      <c r="AI251" s="10">
        <v>0.77</v>
      </c>
      <c r="AJ251" s="10">
        <v>0.77</v>
      </c>
      <c r="AK251" s="10">
        <v>0.65</v>
      </c>
      <c r="AL251" s="10">
        <v>0.65</v>
      </c>
      <c r="AM251" s="10">
        <v>0.65</v>
      </c>
      <c r="AN251" s="149">
        <v>0.65</v>
      </c>
      <c r="AP251" s="118">
        <f t="shared" si="1"/>
        <v>0</v>
      </c>
      <c r="AR251" s="118">
        <f t="shared" si="2"/>
        <v>0</v>
      </c>
      <c r="AT251" s="127">
        <f t="shared" si="3"/>
        <v>0</v>
      </c>
      <c r="AU251" s="5"/>
      <c r="AV251" s="118">
        <f t="shared" si="4"/>
        <v>0</v>
      </c>
      <c r="AW251" s="5"/>
      <c r="AX251" s="118">
        <f t="shared" si="5"/>
        <v>0</v>
      </c>
      <c r="AY251" s="5"/>
      <c r="AZ251" s="127">
        <f t="shared" si="6"/>
        <v>0</v>
      </c>
      <c r="BA251" s="5">
        <v>157</v>
      </c>
      <c r="BB251" s="118">
        <f t="shared" si="7"/>
        <v>120.89</v>
      </c>
      <c r="BC251" s="5">
        <v>0</v>
      </c>
      <c r="BD251" s="118">
        <f t="shared" si="8"/>
        <v>0</v>
      </c>
      <c r="BE251" s="105">
        <v>0</v>
      </c>
      <c r="BF251" s="127">
        <f t="shared" si="9"/>
        <v>0</v>
      </c>
      <c r="BG251" s="105">
        <v>0</v>
      </c>
      <c r="BH251" s="118">
        <f t="shared" si="66"/>
        <v>0</v>
      </c>
      <c r="BI251" s="5">
        <v>0</v>
      </c>
      <c r="BJ251" s="118">
        <f t="shared" si="11"/>
        <v>0</v>
      </c>
      <c r="BK251" s="105">
        <v>0</v>
      </c>
      <c r="BL251" s="127">
        <f t="shared" si="12"/>
        <v>0</v>
      </c>
      <c r="BM251" s="220" t="s">
        <v>764</v>
      </c>
      <c r="BO251" s="1" t="s">
        <v>539</v>
      </c>
      <c r="BP251" s="220" t="s">
        <v>766</v>
      </c>
      <c r="BQ251" s="233"/>
      <c r="BR251" s="234"/>
    </row>
    <row r="252" spans="1:70">
      <c r="A252" s="219" t="s">
        <v>451</v>
      </c>
      <c r="B252" s="213" t="s">
        <v>267</v>
      </c>
      <c r="C252" s="66" t="s">
        <v>175</v>
      </c>
      <c r="D252" s="287"/>
      <c r="E252" s="103" t="s">
        <v>176</v>
      </c>
      <c r="F252" s="281"/>
      <c r="G252" s="71" t="s">
        <v>202</v>
      </c>
      <c r="H252" s="70" t="s">
        <v>276</v>
      </c>
      <c r="I252" s="70" t="s">
        <v>180</v>
      </c>
      <c r="J252" s="71" t="s">
        <v>193</v>
      </c>
      <c r="K252" s="70" t="s">
        <v>715</v>
      </c>
      <c r="L252" s="69" t="s">
        <v>185</v>
      </c>
      <c r="M252" s="180" t="s">
        <v>465</v>
      </c>
      <c r="N252" s="68">
        <v>2.85</v>
      </c>
      <c r="O252" s="68">
        <v>3.65</v>
      </c>
      <c r="P252" s="144">
        <v>3.65</v>
      </c>
      <c r="Q252" s="144">
        <v>3.65</v>
      </c>
      <c r="R252" s="144">
        <v>3.65</v>
      </c>
      <c r="S252" s="144">
        <v>3.65</v>
      </c>
      <c r="T252" s="144">
        <v>3.65</v>
      </c>
      <c r="U252" s="144">
        <v>3.65</v>
      </c>
      <c r="V252" s="144">
        <v>3.65</v>
      </c>
      <c r="W252" s="144">
        <v>3.65</v>
      </c>
      <c r="X252" s="144">
        <v>3.5</v>
      </c>
      <c r="Y252" s="144">
        <v>3.5</v>
      </c>
      <c r="Z252" s="144">
        <v>3.5</v>
      </c>
      <c r="AA252" s="58">
        <v>3.5</v>
      </c>
      <c r="AB252" s="58">
        <v>0.77</v>
      </c>
      <c r="AC252" s="10">
        <v>0.77</v>
      </c>
      <c r="AD252" s="10">
        <v>0.77</v>
      </c>
      <c r="AE252" s="10">
        <v>0.77</v>
      </c>
      <c r="AF252" s="10">
        <v>0.77</v>
      </c>
      <c r="AG252" s="10">
        <v>0.77</v>
      </c>
      <c r="AH252" s="10">
        <v>0.77</v>
      </c>
      <c r="AI252" s="10">
        <v>0.77</v>
      </c>
      <c r="AJ252" s="10">
        <v>0.77</v>
      </c>
      <c r="AK252" s="10">
        <v>0.65</v>
      </c>
      <c r="AL252" s="10">
        <v>0.65</v>
      </c>
      <c r="AM252" s="10">
        <v>0.65</v>
      </c>
      <c r="AN252" s="149">
        <v>0.65</v>
      </c>
      <c r="AP252" s="118">
        <f t="shared" si="1"/>
        <v>0</v>
      </c>
      <c r="AR252" s="118">
        <f t="shared" si="2"/>
        <v>0</v>
      </c>
      <c r="AT252" s="127">
        <f t="shared" si="3"/>
        <v>0</v>
      </c>
      <c r="AU252" s="5"/>
      <c r="AV252" s="118">
        <f t="shared" si="4"/>
        <v>0</v>
      </c>
      <c r="AW252" s="5"/>
      <c r="AX252" s="118">
        <f t="shared" si="5"/>
        <v>0</v>
      </c>
      <c r="AY252" s="5"/>
      <c r="AZ252" s="127">
        <f t="shared" si="6"/>
        <v>0</v>
      </c>
      <c r="BA252" s="5"/>
      <c r="BB252" s="118">
        <f t="shared" si="7"/>
        <v>0</v>
      </c>
      <c r="BC252" s="5">
        <v>0</v>
      </c>
      <c r="BD252" s="118">
        <f t="shared" si="8"/>
        <v>0</v>
      </c>
      <c r="BE252" s="105">
        <v>0</v>
      </c>
      <c r="BF252" s="127">
        <f t="shared" si="9"/>
        <v>0</v>
      </c>
      <c r="BG252" s="105">
        <v>0</v>
      </c>
      <c r="BH252" s="118">
        <f t="shared" si="66"/>
        <v>0</v>
      </c>
      <c r="BI252" s="5">
        <v>0</v>
      </c>
      <c r="BJ252" s="118">
        <f t="shared" si="11"/>
        <v>0</v>
      </c>
      <c r="BK252" s="105">
        <v>0</v>
      </c>
      <c r="BL252" s="127">
        <f t="shared" si="12"/>
        <v>0</v>
      </c>
      <c r="BM252" s="220" t="s">
        <v>764</v>
      </c>
      <c r="BO252" s="1" t="s">
        <v>539</v>
      </c>
      <c r="BP252" s="220" t="s">
        <v>767</v>
      </c>
      <c r="BQ252" s="233"/>
      <c r="BR252" s="234"/>
    </row>
    <row r="253" spans="1:70">
      <c r="A253" s="219" t="s">
        <v>451</v>
      </c>
      <c r="B253" s="213" t="s">
        <v>267</v>
      </c>
      <c r="C253" s="66" t="s">
        <v>175</v>
      </c>
      <c r="D253" s="287"/>
      <c r="E253" s="103" t="s">
        <v>176</v>
      </c>
      <c r="F253" s="281"/>
      <c r="G253" s="71" t="s">
        <v>202</v>
      </c>
      <c r="H253" s="70" t="s">
        <v>276</v>
      </c>
      <c r="I253" s="70" t="s">
        <v>180</v>
      </c>
      <c r="J253" s="71" t="s">
        <v>193</v>
      </c>
      <c r="K253" s="70" t="s">
        <v>715</v>
      </c>
      <c r="L253" s="69" t="s">
        <v>185</v>
      </c>
      <c r="M253" s="180" t="s">
        <v>465</v>
      </c>
      <c r="N253" s="68">
        <v>2.85</v>
      </c>
      <c r="O253" s="68">
        <v>3.65</v>
      </c>
      <c r="P253" s="144">
        <v>3.65</v>
      </c>
      <c r="Q253" s="144">
        <v>3.65</v>
      </c>
      <c r="R253" s="144">
        <v>3.65</v>
      </c>
      <c r="S253" s="144">
        <v>3.65</v>
      </c>
      <c r="T253" s="144">
        <v>3.65</v>
      </c>
      <c r="U253" s="144">
        <v>3.65</v>
      </c>
      <c r="V253" s="144">
        <v>3.65</v>
      </c>
      <c r="W253" s="144">
        <v>3.65</v>
      </c>
      <c r="X253" s="144">
        <v>3.5</v>
      </c>
      <c r="Y253" s="144">
        <v>3.5</v>
      </c>
      <c r="Z253" s="144">
        <v>3.5</v>
      </c>
      <c r="AA253" s="58">
        <v>3.5</v>
      </c>
      <c r="AB253" s="58">
        <v>0.77</v>
      </c>
      <c r="AC253" s="10">
        <v>0.77</v>
      </c>
      <c r="AD253" s="10">
        <v>0.77</v>
      </c>
      <c r="AE253" s="10">
        <v>0.77</v>
      </c>
      <c r="AF253" s="10">
        <v>0.77</v>
      </c>
      <c r="AG253" s="10">
        <v>0.77</v>
      </c>
      <c r="AH253" s="10">
        <v>0.77</v>
      </c>
      <c r="AI253" s="10">
        <v>0.77</v>
      </c>
      <c r="AJ253" s="10">
        <v>0.77</v>
      </c>
      <c r="AK253" s="10">
        <v>0.65</v>
      </c>
      <c r="AL253" s="10">
        <v>0.65</v>
      </c>
      <c r="AM253" s="10">
        <v>0.65</v>
      </c>
      <c r="AN253" s="149">
        <v>0.65</v>
      </c>
      <c r="AP253" s="118">
        <f t="shared" si="1"/>
        <v>0</v>
      </c>
      <c r="AR253" s="118">
        <f t="shared" si="2"/>
        <v>0</v>
      </c>
      <c r="AT253" s="127">
        <f t="shared" si="3"/>
        <v>0</v>
      </c>
      <c r="AU253" s="5"/>
      <c r="AV253" s="118">
        <f t="shared" si="4"/>
        <v>0</v>
      </c>
      <c r="AW253" s="5"/>
      <c r="AX253" s="118">
        <f t="shared" si="5"/>
        <v>0</v>
      </c>
      <c r="AY253" s="5"/>
      <c r="AZ253" s="127">
        <f t="shared" si="6"/>
        <v>0</v>
      </c>
      <c r="BA253" s="5"/>
      <c r="BB253" s="118">
        <f t="shared" si="7"/>
        <v>0</v>
      </c>
      <c r="BC253" s="5">
        <v>0</v>
      </c>
      <c r="BD253" s="118">
        <f t="shared" si="8"/>
        <v>0</v>
      </c>
      <c r="BE253" s="105">
        <v>0</v>
      </c>
      <c r="BF253" s="127">
        <f t="shared" si="9"/>
        <v>0</v>
      </c>
      <c r="BG253" s="105">
        <v>0</v>
      </c>
      <c r="BH253" s="118">
        <f t="shared" si="66"/>
        <v>0</v>
      </c>
      <c r="BI253" s="5">
        <v>0</v>
      </c>
      <c r="BJ253" s="118">
        <f t="shared" si="11"/>
        <v>0</v>
      </c>
      <c r="BK253" s="105">
        <v>0</v>
      </c>
      <c r="BL253" s="127">
        <f t="shared" si="12"/>
        <v>0</v>
      </c>
      <c r="BM253" s="220" t="s">
        <v>764</v>
      </c>
      <c r="BO253" s="1" t="s">
        <v>539</v>
      </c>
      <c r="BP253" s="220" t="s">
        <v>768</v>
      </c>
      <c r="BQ253" s="233"/>
      <c r="BR253" s="234"/>
    </row>
    <row r="254" spans="1:70">
      <c r="A254" s="219" t="s">
        <v>451</v>
      </c>
      <c r="B254" s="213" t="s">
        <v>267</v>
      </c>
      <c r="C254" s="66" t="s">
        <v>175</v>
      </c>
      <c r="D254" s="287"/>
      <c r="E254" s="103" t="s">
        <v>176</v>
      </c>
      <c r="F254" s="281"/>
      <c r="G254" s="71" t="s">
        <v>202</v>
      </c>
      <c r="H254" s="70" t="s">
        <v>276</v>
      </c>
      <c r="I254" s="70" t="s">
        <v>180</v>
      </c>
      <c r="J254" s="71" t="s">
        <v>193</v>
      </c>
      <c r="K254" s="70" t="s">
        <v>715</v>
      </c>
      <c r="L254" s="69" t="s">
        <v>185</v>
      </c>
      <c r="M254" s="180" t="s">
        <v>465</v>
      </c>
      <c r="N254" s="68">
        <v>2.85</v>
      </c>
      <c r="O254" s="68">
        <v>3.65</v>
      </c>
      <c r="P254" s="144">
        <v>3.65</v>
      </c>
      <c r="Q254" s="144">
        <v>3.65</v>
      </c>
      <c r="R254" s="144">
        <v>3.65</v>
      </c>
      <c r="S254" s="144">
        <v>3.65</v>
      </c>
      <c r="T254" s="144">
        <v>3.65</v>
      </c>
      <c r="U254" s="144">
        <v>3.65</v>
      </c>
      <c r="V254" s="144">
        <v>3.65</v>
      </c>
      <c r="W254" s="144">
        <v>3.65</v>
      </c>
      <c r="X254" s="144">
        <v>3.5</v>
      </c>
      <c r="Y254" s="144">
        <v>3.5</v>
      </c>
      <c r="Z254" s="144">
        <v>3.5</v>
      </c>
      <c r="AA254" s="58">
        <v>3.5</v>
      </c>
      <c r="AB254" s="58">
        <v>0.77</v>
      </c>
      <c r="AC254" s="10">
        <v>0.77</v>
      </c>
      <c r="AD254" s="10">
        <v>0.77</v>
      </c>
      <c r="AE254" s="10">
        <v>0.77</v>
      </c>
      <c r="AF254" s="10">
        <v>0.77</v>
      </c>
      <c r="AG254" s="10">
        <v>0.77</v>
      </c>
      <c r="AH254" s="10">
        <v>0.77</v>
      </c>
      <c r="AI254" s="10">
        <v>0.77</v>
      </c>
      <c r="AJ254" s="10">
        <v>0.77</v>
      </c>
      <c r="AK254" s="10">
        <v>0.65</v>
      </c>
      <c r="AL254" s="10">
        <v>0.65</v>
      </c>
      <c r="AM254" s="10">
        <v>0.65</v>
      </c>
      <c r="AN254" s="149">
        <v>0.65</v>
      </c>
      <c r="AP254" s="118">
        <f t="shared" si="1"/>
        <v>0</v>
      </c>
      <c r="AR254" s="118">
        <f t="shared" si="2"/>
        <v>0</v>
      </c>
      <c r="AT254" s="127">
        <f t="shared" si="3"/>
        <v>0</v>
      </c>
      <c r="AU254" s="5"/>
      <c r="AV254" s="118">
        <f t="shared" si="4"/>
        <v>0</v>
      </c>
      <c r="AW254" s="5"/>
      <c r="AX254" s="118">
        <f t="shared" si="5"/>
        <v>0</v>
      </c>
      <c r="AY254" s="5"/>
      <c r="AZ254" s="127">
        <f t="shared" si="6"/>
        <v>0</v>
      </c>
      <c r="BA254" s="5"/>
      <c r="BB254" s="118">
        <f t="shared" si="7"/>
        <v>0</v>
      </c>
      <c r="BC254" s="5">
        <v>0</v>
      </c>
      <c r="BD254" s="118">
        <f t="shared" si="8"/>
        <v>0</v>
      </c>
      <c r="BE254" s="105">
        <v>0</v>
      </c>
      <c r="BF254" s="127">
        <f t="shared" si="9"/>
        <v>0</v>
      </c>
      <c r="BG254" s="105">
        <v>0</v>
      </c>
      <c r="BH254" s="118">
        <f t="shared" si="66"/>
        <v>0</v>
      </c>
      <c r="BI254" s="5">
        <v>0</v>
      </c>
      <c r="BJ254" s="118">
        <f t="shared" si="11"/>
        <v>0</v>
      </c>
      <c r="BK254" s="105">
        <v>0</v>
      </c>
      <c r="BL254" s="127">
        <f t="shared" si="12"/>
        <v>0</v>
      </c>
      <c r="BM254" s="220" t="s">
        <v>764</v>
      </c>
      <c r="BO254" s="1" t="s">
        <v>539</v>
      </c>
      <c r="BP254" s="220" t="s">
        <v>769</v>
      </c>
      <c r="BQ254" s="233"/>
      <c r="BR254" s="234"/>
    </row>
    <row r="255" spans="1:70">
      <c r="A255" s="219" t="s">
        <v>451</v>
      </c>
      <c r="B255" s="213" t="s">
        <v>267</v>
      </c>
      <c r="C255" s="66" t="s">
        <v>175</v>
      </c>
      <c r="D255" s="287"/>
      <c r="E255" s="103" t="s">
        <v>176</v>
      </c>
      <c r="F255" s="281"/>
      <c r="G255" s="71" t="s">
        <v>202</v>
      </c>
      <c r="H255" s="70" t="s">
        <v>276</v>
      </c>
      <c r="I255" s="70" t="s">
        <v>180</v>
      </c>
      <c r="J255" s="71" t="s">
        <v>193</v>
      </c>
      <c r="K255" s="70" t="s">
        <v>715</v>
      </c>
      <c r="L255" s="69" t="s">
        <v>185</v>
      </c>
      <c r="M255" s="180" t="s">
        <v>465</v>
      </c>
      <c r="N255" s="68">
        <v>2.85</v>
      </c>
      <c r="O255" s="68">
        <v>3.65</v>
      </c>
      <c r="P255" s="144">
        <v>3.65</v>
      </c>
      <c r="Q255" s="144">
        <v>3.65</v>
      </c>
      <c r="R255" s="144">
        <v>3.65</v>
      </c>
      <c r="S255" s="144">
        <v>3.65</v>
      </c>
      <c r="T255" s="144">
        <v>3.65</v>
      </c>
      <c r="U255" s="144">
        <v>3.65</v>
      </c>
      <c r="V255" s="144">
        <v>3.65</v>
      </c>
      <c r="W255" s="144">
        <v>3.65</v>
      </c>
      <c r="X255" s="144">
        <v>3.5</v>
      </c>
      <c r="Y255" s="144">
        <v>3.5</v>
      </c>
      <c r="Z255" s="144">
        <v>3.5</v>
      </c>
      <c r="AA255" s="58">
        <v>3.5</v>
      </c>
      <c r="AB255" s="58">
        <v>0.77</v>
      </c>
      <c r="AC255" s="10">
        <v>0.77</v>
      </c>
      <c r="AD255" s="10">
        <v>0.77</v>
      </c>
      <c r="AE255" s="10">
        <v>0.77</v>
      </c>
      <c r="AF255" s="10">
        <v>0.77</v>
      </c>
      <c r="AG255" s="10">
        <v>0.77</v>
      </c>
      <c r="AH255" s="10">
        <v>0.77</v>
      </c>
      <c r="AI255" s="10">
        <v>0.77</v>
      </c>
      <c r="AJ255" s="10">
        <v>0.77</v>
      </c>
      <c r="AK255" s="10">
        <v>0.65</v>
      </c>
      <c r="AL255" s="10">
        <v>0.65</v>
      </c>
      <c r="AM255" s="10">
        <v>0.65</v>
      </c>
      <c r="AN255" s="149">
        <v>0.65</v>
      </c>
      <c r="AP255" s="118">
        <f t="shared" si="1"/>
        <v>0</v>
      </c>
      <c r="AR255" s="118">
        <f t="shared" si="2"/>
        <v>0</v>
      </c>
      <c r="AT255" s="127">
        <f t="shared" si="3"/>
        <v>0</v>
      </c>
      <c r="AU255" s="5"/>
      <c r="AV255" s="118">
        <f t="shared" si="4"/>
        <v>0</v>
      </c>
      <c r="AW255" s="5"/>
      <c r="AX255" s="118">
        <f t="shared" si="5"/>
        <v>0</v>
      </c>
      <c r="AY255" s="5"/>
      <c r="AZ255" s="127">
        <f t="shared" si="6"/>
        <v>0</v>
      </c>
      <c r="BA255" s="5"/>
      <c r="BB255" s="118">
        <f t="shared" ref="BB255:BB268" si="67">AI255*BA255</f>
        <v>0</v>
      </c>
      <c r="BC255" s="5">
        <v>0</v>
      </c>
      <c r="BD255" s="118">
        <f t="shared" ref="BD255:BD268" si="68">AJ255*BC255</f>
        <v>0</v>
      </c>
      <c r="BE255" s="105">
        <v>0</v>
      </c>
      <c r="BF255" s="127">
        <f t="shared" si="9"/>
        <v>0</v>
      </c>
      <c r="BG255" s="105">
        <v>0</v>
      </c>
      <c r="BH255" s="118">
        <f t="shared" si="66"/>
        <v>0</v>
      </c>
      <c r="BI255" s="5">
        <v>0</v>
      </c>
      <c r="BJ255" s="118">
        <f t="shared" si="11"/>
        <v>0</v>
      </c>
      <c r="BK255" s="105">
        <v>0</v>
      </c>
      <c r="BL255" s="127">
        <f t="shared" si="12"/>
        <v>0</v>
      </c>
      <c r="BM255" s="220" t="s">
        <v>764</v>
      </c>
      <c r="BO255" s="1" t="s">
        <v>539</v>
      </c>
      <c r="BP255" s="220" t="s">
        <v>770</v>
      </c>
      <c r="BQ255" s="233"/>
      <c r="BR255" s="234"/>
    </row>
    <row r="256" spans="1:70">
      <c r="A256" s="219" t="s">
        <v>451</v>
      </c>
      <c r="B256" s="213" t="s">
        <v>267</v>
      </c>
      <c r="C256" s="66" t="s">
        <v>175</v>
      </c>
      <c r="D256" s="287"/>
      <c r="E256" s="103" t="s">
        <v>176</v>
      </c>
      <c r="F256" s="281"/>
      <c r="G256" s="71" t="s">
        <v>202</v>
      </c>
      <c r="H256" s="70" t="s">
        <v>276</v>
      </c>
      <c r="I256" s="70" t="s">
        <v>180</v>
      </c>
      <c r="J256" s="71" t="s">
        <v>193</v>
      </c>
      <c r="K256" s="70" t="s">
        <v>181</v>
      </c>
      <c r="L256" s="69" t="s">
        <v>387</v>
      </c>
      <c r="M256" s="83" t="s">
        <v>731</v>
      </c>
      <c r="N256" s="68">
        <v>4.4300000000000006</v>
      </c>
      <c r="O256" s="68">
        <v>5.7</v>
      </c>
      <c r="P256" s="144">
        <v>5.7</v>
      </c>
      <c r="Q256" s="144">
        <v>5.7</v>
      </c>
      <c r="R256" s="144">
        <v>5.7</v>
      </c>
      <c r="S256" s="144">
        <v>5.7</v>
      </c>
      <c r="T256" s="144">
        <v>5.7</v>
      </c>
      <c r="U256" s="144">
        <v>5.7</v>
      </c>
      <c r="V256" s="144">
        <v>5.7</v>
      </c>
      <c r="W256" s="144">
        <v>5.7</v>
      </c>
      <c r="X256" s="144">
        <v>5.4</v>
      </c>
      <c r="Y256" s="144">
        <v>5.4</v>
      </c>
      <c r="Z256" s="144">
        <v>5.4</v>
      </c>
      <c r="AA256" s="58">
        <v>5.4</v>
      </c>
      <c r="AB256" s="58">
        <v>1.27</v>
      </c>
      <c r="AC256" s="10">
        <v>1.27</v>
      </c>
      <c r="AD256" s="10">
        <v>1.27</v>
      </c>
      <c r="AE256" s="10">
        <v>1.27</v>
      </c>
      <c r="AF256" s="10">
        <v>1.27</v>
      </c>
      <c r="AG256" s="10">
        <v>1.27</v>
      </c>
      <c r="AH256" s="10">
        <v>1.27</v>
      </c>
      <c r="AI256" s="10">
        <v>1.27</v>
      </c>
      <c r="AJ256" s="10">
        <v>1.27</v>
      </c>
      <c r="AK256" s="10">
        <v>0.97</v>
      </c>
      <c r="AL256" s="10">
        <v>0.97</v>
      </c>
      <c r="AM256" s="10">
        <v>0.97</v>
      </c>
      <c r="AN256" s="149">
        <v>0.97</v>
      </c>
      <c r="AO256" s="5">
        <v>9700</v>
      </c>
      <c r="AP256" s="118">
        <f t="shared" si="1"/>
        <v>12319</v>
      </c>
      <c r="AQ256" s="5">
        <v>2200</v>
      </c>
      <c r="AR256" s="118">
        <f t="shared" si="2"/>
        <v>2794</v>
      </c>
      <c r="AS256" s="5">
        <v>1480</v>
      </c>
      <c r="AT256" s="127">
        <f t="shared" si="3"/>
        <v>1879.6000000000001</v>
      </c>
      <c r="AU256" s="5">
        <v>1760</v>
      </c>
      <c r="AV256" s="118">
        <f t="shared" si="4"/>
        <v>2235.1999999999998</v>
      </c>
      <c r="AW256" s="5">
        <v>640</v>
      </c>
      <c r="AX256" s="118">
        <f t="shared" ref="AX256:AX268" si="69">AG256*AW256</f>
        <v>812.8</v>
      </c>
      <c r="AY256" s="5">
        <v>2000</v>
      </c>
      <c r="AZ256" s="127">
        <f t="shared" si="6"/>
        <v>2540</v>
      </c>
      <c r="BA256" s="5">
        <v>0</v>
      </c>
      <c r="BB256" s="118">
        <f t="shared" si="67"/>
        <v>0</v>
      </c>
      <c r="BC256" s="105">
        <v>0</v>
      </c>
      <c r="BD256" s="118">
        <f t="shared" si="68"/>
        <v>0</v>
      </c>
      <c r="BE256" s="105">
        <v>0</v>
      </c>
      <c r="BF256" s="127">
        <f t="shared" si="9"/>
        <v>0</v>
      </c>
      <c r="BG256" s="105">
        <v>0</v>
      </c>
      <c r="BH256" s="118">
        <f t="shared" si="66"/>
        <v>0</v>
      </c>
      <c r="BI256" s="105">
        <v>0</v>
      </c>
      <c r="BJ256" s="118">
        <f t="shared" si="11"/>
        <v>0</v>
      </c>
      <c r="BK256" s="105">
        <v>0</v>
      </c>
      <c r="BL256" s="127">
        <f t="shared" si="12"/>
        <v>0</v>
      </c>
      <c r="BM256" s="220" t="s">
        <v>771</v>
      </c>
      <c r="BO256" s="1" t="s">
        <v>539</v>
      </c>
      <c r="BP256" s="220" t="s">
        <v>757</v>
      </c>
      <c r="BQ256" s="233"/>
      <c r="BR256" s="234"/>
    </row>
    <row r="257" spans="1:70">
      <c r="A257" s="219" t="s">
        <v>451</v>
      </c>
      <c r="B257" s="213" t="s">
        <v>267</v>
      </c>
      <c r="C257" s="66" t="s">
        <v>175</v>
      </c>
      <c r="D257" s="287"/>
      <c r="E257" s="103" t="s">
        <v>176</v>
      </c>
      <c r="F257" s="281"/>
      <c r="G257" s="71" t="s">
        <v>202</v>
      </c>
      <c r="H257" s="70" t="s">
        <v>276</v>
      </c>
      <c r="I257" s="70" t="s">
        <v>180</v>
      </c>
      <c r="J257" s="71" t="s">
        <v>193</v>
      </c>
      <c r="K257" s="70" t="s">
        <v>181</v>
      </c>
      <c r="L257" s="69" t="s">
        <v>387</v>
      </c>
      <c r="M257" s="83" t="s">
        <v>731</v>
      </c>
      <c r="N257" s="68">
        <v>4.4300000000000006</v>
      </c>
      <c r="O257" s="68">
        <v>5.7</v>
      </c>
      <c r="P257" s="144">
        <v>5.7</v>
      </c>
      <c r="Q257" s="144">
        <v>5.7</v>
      </c>
      <c r="R257" s="144">
        <v>5.7</v>
      </c>
      <c r="S257" s="144">
        <v>5.7</v>
      </c>
      <c r="T257" s="144">
        <v>5.7</v>
      </c>
      <c r="U257" s="144">
        <v>5.7</v>
      </c>
      <c r="V257" s="144">
        <v>5.7</v>
      </c>
      <c r="W257" s="144">
        <v>5.7</v>
      </c>
      <c r="X257" s="144">
        <v>5.4</v>
      </c>
      <c r="Y257" s="144">
        <v>5.4</v>
      </c>
      <c r="Z257" s="144">
        <v>5.4</v>
      </c>
      <c r="AA257" s="58">
        <v>5.4</v>
      </c>
      <c r="AB257" s="58">
        <v>1.27</v>
      </c>
      <c r="AC257" s="10">
        <v>1.27</v>
      </c>
      <c r="AD257" s="10">
        <v>1.27</v>
      </c>
      <c r="AE257" s="10">
        <v>1.27</v>
      </c>
      <c r="AF257" s="10">
        <v>1.27</v>
      </c>
      <c r="AG257" s="10">
        <v>1.27</v>
      </c>
      <c r="AH257" s="10">
        <v>1.27</v>
      </c>
      <c r="AI257" s="10">
        <v>1.27</v>
      </c>
      <c r="AJ257" s="10">
        <v>1.27</v>
      </c>
      <c r="AK257" s="10">
        <v>0.97</v>
      </c>
      <c r="AL257" s="10">
        <v>0.97</v>
      </c>
      <c r="AM257" s="10">
        <v>0.97</v>
      </c>
      <c r="AN257" s="149">
        <v>0.97</v>
      </c>
      <c r="AP257" s="118">
        <f t="shared" si="1"/>
        <v>0</v>
      </c>
      <c r="AR257" s="118">
        <f t="shared" si="2"/>
        <v>0</v>
      </c>
      <c r="AT257" s="127">
        <f t="shared" si="3"/>
        <v>0</v>
      </c>
      <c r="AU257" s="5"/>
      <c r="AV257" s="118">
        <f t="shared" si="4"/>
        <v>0</v>
      </c>
      <c r="AW257" s="5"/>
      <c r="AX257" s="118">
        <f t="shared" si="69"/>
        <v>0</v>
      </c>
      <c r="AY257" s="5"/>
      <c r="AZ257" s="127">
        <f t="shared" si="6"/>
        <v>0</v>
      </c>
      <c r="BA257" s="5">
        <v>440</v>
      </c>
      <c r="BB257" s="118">
        <f t="shared" si="67"/>
        <v>558.79999999999995</v>
      </c>
      <c r="BC257" s="105">
        <v>0</v>
      </c>
      <c r="BD257" s="118">
        <f t="shared" si="68"/>
        <v>0</v>
      </c>
      <c r="BE257" s="105">
        <v>0</v>
      </c>
      <c r="BF257" s="127">
        <f t="shared" si="9"/>
        <v>0</v>
      </c>
      <c r="BG257" s="105">
        <v>0</v>
      </c>
      <c r="BH257" s="118">
        <f t="shared" si="66"/>
        <v>0</v>
      </c>
      <c r="BI257" s="105">
        <v>0</v>
      </c>
      <c r="BJ257" s="118">
        <f t="shared" si="11"/>
        <v>0</v>
      </c>
      <c r="BK257" s="105">
        <v>0</v>
      </c>
      <c r="BL257" s="127">
        <f t="shared" si="12"/>
        <v>0</v>
      </c>
      <c r="BM257" s="220" t="s">
        <v>771</v>
      </c>
      <c r="BO257" s="1" t="s">
        <v>539</v>
      </c>
      <c r="BP257" s="220" t="s">
        <v>758</v>
      </c>
      <c r="BQ257" s="233"/>
      <c r="BR257" s="234"/>
    </row>
    <row r="258" spans="1:70">
      <c r="A258" s="219" t="s">
        <v>451</v>
      </c>
      <c r="B258" s="213" t="s">
        <v>267</v>
      </c>
      <c r="C258" s="66" t="s">
        <v>175</v>
      </c>
      <c r="D258" s="287"/>
      <c r="E258" s="103" t="s">
        <v>176</v>
      </c>
      <c r="F258" s="281"/>
      <c r="G258" s="71" t="s">
        <v>202</v>
      </c>
      <c r="H258" s="70" t="s">
        <v>276</v>
      </c>
      <c r="I258" s="70" t="s">
        <v>180</v>
      </c>
      <c r="J258" s="71" t="s">
        <v>193</v>
      </c>
      <c r="K258" s="70" t="s">
        <v>181</v>
      </c>
      <c r="L258" s="69" t="s">
        <v>387</v>
      </c>
      <c r="M258" s="83" t="s">
        <v>731</v>
      </c>
      <c r="N258" s="68">
        <v>4.4300000000000006</v>
      </c>
      <c r="O258" s="68">
        <v>5.7</v>
      </c>
      <c r="P258" s="144">
        <v>5.7</v>
      </c>
      <c r="Q258" s="144">
        <v>5.7</v>
      </c>
      <c r="R258" s="144">
        <v>5.7</v>
      </c>
      <c r="S258" s="144">
        <v>5.7</v>
      </c>
      <c r="T258" s="144">
        <v>5.7</v>
      </c>
      <c r="U258" s="144">
        <v>5.7</v>
      </c>
      <c r="V258" s="144">
        <v>5.7</v>
      </c>
      <c r="W258" s="144">
        <v>5.7</v>
      </c>
      <c r="X258" s="144">
        <v>5.4</v>
      </c>
      <c r="Y258" s="144">
        <v>5.4</v>
      </c>
      <c r="Z258" s="144">
        <v>5.4</v>
      </c>
      <c r="AA258" s="58">
        <v>5.4</v>
      </c>
      <c r="AB258" s="58">
        <v>1.27</v>
      </c>
      <c r="AC258" s="10">
        <v>1.27</v>
      </c>
      <c r="AD258" s="10">
        <v>1.27</v>
      </c>
      <c r="AE258" s="10">
        <v>1.27</v>
      </c>
      <c r="AF258" s="10">
        <v>1.27</v>
      </c>
      <c r="AG258" s="10">
        <v>1.27</v>
      </c>
      <c r="AH258" s="10">
        <v>1.27</v>
      </c>
      <c r="AI258" s="10">
        <v>1.27</v>
      </c>
      <c r="AJ258" s="10">
        <v>1.27</v>
      </c>
      <c r="AK258" s="10">
        <v>0.97</v>
      </c>
      <c r="AL258" s="10">
        <v>0.97</v>
      </c>
      <c r="AM258" s="10">
        <v>0.97</v>
      </c>
      <c r="AN258" s="149">
        <v>0.97</v>
      </c>
      <c r="AP258" s="118">
        <f t="shared" si="1"/>
        <v>0</v>
      </c>
      <c r="AR258" s="118">
        <f t="shared" si="2"/>
        <v>0</v>
      </c>
      <c r="AT258" s="127">
        <f t="shared" si="3"/>
        <v>0</v>
      </c>
      <c r="AU258" s="5"/>
      <c r="AV258" s="118">
        <f t="shared" si="4"/>
        <v>0</v>
      </c>
      <c r="AW258" s="5"/>
      <c r="AX258" s="118">
        <f t="shared" si="69"/>
        <v>0</v>
      </c>
      <c r="AY258" s="5"/>
      <c r="AZ258" s="127">
        <f t="shared" si="6"/>
        <v>0</v>
      </c>
      <c r="BA258" s="5">
        <v>0</v>
      </c>
      <c r="BB258" s="118">
        <f t="shared" si="67"/>
        <v>0</v>
      </c>
      <c r="BC258" s="105">
        <v>0</v>
      </c>
      <c r="BD258" s="118">
        <f t="shared" si="68"/>
        <v>0</v>
      </c>
      <c r="BE258" s="105">
        <v>0</v>
      </c>
      <c r="BF258" s="127">
        <f t="shared" si="9"/>
        <v>0</v>
      </c>
      <c r="BG258" s="105">
        <v>0</v>
      </c>
      <c r="BH258" s="118">
        <f t="shared" si="66"/>
        <v>0</v>
      </c>
      <c r="BI258" s="105">
        <v>0</v>
      </c>
      <c r="BJ258" s="118">
        <f t="shared" si="11"/>
        <v>0</v>
      </c>
      <c r="BK258" s="105">
        <v>0</v>
      </c>
      <c r="BL258" s="127">
        <f t="shared" si="12"/>
        <v>0</v>
      </c>
      <c r="BM258" s="220" t="s">
        <v>771</v>
      </c>
      <c r="BO258" s="1" t="s">
        <v>539</v>
      </c>
      <c r="BP258" s="220" t="s">
        <v>759</v>
      </c>
      <c r="BQ258" s="233"/>
      <c r="BR258" s="234"/>
    </row>
    <row r="259" spans="1:70">
      <c r="A259" s="219" t="s">
        <v>451</v>
      </c>
      <c r="B259" s="213" t="s">
        <v>267</v>
      </c>
      <c r="C259" s="66" t="s">
        <v>175</v>
      </c>
      <c r="D259" s="287"/>
      <c r="E259" s="103" t="s">
        <v>176</v>
      </c>
      <c r="F259" s="281"/>
      <c r="G259" s="71" t="s">
        <v>202</v>
      </c>
      <c r="H259" s="70" t="s">
        <v>276</v>
      </c>
      <c r="I259" s="70" t="s">
        <v>180</v>
      </c>
      <c r="J259" s="71" t="s">
        <v>193</v>
      </c>
      <c r="K259" s="70" t="s">
        <v>181</v>
      </c>
      <c r="L259" s="69" t="s">
        <v>387</v>
      </c>
      <c r="M259" s="83" t="s">
        <v>731</v>
      </c>
      <c r="N259" s="68">
        <v>4.4300000000000006</v>
      </c>
      <c r="O259" s="68">
        <v>5.7</v>
      </c>
      <c r="P259" s="144">
        <v>5.7</v>
      </c>
      <c r="Q259" s="144">
        <v>5.7</v>
      </c>
      <c r="R259" s="144">
        <v>5.7</v>
      </c>
      <c r="S259" s="144">
        <v>5.7</v>
      </c>
      <c r="T259" s="144">
        <v>5.7</v>
      </c>
      <c r="U259" s="144">
        <v>5.7</v>
      </c>
      <c r="V259" s="144">
        <v>5.7</v>
      </c>
      <c r="W259" s="144">
        <v>5.7</v>
      </c>
      <c r="X259" s="144">
        <v>5.4</v>
      </c>
      <c r="Y259" s="144">
        <v>5.4</v>
      </c>
      <c r="Z259" s="144">
        <v>5.4</v>
      </c>
      <c r="AA259" s="58">
        <v>5.4</v>
      </c>
      <c r="AB259" s="58">
        <v>1.27</v>
      </c>
      <c r="AC259" s="10">
        <v>1.27</v>
      </c>
      <c r="AD259" s="10">
        <v>1.27</v>
      </c>
      <c r="AE259" s="10">
        <v>1.27</v>
      </c>
      <c r="AF259" s="10">
        <v>1.27</v>
      </c>
      <c r="AG259" s="10">
        <v>1.27</v>
      </c>
      <c r="AH259" s="10">
        <v>1.27</v>
      </c>
      <c r="AI259" s="10">
        <v>1.27</v>
      </c>
      <c r="AJ259" s="10">
        <v>1.27</v>
      </c>
      <c r="AK259" s="10">
        <v>0.97</v>
      </c>
      <c r="AL259" s="10">
        <v>0.97</v>
      </c>
      <c r="AM259" s="10">
        <v>0.97</v>
      </c>
      <c r="AN259" s="149">
        <v>0.97</v>
      </c>
      <c r="AP259" s="118">
        <f t="shared" si="1"/>
        <v>0</v>
      </c>
      <c r="AR259" s="118">
        <f t="shared" si="2"/>
        <v>0</v>
      </c>
      <c r="AT259" s="127">
        <f t="shared" ref="AT259:AT268" si="70">AE259*AS259</f>
        <v>0</v>
      </c>
      <c r="AU259" s="5"/>
      <c r="AV259" s="118">
        <f t="shared" ref="AV259:AV268" si="71">AF259*AU259</f>
        <v>0</v>
      </c>
      <c r="AW259" s="5"/>
      <c r="AX259" s="118">
        <f t="shared" si="69"/>
        <v>0</v>
      </c>
      <c r="AY259" s="5"/>
      <c r="AZ259" s="127">
        <f t="shared" si="6"/>
        <v>0</v>
      </c>
      <c r="BA259" s="5">
        <v>240</v>
      </c>
      <c r="BB259" s="118">
        <f t="shared" si="67"/>
        <v>304.8</v>
      </c>
      <c r="BC259" s="105">
        <v>40</v>
      </c>
      <c r="BD259" s="118">
        <f t="shared" si="68"/>
        <v>50.8</v>
      </c>
      <c r="BE259" s="105">
        <v>0</v>
      </c>
      <c r="BF259" s="127">
        <f t="shared" si="9"/>
        <v>0</v>
      </c>
      <c r="BG259" s="105">
        <v>0</v>
      </c>
      <c r="BH259" s="118">
        <f t="shared" si="66"/>
        <v>0</v>
      </c>
      <c r="BI259" s="105">
        <v>0</v>
      </c>
      <c r="BJ259" s="118">
        <f t="shared" si="11"/>
        <v>0</v>
      </c>
      <c r="BK259" s="105">
        <v>0</v>
      </c>
      <c r="BL259" s="127">
        <f t="shared" si="12"/>
        <v>0</v>
      </c>
      <c r="BM259" s="220" t="s">
        <v>771</v>
      </c>
      <c r="BO259" s="1" t="s">
        <v>539</v>
      </c>
      <c r="BP259" s="220" t="s">
        <v>760</v>
      </c>
      <c r="BQ259" s="233"/>
      <c r="BR259" s="234"/>
    </row>
    <row r="260" spans="1:70">
      <c r="A260" s="219" t="s">
        <v>451</v>
      </c>
      <c r="B260" s="213" t="s">
        <v>267</v>
      </c>
      <c r="C260" s="66" t="s">
        <v>175</v>
      </c>
      <c r="D260" s="287"/>
      <c r="E260" s="103" t="s">
        <v>176</v>
      </c>
      <c r="F260" s="281"/>
      <c r="G260" s="71" t="s">
        <v>202</v>
      </c>
      <c r="H260" s="70" t="s">
        <v>276</v>
      </c>
      <c r="I260" s="70" t="s">
        <v>180</v>
      </c>
      <c r="J260" s="71" t="s">
        <v>193</v>
      </c>
      <c r="K260" s="70" t="s">
        <v>181</v>
      </c>
      <c r="L260" s="69" t="s">
        <v>387</v>
      </c>
      <c r="M260" s="83" t="s">
        <v>731</v>
      </c>
      <c r="N260" s="68">
        <v>4.4300000000000006</v>
      </c>
      <c r="O260" s="68">
        <v>5.7</v>
      </c>
      <c r="P260" s="144">
        <v>5.7</v>
      </c>
      <c r="Q260" s="144">
        <v>5.7</v>
      </c>
      <c r="R260" s="144">
        <v>5.7</v>
      </c>
      <c r="S260" s="144">
        <v>5.7</v>
      </c>
      <c r="T260" s="144">
        <v>5.7</v>
      </c>
      <c r="U260" s="144">
        <v>5.7</v>
      </c>
      <c r="V260" s="144">
        <v>5.7</v>
      </c>
      <c r="W260" s="144">
        <v>5.7</v>
      </c>
      <c r="X260" s="144">
        <v>5.4</v>
      </c>
      <c r="Y260" s="144">
        <v>5.4</v>
      </c>
      <c r="Z260" s="144">
        <v>5.4</v>
      </c>
      <c r="AA260" s="58">
        <v>5.4</v>
      </c>
      <c r="AB260" s="58">
        <v>1.27</v>
      </c>
      <c r="AC260" s="10">
        <v>1.27</v>
      </c>
      <c r="AD260" s="10">
        <v>1.27</v>
      </c>
      <c r="AE260" s="10">
        <v>1.27</v>
      </c>
      <c r="AF260" s="10">
        <v>1.27</v>
      </c>
      <c r="AG260" s="10">
        <v>1.27</v>
      </c>
      <c r="AH260" s="10">
        <v>1.27</v>
      </c>
      <c r="AI260" s="10">
        <v>1.27</v>
      </c>
      <c r="AJ260" s="10">
        <v>1.27</v>
      </c>
      <c r="AK260" s="10">
        <v>0.97</v>
      </c>
      <c r="AL260" s="10">
        <v>0.97</v>
      </c>
      <c r="AM260" s="10">
        <v>0.97</v>
      </c>
      <c r="AN260" s="149">
        <v>0.97</v>
      </c>
      <c r="AP260" s="118">
        <f t="shared" si="1"/>
        <v>0</v>
      </c>
      <c r="AR260" s="118">
        <f t="shared" si="2"/>
        <v>0</v>
      </c>
      <c r="AT260" s="127">
        <f t="shared" si="70"/>
        <v>0</v>
      </c>
      <c r="AU260" s="5"/>
      <c r="AV260" s="118">
        <f t="shared" si="71"/>
        <v>0</v>
      </c>
      <c r="AW260" s="5"/>
      <c r="AX260" s="118">
        <f t="shared" si="69"/>
        <v>0</v>
      </c>
      <c r="AY260" s="5"/>
      <c r="AZ260" s="127">
        <f t="shared" si="6"/>
        <v>0</v>
      </c>
      <c r="BA260" s="5">
        <v>0</v>
      </c>
      <c r="BB260" s="118">
        <f t="shared" si="67"/>
        <v>0</v>
      </c>
      <c r="BC260" s="105">
        <v>0</v>
      </c>
      <c r="BD260" s="118">
        <f t="shared" si="68"/>
        <v>0</v>
      </c>
      <c r="BE260" s="5">
        <v>0</v>
      </c>
      <c r="BF260" s="127">
        <f t="shared" si="9"/>
        <v>0</v>
      </c>
      <c r="BG260" s="105">
        <v>0</v>
      </c>
      <c r="BH260" s="118">
        <f t="shared" si="66"/>
        <v>0</v>
      </c>
      <c r="BI260" s="105">
        <v>0</v>
      </c>
      <c r="BJ260" s="118">
        <f t="shared" ref="BJ260:BJ268" si="72">AM260*BI260</f>
        <v>0</v>
      </c>
      <c r="BK260" s="105">
        <v>0</v>
      </c>
      <c r="BL260" s="127">
        <f t="shared" si="12"/>
        <v>0</v>
      </c>
      <c r="BM260" s="220" t="s">
        <v>771</v>
      </c>
      <c r="BO260" s="1" t="s">
        <v>539</v>
      </c>
      <c r="BP260" s="220" t="s">
        <v>761</v>
      </c>
      <c r="BQ260" s="233"/>
      <c r="BR260" s="234"/>
    </row>
    <row r="261" spans="1:70">
      <c r="A261" s="219" t="s">
        <v>451</v>
      </c>
      <c r="B261" s="213" t="s">
        <v>267</v>
      </c>
      <c r="C261" s="66" t="s">
        <v>175</v>
      </c>
      <c r="D261" s="287"/>
      <c r="E261" s="103" t="s">
        <v>176</v>
      </c>
      <c r="F261" s="281"/>
      <c r="G261" s="71" t="s">
        <v>202</v>
      </c>
      <c r="H261" s="70" t="s">
        <v>276</v>
      </c>
      <c r="I261" s="70" t="s">
        <v>180</v>
      </c>
      <c r="J261" s="71" t="s">
        <v>193</v>
      </c>
      <c r="K261" s="70" t="s">
        <v>181</v>
      </c>
      <c r="L261" s="69" t="s">
        <v>387</v>
      </c>
      <c r="M261" s="83" t="s">
        <v>731</v>
      </c>
      <c r="N261" s="68">
        <v>4.4300000000000006</v>
      </c>
      <c r="O261" s="68">
        <v>5.7</v>
      </c>
      <c r="P261" s="144">
        <v>5.7</v>
      </c>
      <c r="Q261" s="144">
        <v>5.7</v>
      </c>
      <c r="R261" s="144">
        <v>5.7</v>
      </c>
      <c r="S261" s="144">
        <v>5.7</v>
      </c>
      <c r="T261" s="144">
        <v>5.7</v>
      </c>
      <c r="U261" s="144">
        <v>5.7</v>
      </c>
      <c r="V261" s="144">
        <v>5.7</v>
      </c>
      <c r="W261" s="144">
        <v>5.7</v>
      </c>
      <c r="X261" s="144">
        <v>5.4</v>
      </c>
      <c r="Y261" s="144">
        <v>5.4</v>
      </c>
      <c r="Z261" s="144">
        <v>5.4</v>
      </c>
      <c r="AA261" s="58">
        <v>5.4</v>
      </c>
      <c r="AB261" s="58">
        <v>1.27</v>
      </c>
      <c r="AC261" s="10">
        <v>1.27</v>
      </c>
      <c r="AD261" s="10">
        <v>1.27</v>
      </c>
      <c r="AE261" s="10">
        <v>1.27</v>
      </c>
      <c r="AF261" s="10">
        <v>1.27</v>
      </c>
      <c r="AG261" s="10">
        <v>1.27</v>
      </c>
      <c r="AH261" s="10">
        <v>1.27</v>
      </c>
      <c r="AI261" s="10">
        <v>1.27</v>
      </c>
      <c r="AJ261" s="10">
        <v>1.27</v>
      </c>
      <c r="AK261" s="10">
        <v>0.97</v>
      </c>
      <c r="AL261" s="10">
        <v>0.97</v>
      </c>
      <c r="AM261" s="10">
        <v>0.97</v>
      </c>
      <c r="AN261" s="149">
        <v>0.97</v>
      </c>
      <c r="AP261" s="118">
        <f t="shared" si="1"/>
        <v>0</v>
      </c>
      <c r="AR261" s="118">
        <f t="shared" si="2"/>
        <v>0</v>
      </c>
      <c r="AT261" s="127">
        <f t="shared" si="70"/>
        <v>0</v>
      </c>
      <c r="AU261" s="5"/>
      <c r="AV261" s="118">
        <f t="shared" si="71"/>
        <v>0</v>
      </c>
      <c r="AW261" s="5"/>
      <c r="AX261" s="118">
        <f t="shared" si="69"/>
        <v>0</v>
      </c>
      <c r="AY261" s="5"/>
      <c r="AZ261" s="127">
        <f t="shared" si="6"/>
        <v>0</v>
      </c>
      <c r="BA261" s="5">
        <v>0</v>
      </c>
      <c r="BB261" s="118">
        <f t="shared" si="67"/>
        <v>0</v>
      </c>
      <c r="BC261" s="105">
        <v>0</v>
      </c>
      <c r="BD261" s="118">
        <f t="shared" si="68"/>
        <v>0</v>
      </c>
      <c r="BE261" s="5">
        <v>0</v>
      </c>
      <c r="BF261" s="127">
        <f t="shared" si="9"/>
        <v>0</v>
      </c>
      <c r="BG261" s="105">
        <v>0</v>
      </c>
      <c r="BH261" s="118">
        <f t="shared" si="66"/>
        <v>0</v>
      </c>
      <c r="BI261" s="105">
        <v>0</v>
      </c>
      <c r="BJ261" s="118">
        <f t="shared" si="72"/>
        <v>0</v>
      </c>
      <c r="BK261" s="105">
        <v>0</v>
      </c>
      <c r="BL261" s="127">
        <f t="shared" si="12"/>
        <v>0</v>
      </c>
      <c r="BM261" s="220" t="s">
        <v>771</v>
      </c>
      <c r="BO261" s="1" t="s">
        <v>539</v>
      </c>
      <c r="BP261" s="220" t="s">
        <v>762</v>
      </c>
      <c r="BQ261" s="233"/>
      <c r="BR261" s="234"/>
    </row>
    <row r="262" spans="1:70">
      <c r="A262" s="219" t="s">
        <v>451</v>
      </c>
      <c r="B262" s="213" t="s">
        <v>267</v>
      </c>
      <c r="C262" s="66" t="s">
        <v>175</v>
      </c>
      <c r="D262" s="287"/>
      <c r="E262" s="103" t="s">
        <v>176</v>
      </c>
      <c r="F262" s="281"/>
      <c r="G262" s="71" t="s">
        <v>202</v>
      </c>
      <c r="H262" s="70" t="s">
        <v>276</v>
      </c>
      <c r="I262" s="70" t="s">
        <v>180</v>
      </c>
      <c r="J262" s="71" t="s">
        <v>193</v>
      </c>
      <c r="K262" s="70" t="s">
        <v>181</v>
      </c>
      <c r="L262" s="69" t="s">
        <v>387</v>
      </c>
      <c r="M262" s="83" t="s">
        <v>731</v>
      </c>
      <c r="N262" s="68">
        <v>4.4300000000000006</v>
      </c>
      <c r="O262" s="68">
        <v>5.7</v>
      </c>
      <c r="P262" s="144">
        <v>5.7</v>
      </c>
      <c r="Q262" s="144">
        <v>5.7</v>
      </c>
      <c r="R262" s="144">
        <v>5.7</v>
      </c>
      <c r="S262" s="144">
        <v>5.7</v>
      </c>
      <c r="T262" s="144">
        <v>5.7</v>
      </c>
      <c r="U262" s="144">
        <v>5.7</v>
      </c>
      <c r="V262" s="144">
        <v>5.7</v>
      </c>
      <c r="W262" s="144">
        <v>5.7</v>
      </c>
      <c r="X262" s="144">
        <v>5.4</v>
      </c>
      <c r="Y262" s="144">
        <v>5.4</v>
      </c>
      <c r="Z262" s="144">
        <v>5.4</v>
      </c>
      <c r="AA262" s="58">
        <v>5.4</v>
      </c>
      <c r="AB262" s="58">
        <v>1.27</v>
      </c>
      <c r="AC262" s="10">
        <v>1.27</v>
      </c>
      <c r="AD262" s="10">
        <v>1.27</v>
      </c>
      <c r="AE262" s="10">
        <v>1.27</v>
      </c>
      <c r="AF262" s="10">
        <v>1.27</v>
      </c>
      <c r="AG262" s="10">
        <v>1.27</v>
      </c>
      <c r="AH262" s="10">
        <v>1.27</v>
      </c>
      <c r="AI262" s="10">
        <v>1.27</v>
      </c>
      <c r="AJ262" s="10">
        <v>1.27</v>
      </c>
      <c r="AK262" s="10">
        <v>0.97</v>
      </c>
      <c r="AL262" s="10">
        <v>0.97</v>
      </c>
      <c r="AM262" s="10">
        <v>0.97</v>
      </c>
      <c r="AN262" s="149">
        <v>0.97</v>
      </c>
      <c r="AP262" s="118">
        <f t="shared" si="1"/>
        <v>0</v>
      </c>
      <c r="AR262" s="118">
        <f t="shared" ref="AR262:AR268" si="73">AD262*AQ262</f>
        <v>0</v>
      </c>
      <c r="AT262" s="127">
        <f t="shared" si="70"/>
        <v>0</v>
      </c>
      <c r="AU262" s="5"/>
      <c r="AV262" s="118">
        <f t="shared" si="71"/>
        <v>0</v>
      </c>
      <c r="AW262" s="5"/>
      <c r="AX262" s="118">
        <f t="shared" si="69"/>
        <v>0</v>
      </c>
      <c r="AY262" s="5"/>
      <c r="AZ262" s="127">
        <f t="shared" si="6"/>
        <v>0</v>
      </c>
      <c r="BA262" s="5">
        <v>0</v>
      </c>
      <c r="BB262" s="118">
        <f t="shared" si="67"/>
        <v>0</v>
      </c>
      <c r="BC262" s="105">
        <v>0</v>
      </c>
      <c r="BD262" s="118">
        <f t="shared" si="68"/>
        <v>0</v>
      </c>
      <c r="BE262" s="5">
        <v>0</v>
      </c>
      <c r="BF262" s="127">
        <f t="shared" si="9"/>
        <v>0</v>
      </c>
      <c r="BG262" s="105">
        <v>0</v>
      </c>
      <c r="BH262" s="118">
        <f t="shared" si="66"/>
        <v>0</v>
      </c>
      <c r="BI262" s="105">
        <v>0</v>
      </c>
      <c r="BJ262" s="118">
        <f t="shared" si="72"/>
        <v>0</v>
      </c>
      <c r="BK262" s="105">
        <v>0</v>
      </c>
      <c r="BL262" s="127">
        <f t="shared" si="12"/>
        <v>0</v>
      </c>
      <c r="BM262" s="220" t="s">
        <v>771</v>
      </c>
      <c r="BO262" s="1" t="s">
        <v>539</v>
      </c>
      <c r="BP262" s="220" t="s">
        <v>763</v>
      </c>
      <c r="BQ262" s="233"/>
      <c r="BR262" s="234"/>
    </row>
    <row r="263" spans="1:70">
      <c r="A263" s="219" t="s">
        <v>451</v>
      </c>
      <c r="B263" s="213" t="s">
        <v>267</v>
      </c>
      <c r="C263" s="66" t="s">
        <v>175</v>
      </c>
      <c r="D263" s="287"/>
      <c r="E263" s="103" t="s">
        <v>176</v>
      </c>
      <c r="F263" s="281"/>
      <c r="G263" s="71" t="s">
        <v>202</v>
      </c>
      <c r="H263" s="70" t="s">
        <v>276</v>
      </c>
      <c r="I263" s="70" t="s">
        <v>180</v>
      </c>
      <c r="J263" s="71" t="s">
        <v>193</v>
      </c>
      <c r="K263" s="70" t="s">
        <v>715</v>
      </c>
      <c r="L263" s="69" t="s">
        <v>387</v>
      </c>
      <c r="M263" s="83" t="s">
        <v>731</v>
      </c>
      <c r="N263" s="68">
        <v>2.85</v>
      </c>
      <c r="O263" s="68">
        <v>3.65</v>
      </c>
      <c r="P263" s="144">
        <v>3.65</v>
      </c>
      <c r="Q263" s="144">
        <v>3.65</v>
      </c>
      <c r="R263" s="144">
        <v>3.65</v>
      </c>
      <c r="S263" s="144">
        <v>3.65</v>
      </c>
      <c r="T263" s="144">
        <v>3.65</v>
      </c>
      <c r="U263" s="144">
        <v>3.65</v>
      </c>
      <c r="V263" s="144">
        <v>3.65</v>
      </c>
      <c r="W263" s="144">
        <v>3.65</v>
      </c>
      <c r="X263" s="144">
        <v>3.5</v>
      </c>
      <c r="Y263" s="144">
        <v>3.5</v>
      </c>
      <c r="Z263" s="144">
        <v>3.5</v>
      </c>
      <c r="AA263" s="58">
        <v>3.5</v>
      </c>
      <c r="AB263" s="58">
        <v>0.77</v>
      </c>
      <c r="AC263" s="10">
        <v>0.77</v>
      </c>
      <c r="AD263" s="10">
        <v>0.77</v>
      </c>
      <c r="AE263" s="10">
        <v>0.77</v>
      </c>
      <c r="AF263" s="10">
        <v>0.77</v>
      </c>
      <c r="AG263" s="10">
        <v>0.77</v>
      </c>
      <c r="AH263" s="10">
        <v>0.77</v>
      </c>
      <c r="AI263" s="10">
        <v>0.77</v>
      </c>
      <c r="AJ263" s="10">
        <v>0.77</v>
      </c>
      <c r="AK263" s="10">
        <v>0.65</v>
      </c>
      <c r="AL263" s="10">
        <v>0.65</v>
      </c>
      <c r="AM263" s="10">
        <v>0.65</v>
      </c>
      <c r="AN263" s="149">
        <v>0.65</v>
      </c>
      <c r="AO263" s="5">
        <v>880</v>
      </c>
      <c r="AP263" s="118">
        <f t="shared" si="1"/>
        <v>677.6</v>
      </c>
      <c r="AQ263" s="5">
        <v>4560</v>
      </c>
      <c r="AR263" s="118">
        <f t="shared" si="73"/>
        <v>3511.2000000000003</v>
      </c>
      <c r="AS263" s="5">
        <v>1320</v>
      </c>
      <c r="AT263" s="127">
        <f t="shared" si="70"/>
        <v>1016.4</v>
      </c>
      <c r="AU263" s="5">
        <v>0</v>
      </c>
      <c r="AV263" s="118">
        <f t="shared" si="71"/>
        <v>0</v>
      </c>
      <c r="AW263" s="5">
        <v>0</v>
      </c>
      <c r="AX263" s="118">
        <f t="shared" si="69"/>
        <v>0</v>
      </c>
      <c r="AY263" s="5">
        <v>0</v>
      </c>
      <c r="AZ263" s="127">
        <f t="shared" si="6"/>
        <v>0</v>
      </c>
      <c r="BA263" s="5">
        <v>0</v>
      </c>
      <c r="BB263" s="118">
        <f t="shared" si="67"/>
        <v>0</v>
      </c>
      <c r="BC263" s="105">
        <v>0</v>
      </c>
      <c r="BD263" s="118">
        <f t="shared" si="68"/>
        <v>0</v>
      </c>
      <c r="BE263" s="5">
        <v>0</v>
      </c>
      <c r="BF263" s="127">
        <f t="shared" si="9"/>
        <v>0</v>
      </c>
      <c r="BG263" s="105">
        <v>0</v>
      </c>
      <c r="BH263" s="118">
        <f t="shared" si="66"/>
        <v>0</v>
      </c>
      <c r="BI263" s="105">
        <v>0</v>
      </c>
      <c r="BJ263" s="118">
        <f t="shared" si="72"/>
        <v>0</v>
      </c>
      <c r="BK263" s="105">
        <v>0</v>
      </c>
      <c r="BL263" s="127">
        <f t="shared" si="12"/>
        <v>0</v>
      </c>
      <c r="BM263" s="220" t="s">
        <v>772</v>
      </c>
      <c r="BO263" s="1" t="s">
        <v>539</v>
      </c>
      <c r="BP263" s="220" t="s">
        <v>765</v>
      </c>
      <c r="BQ263" s="233"/>
      <c r="BR263" s="234"/>
    </row>
    <row r="264" spans="1:70">
      <c r="A264" s="219" t="s">
        <v>451</v>
      </c>
      <c r="B264" s="213" t="s">
        <v>267</v>
      </c>
      <c r="C264" s="66" t="s">
        <v>175</v>
      </c>
      <c r="D264" s="287"/>
      <c r="E264" s="103" t="s">
        <v>176</v>
      </c>
      <c r="F264" s="281"/>
      <c r="G264" s="71" t="s">
        <v>202</v>
      </c>
      <c r="H264" s="70" t="s">
        <v>276</v>
      </c>
      <c r="I264" s="70" t="s">
        <v>180</v>
      </c>
      <c r="J264" s="71" t="s">
        <v>193</v>
      </c>
      <c r="K264" s="70" t="s">
        <v>715</v>
      </c>
      <c r="L264" s="69" t="s">
        <v>387</v>
      </c>
      <c r="M264" s="83" t="s">
        <v>731</v>
      </c>
      <c r="N264" s="68">
        <v>2.85</v>
      </c>
      <c r="O264" s="68">
        <v>3.65</v>
      </c>
      <c r="P264" s="144">
        <v>3.65</v>
      </c>
      <c r="Q264" s="144">
        <v>3.65</v>
      </c>
      <c r="R264" s="144">
        <v>3.65</v>
      </c>
      <c r="S264" s="144">
        <v>3.65</v>
      </c>
      <c r="T264" s="144">
        <v>3.65</v>
      </c>
      <c r="U264" s="144">
        <v>3.65</v>
      </c>
      <c r="V264" s="144">
        <v>3.65</v>
      </c>
      <c r="W264" s="144">
        <v>3.65</v>
      </c>
      <c r="X264" s="144">
        <v>3.5</v>
      </c>
      <c r="Y264" s="144">
        <v>3.5</v>
      </c>
      <c r="Z264" s="144">
        <v>3.5</v>
      </c>
      <c r="AA264" s="58">
        <v>3.5</v>
      </c>
      <c r="AB264" s="58">
        <v>0.77</v>
      </c>
      <c r="AC264" s="10">
        <v>0.77</v>
      </c>
      <c r="AD264" s="10">
        <v>0.77</v>
      </c>
      <c r="AE264" s="10">
        <v>0.77</v>
      </c>
      <c r="AF264" s="10">
        <v>0.77</v>
      </c>
      <c r="AG264" s="10">
        <v>0.77</v>
      </c>
      <c r="AH264" s="10">
        <v>0.77</v>
      </c>
      <c r="AI264" s="10">
        <v>0.77</v>
      </c>
      <c r="AJ264" s="10">
        <v>0.77</v>
      </c>
      <c r="AK264" s="10">
        <v>0.65</v>
      </c>
      <c r="AL264" s="10">
        <v>0.65</v>
      </c>
      <c r="AM264" s="10">
        <v>0.65</v>
      </c>
      <c r="AN264" s="149">
        <v>0.65</v>
      </c>
      <c r="AP264" s="118">
        <f t="shared" si="1"/>
        <v>0</v>
      </c>
      <c r="AR264" s="118">
        <f t="shared" si="73"/>
        <v>0</v>
      </c>
      <c r="AT264" s="127">
        <f t="shared" si="70"/>
        <v>0</v>
      </c>
      <c r="AU264" s="5"/>
      <c r="AV264" s="118">
        <f t="shared" si="71"/>
        <v>0</v>
      </c>
      <c r="AW264" s="5"/>
      <c r="AX264" s="118">
        <f t="shared" si="69"/>
        <v>0</v>
      </c>
      <c r="AY264" s="5"/>
      <c r="AZ264" s="127">
        <f t="shared" si="6"/>
        <v>0</v>
      </c>
      <c r="BA264" s="5">
        <v>1160</v>
      </c>
      <c r="BB264" s="118">
        <f t="shared" si="67"/>
        <v>893.2</v>
      </c>
      <c r="BC264" s="105">
        <v>0</v>
      </c>
      <c r="BD264" s="118">
        <f t="shared" si="68"/>
        <v>0</v>
      </c>
      <c r="BE264" s="5">
        <v>0</v>
      </c>
      <c r="BF264" s="127">
        <f t="shared" si="9"/>
        <v>0</v>
      </c>
      <c r="BG264" s="105">
        <v>4520</v>
      </c>
      <c r="BH264" s="118">
        <f t="shared" si="66"/>
        <v>2938</v>
      </c>
      <c r="BI264" s="105">
        <v>0</v>
      </c>
      <c r="BJ264" s="118">
        <f t="shared" si="72"/>
        <v>0</v>
      </c>
      <c r="BK264" s="105">
        <v>0</v>
      </c>
      <c r="BL264" s="127">
        <f t="shared" si="12"/>
        <v>0</v>
      </c>
      <c r="BM264" s="220" t="s">
        <v>772</v>
      </c>
      <c r="BO264" s="1" t="s">
        <v>539</v>
      </c>
      <c r="BP264" s="220" t="s">
        <v>766</v>
      </c>
      <c r="BQ264" s="233"/>
      <c r="BR264" s="234"/>
    </row>
    <row r="265" spans="1:70">
      <c r="A265" s="219" t="s">
        <v>451</v>
      </c>
      <c r="B265" s="213" t="s">
        <v>267</v>
      </c>
      <c r="C265" s="66" t="s">
        <v>175</v>
      </c>
      <c r="D265" s="287"/>
      <c r="E265" s="103" t="s">
        <v>176</v>
      </c>
      <c r="F265" s="281"/>
      <c r="G265" s="71" t="s">
        <v>202</v>
      </c>
      <c r="H265" s="70" t="s">
        <v>276</v>
      </c>
      <c r="I265" s="70" t="s">
        <v>180</v>
      </c>
      <c r="J265" s="71" t="s">
        <v>193</v>
      </c>
      <c r="K265" s="70" t="s">
        <v>715</v>
      </c>
      <c r="L265" s="69" t="s">
        <v>387</v>
      </c>
      <c r="M265" s="83" t="s">
        <v>731</v>
      </c>
      <c r="N265" s="68">
        <v>2.85</v>
      </c>
      <c r="O265" s="68">
        <v>3.65</v>
      </c>
      <c r="P265" s="144">
        <v>3.65</v>
      </c>
      <c r="Q265" s="144">
        <v>3.65</v>
      </c>
      <c r="R265" s="144">
        <v>3.65</v>
      </c>
      <c r="S265" s="144">
        <v>3.65</v>
      </c>
      <c r="T265" s="144">
        <v>3.65</v>
      </c>
      <c r="U265" s="144">
        <v>3.65</v>
      </c>
      <c r="V265" s="144">
        <v>3.65</v>
      </c>
      <c r="W265" s="144">
        <v>3.65</v>
      </c>
      <c r="X265" s="144">
        <v>3.5</v>
      </c>
      <c r="Y265" s="144">
        <v>3.5</v>
      </c>
      <c r="Z265" s="144">
        <v>3.5</v>
      </c>
      <c r="AA265" s="58">
        <v>3.5</v>
      </c>
      <c r="AB265" s="58">
        <v>0.77</v>
      </c>
      <c r="AC265" s="10">
        <v>0.77</v>
      </c>
      <c r="AD265" s="10">
        <v>0.77</v>
      </c>
      <c r="AE265" s="10">
        <v>0.77</v>
      </c>
      <c r="AF265" s="10">
        <v>0.77</v>
      </c>
      <c r="AG265" s="10">
        <v>0.77</v>
      </c>
      <c r="AH265" s="10">
        <v>0.77</v>
      </c>
      <c r="AI265" s="10">
        <v>0.77</v>
      </c>
      <c r="AJ265" s="10">
        <v>0.77</v>
      </c>
      <c r="AK265" s="10">
        <v>0.65</v>
      </c>
      <c r="AL265" s="10">
        <v>0.65</v>
      </c>
      <c r="AM265" s="10">
        <v>0.65</v>
      </c>
      <c r="AN265" s="149">
        <v>0.65</v>
      </c>
      <c r="AP265" s="118">
        <f t="shared" si="1"/>
        <v>0</v>
      </c>
      <c r="AR265" s="118">
        <f t="shared" si="73"/>
        <v>0</v>
      </c>
      <c r="AT265" s="127">
        <f t="shared" si="70"/>
        <v>0</v>
      </c>
      <c r="AU265" s="5"/>
      <c r="AV265" s="118">
        <f t="shared" si="71"/>
        <v>0</v>
      </c>
      <c r="AW265" s="5"/>
      <c r="AX265" s="118">
        <f t="shared" si="69"/>
        <v>0</v>
      </c>
      <c r="AY265" s="5"/>
      <c r="AZ265" s="127">
        <f t="shared" si="6"/>
        <v>0</v>
      </c>
      <c r="BA265" s="5">
        <v>0</v>
      </c>
      <c r="BB265" s="118">
        <f t="shared" si="67"/>
        <v>0</v>
      </c>
      <c r="BC265" s="105">
        <v>0</v>
      </c>
      <c r="BD265" s="118">
        <f t="shared" si="68"/>
        <v>0</v>
      </c>
      <c r="BE265" s="5">
        <v>0</v>
      </c>
      <c r="BF265" s="127">
        <f t="shared" si="9"/>
        <v>0</v>
      </c>
      <c r="BG265" s="105">
        <v>0</v>
      </c>
      <c r="BH265" s="118">
        <f t="shared" si="66"/>
        <v>0</v>
      </c>
      <c r="BI265" s="105">
        <v>0</v>
      </c>
      <c r="BJ265" s="118">
        <f t="shared" si="72"/>
        <v>0</v>
      </c>
      <c r="BK265" s="105">
        <v>0</v>
      </c>
      <c r="BL265" s="127">
        <f t="shared" si="12"/>
        <v>0</v>
      </c>
      <c r="BM265" s="220" t="s">
        <v>772</v>
      </c>
      <c r="BO265" s="1" t="s">
        <v>539</v>
      </c>
      <c r="BP265" s="220" t="s">
        <v>767</v>
      </c>
      <c r="BQ265" s="233"/>
      <c r="BR265" s="234"/>
    </row>
    <row r="266" spans="1:70">
      <c r="A266" s="219" t="s">
        <v>451</v>
      </c>
      <c r="B266" s="213" t="s">
        <v>267</v>
      </c>
      <c r="C266" s="66" t="s">
        <v>175</v>
      </c>
      <c r="D266" s="287"/>
      <c r="E266" s="103" t="s">
        <v>176</v>
      </c>
      <c r="F266" s="281"/>
      <c r="G266" s="71" t="s">
        <v>202</v>
      </c>
      <c r="H266" s="70" t="s">
        <v>276</v>
      </c>
      <c r="I266" s="70" t="s">
        <v>180</v>
      </c>
      <c r="J266" s="71" t="s">
        <v>193</v>
      </c>
      <c r="K266" s="70" t="s">
        <v>715</v>
      </c>
      <c r="L266" s="69" t="s">
        <v>387</v>
      </c>
      <c r="M266" s="83" t="s">
        <v>731</v>
      </c>
      <c r="N266" s="68">
        <v>2.85</v>
      </c>
      <c r="O266" s="68">
        <v>3.65</v>
      </c>
      <c r="P266" s="144">
        <v>3.65</v>
      </c>
      <c r="Q266" s="144">
        <v>3.65</v>
      </c>
      <c r="R266" s="144">
        <v>3.65</v>
      </c>
      <c r="S266" s="144">
        <v>3.65</v>
      </c>
      <c r="T266" s="144">
        <v>3.65</v>
      </c>
      <c r="U266" s="144">
        <v>3.65</v>
      </c>
      <c r="V266" s="144">
        <v>3.65</v>
      </c>
      <c r="W266" s="144">
        <v>3.65</v>
      </c>
      <c r="X266" s="144">
        <v>3.5</v>
      </c>
      <c r="Y266" s="144">
        <v>3.5</v>
      </c>
      <c r="Z266" s="144">
        <v>3.5</v>
      </c>
      <c r="AA266" s="58">
        <v>3.5</v>
      </c>
      <c r="AB266" s="58">
        <v>0.77</v>
      </c>
      <c r="AC266" s="10">
        <v>0.77</v>
      </c>
      <c r="AD266" s="10">
        <v>0.77</v>
      </c>
      <c r="AE266" s="10">
        <v>0.77</v>
      </c>
      <c r="AF266" s="10">
        <v>0.77</v>
      </c>
      <c r="AG266" s="10">
        <v>0.77</v>
      </c>
      <c r="AH266" s="10">
        <v>0.77</v>
      </c>
      <c r="AI266" s="10">
        <v>0.77</v>
      </c>
      <c r="AJ266" s="10">
        <v>0.77</v>
      </c>
      <c r="AK266" s="10">
        <v>0.65</v>
      </c>
      <c r="AL266" s="10">
        <v>0.65</v>
      </c>
      <c r="AM266" s="10">
        <v>0.65</v>
      </c>
      <c r="AN266" s="149">
        <v>0.65</v>
      </c>
      <c r="AP266" s="118">
        <f t="shared" si="1"/>
        <v>0</v>
      </c>
      <c r="AR266" s="118">
        <f t="shared" si="73"/>
        <v>0</v>
      </c>
      <c r="AT266" s="127">
        <f t="shared" si="70"/>
        <v>0</v>
      </c>
      <c r="AU266" s="5"/>
      <c r="AV266" s="118">
        <f t="shared" si="71"/>
        <v>0</v>
      </c>
      <c r="AW266" s="5"/>
      <c r="AX266" s="118">
        <f t="shared" si="69"/>
        <v>0</v>
      </c>
      <c r="AY266" s="5"/>
      <c r="AZ266" s="127">
        <f t="shared" si="6"/>
        <v>0</v>
      </c>
      <c r="BA266" s="5">
        <v>0</v>
      </c>
      <c r="BB266" s="118">
        <f t="shared" si="67"/>
        <v>0</v>
      </c>
      <c r="BC266" s="105">
        <v>0</v>
      </c>
      <c r="BD266" s="118">
        <f t="shared" si="68"/>
        <v>0</v>
      </c>
      <c r="BE266" s="5">
        <v>0</v>
      </c>
      <c r="BF266" s="127">
        <f t="shared" si="9"/>
        <v>0</v>
      </c>
      <c r="BG266" s="105">
        <v>0</v>
      </c>
      <c r="BH266" s="118">
        <f t="shared" si="66"/>
        <v>0</v>
      </c>
      <c r="BI266" s="105">
        <v>0</v>
      </c>
      <c r="BJ266" s="118">
        <f t="shared" si="72"/>
        <v>0</v>
      </c>
      <c r="BK266" s="105">
        <v>0</v>
      </c>
      <c r="BL266" s="127">
        <f t="shared" si="12"/>
        <v>0</v>
      </c>
      <c r="BM266" s="220" t="s">
        <v>772</v>
      </c>
      <c r="BO266" s="1" t="s">
        <v>539</v>
      </c>
      <c r="BP266" s="220" t="s">
        <v>768</v>
      </c>
      <c r="BQ266" s="233"/>
      <c r="BR266" s="234"/>
    </row>
    <row r="267" spans="1:70">
      <c r="A267" s="219" t="s">
        <v>451</v>
      </c>
      <c r="B267" s="213" t="s">
        <v>267</v>
      </c>
      <c r="C267" s="66" t="s">
        <v>175</v>
      </c>
      <c r="D267" s="287"/>
      <c r="E267" s="103" t="s">
        <v>176</v>
      </c>
      <c r="F267" s="281"/>
      <c r="G267" s="71" t="s">
        <v>202</v>
      </c>
      <c r="H267" s="70" t="s">
        <v>276</v>
      </c>
      <c r="I267" s="70" t="s">
        <v>180</v>
      </c>
      <c r="J267" s="71" t="s">
        <v>193</v>
      </c>
      <c r="K267" s="70" t="s">
        <v>715</v>
      </c>
      <c r="L267" s="69" t="s">
        <v>387</v>
      </c>
      <c r="M267" s="83" t="s">
        <v>731</v>
      </c>
      <c r="N267" s="68">
        <v>2.85</v>
      </c>
      <c r="O267" s="68">
        <v>3.65</v>
      </c>
      <c r="P267" s="144">
        <v>3.65</v>
      </c>
      <c r="Q267" s="144">
        <v>3.65</v>
      </c>
      <c r="R267" s="144">
        <v>3.65</v>
      </c>
      <c r="S267" s="144">
        <v>3.65</v>
      </c>
      <c r="T267" s="144">
        <v>3.65</v>
      </c>
      <c r="U267" s="144">
        <v>3.65</v>
      </c>
      <c r="V267" s="144">
        <v>3.65</v>
      </c>
      <c r="W267" s="144">
        <v>3.65</v>
      </c>
      <c r="X267" s="144">
        <v>3.5</v>
      </c>
      <c r="Y267" s="144">
        <v>3.5</v>
      </c>
      <c r="Z267" s="144">
        <v>3.5</v>
      </c>
      <c r="AA267" s="58">
        <v>3.5</v>
      </c>
      <c r="AB267" s="58">
        <v>0.77</v>
      </c>
      <c r="AC267" s="10">
        <v>0.77</v>
      </c>
      <c r="AD267" s="10">
        <v>0.77</v>
      </c>
      <c r="AE267" s="10">
        <v>0.77</v>
      </c>
      <c r="AF267" s="10">
        <v>0.77</v>
      </c>
      <c r="AG267" s="10">
        <v>0.77</v>
      </c>
      <c r="AH267" s="10">
        <v>0.77</v>
      </c>
      <c r="AI267" s="10">
        <v>0.77</v>
      </c>
      <c r="AJ267" s="10">
        <v>0.77</v>
      </c>
      <c r="AK267" s="10">
        <v>0.65</v>
      </c>
      <c r="AL267" s="10">
        <v>0.65</v>
      </c>
      <c r="AM267" s="10">
        <v>0.65</v>
      </c>
      <c r="AN267" s="149">
        <v>0.65</v>
      </c>
      <c r="AP267" s="118">
        <f t="shared" si="1"/>
        <v>0</v>
      </c>
      <c r="AR267" s="118">
        <f t="shared" si="73"/>
        <v>0</v>
      </c>
      <c r="AT267" s="127">
        <f t="shared" si="70"/>
        <v>0</v>
      </c>
      <c r="AU267" s="5"/>
      <c r="AV267" s="118">
        <f t="shared" si="71"/>
        <v>0</v>
      </c>
      <c r="AW267" s="5"/>
      <c r="AX267" s="118">
        <f t="shared" si="69"/>
        <v>0</v>
      </c>
      <c r="AY267" s="5"/>
      <c r="AZ267" s="127">
        <f t="shared" si="6"/>
        <v>0</v>
      </c>
      <c r="BA267" s="5">
        <v>0</v>
      </c>
      <c r="BB267" s="118">
        <f t="shared" si="67"/>
        <v>0</v>
      </c>
      <c r="BC267" s="105">
        <v>0</v>
      </c>
      <c r="BD267" s="118">
        <f t="shared" si="68"/>
        <v>0</v>
      </c>
      <c r="BE267" s="5">
        <v>40</v>
      </c>
      <c r="BF267" s="127">
        <f t="shared" si="9"/>
        <v>26</v>
      </c>
      <c r="BG267" s="105">
        <v>0</v>
      </c>
      <c r="BH267" s="118">
        <f t="shared" si="66"/>
        <v>0</v>
      </c>
      <c r="BI267" s="105">
        <v>0</v>
      </c>
      <c r="BJ267" s="118">
        <f t="shared" si="72"/>
        <v>0</v>
      </c>
      <c r="BK267" s="105">
        <v>0</v>
      </c>
      <c r="BL267" s="127">
        <f t="shared" si="12"/>
        <v>0</v>
      </c>
      <c r="BM267" s="220" t="s">
        <v>772</v>
      </c>
      <c r="BO267" s="1" t="s">
        <v>539</v>
      </c>
      <c r="BP267" s="220" t="s">
        <v>769</v>
      </c>
      <c r="BQ267" s="233"/>
      <c r="BR267" s="234"/>
    </row>
    <row r="268" spans="1:70">
      <c r="A268" s="219" t="s">
        <v>451</v>
      </c>
      <c r="B268" s="213" t="s">
        <v>267</v>
      </c>
      <c r="C268" s="66" t="s">
        <v>175</v>
      </c>
      <c r="D268" s="287"/>
      <c r="E268" s="103" t="s">
        <v>176</v>
      </c>
      <c r="F268" s="281"/>
      <c r="G268" s="71" t="s">
        <v>202</v>
      </c>
      <c r="H268" s="70" t="s">
        <v>276</v>
      </c>
      <c r="I268" s="70" t="s">
        <v>180</v>
      </c>
      <c r="J268" s="71" t="s">
        <v>193</v>
      </c>
      <c r="K268" s="70" t="s">
        <v>715</v>
      </c>
      <c r="L268" s="69" t="s">
        <v>387</v>
      </c>
      <c r="M268" s="83" t="s">
        <v>731</v>
      </c>
      <c r="N268" s="68">
        <v>2.85</v>
      </c>
      <c r="O268" s="68">
        <v>3.65</v>
      </c>
      <c r="P268" s="144">
        <v>3.65</v>
      </c>
      <c r="Q268" s="144">
        <v>3.65</v>
      </c>
      <c r="R268" s="144">
        <v>3.65</v>
      </c>
      <c r="S268" s="144">
        <v>3.65</v>
      </c>
      <c r="T268" s="144">
        <v>3.65</v>
      </c>
      <c r="U268" s="144">
        <v>3.65</v>
      </c>
      <c r="V268" s="144">
        <v>3.65</v>
      </c>
      <c r="W268" s="144">
        <v>3.65</v>
      </c>
      <c r="X268" s="144">
        <v>3.5</v>
      </c>
      <c r="Y268" s="144">
        <v>3.5</v>
      </c>
      <c r="Z268" s="144">
        <v>3.5</v>
      </c>
      <c r="AA268" s="58">
        <v>3.5</v>
      </c>
      <c r="AB268" s="58">
        <v>0.77</v>
      </c>
      <c r="AC268" s="10">
        <v>0.77</v>
      </c>
      <c r="AD268" s="10">
        <v>0.77</v>
      </c>
      <c r="AE268" s="10">
        <v>0.77</v>
      </c>
      <c r="AF268" s="10">
        <v>0.77</v>
      </c>
      <c r="AG268" s="10">
        <v>0.77</v>
      </c>
      <c r="AH268" s="10">
        <v>0.77</v>
      </c>
      <c r="AI268" s="10">
        <v>0.77</v>
      </c>
      <c r="AJ268" s="10">
        <v>0.77</v>
      </c>
      <c r="AK268" s="10">
        <v>0.65</v>
      </c>
      <c r="AL268" s="10">
        <v>0.65</v>
      </c>
      <c r="AM268" s="10">
        <v>0.65</v>
      </c>
      <c r="AN268" s="149">
        <v>0.65</v>
      </c>
      <c r="AP268" s="118">
        <f t="shared" si="1"/>
        <v>0</v>
      </c>
      <c r="AR268" s="118">
        <f t="shared" si="73"/>
        <v>0</v>
      </c>
      <c r="AT268" s="127">
        <f t="shared" si="70"/>
        <v>0</v>
      </c>
      <c r="AU268" s="5"/>
      <c r="AV268" s="118">
        <f t="shared" si="71"/>
        <v>0</v>
      </c>
      <c r="AW268" s="5"/>
      <c r="AX268" s="118">
        <f t="shared" si="69"/>
        <v>0</v>
      </c>
      <c r="AY268" s="5"/>
      <c r="AZ268" s="127">
        <f t="shared" si="6"/>
        <v>0</v>
      </c>
      <c r="BA268" s="5">
        <v>0</v>
      </c>
      <c r="BB268" s="118">
        <f t="shared" si="67"/>
        <v>0</v>
      </c>
      <c r="BC268" s="105">
        <v>0</v>
      </c>
      <c r="BD268" s="118">
        <f t="shared" si="68"/>
        <v>0</v>
      </c>
      <c r="BE268" s="5">
        <v>0</v>
      </c>
      <c r="BF268" s="127">
        <f t="shared" si="9"/>
        <v>0</v>
      </c>
      <c r="BG268" s="105">
        <v>0</v>
      </c>
      <c r="BH268" s="118">
        <f t="shared" si="66"/>
        <v>0</v>
      </c>
      <c r="BI268" s="105">
        <v>0</v>
      </c>
      <c r="BJ268" s="118">
        <f t="shared" si="72"/>
        <v>0</v>
      </c>
      <c r="BK268" s="105">
        <v>0</v>
      </c>
      <c r="BL268" s="127">
        <f t="shared" si="12"/>
        <v>0</v>
      </c>
      <c r="BM268" s="220" t="s">
        <v>772</v>
      </c>
      <c r="BO268" s="1" t="s">
        <v>539</v>
      </c>
      <c r="BP268" s="220" t="s">
        <v>770</v>
      </c>
      <c r="BQ268" s="233"/>
      <c r="BR268" s="234"/>
    </row>
    <row r="269" spans="1:70">
      <c r="A269" s="219" t="s">
        <v>451</v>
      </c>
      <c r="B269" s="213" t="s">
        <v>267</v>
      </c>
      <c r="C269" s="66" t="s">
        <v>175</v>
      </c>
      <c r="D269" s="287"/>
      <c r="E269" s="103" t="s">
        <v>176</v>
      </c>
      <c r="F269" s="280"/>
      <c r="G269" s="72"/>
      <c r="H269" s="54"/>
      <c r="I269" s="54"/>
      <c r="J269" s="55"/>
      <c r="K269" s="54"/>
      <c r="L269" s="53"/>
      <c r="M269" s="52"/>
      <c r="N269" s="52"/>
      <c r="O269" s="52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  <c r="AA269" s="49"/>
      <c r="AB269" s="49"/>
      <c r="AC269" s="48"/>
      <c r="AD269" s="48"/>
      <c r="AE269" s="48"/>
      <c r="AF269" s="48"/>
      <c r="AG269" s="48"/>
      <c r="AH269" s="48"/>
      <c r="AI269" s="48"/>
      <c r="AJ269" s="48"/>
      <c r="AK269" s="48"/>
      <c r="AL269" s="48"/>
      <c r="AM269" s="48"/>
      <c r="AN269" s="150"/>
      <c r="AO269" s="211"/>
      <c r="AP269" s="184"/>
      <c r="AQ269" s="23"/>
      <c r="AR269" s="184">
        <f t="shared" si="2"/>
        <v>0</v>
      </c>
      <c r="AS269" s="23">
        <v>0</v>
      </c>
      <c r="AT269" s="185">
        <f t="shared" si="3"/>
        <v>0</v>
      </c>
      <c r="AU269" s="23">
        <v>0</v>
      </c>
      <c r="AV269" s="184">
        <f t="shared" si="4"/>
        <v>0</v>
      </c>
      <c r="AW269" s="23">
        <v>0</v>
      </c>
      <c r="AX269" s="184"/>
      <c r="AY269" s="23"/>
      <c r="AZ269" s="185">
        <f t="shared" si="6"/>
        <v>0</v>
      </c>
      <c r="BA269" s="50"/>
      <c r="BB269" s="184">
        <f t="shared" si="7"/>
        <v>0</v>
      </c>
      <c r="BC269" s="50"/>
      <c r="BD269" s="184">
        <f t="shared" si="8"/>
        <v>0</v>
      </c>
      <c r="BE269" s="23"/>
      <c r="BF269" s="185">
        <f t="shared" si="9"/>
        <v>0</v>
      </c>
      <c r="BG269" s="50"/>
      <c r="BH269" s="184">
        <f t="shared" si="66"/>
        <v>0</v>
      </c>
      <c r="BI269" s="23"/>
      <c r="BJ269" s="184">
        <f t="shared" si="11"/>
        <v>0</v>
      </c>
      <c r="BK269" s="23"/>
      <c r="BL269" s="185">
        <f t="shared" si="12"/>
        <v>0</v>
      </c>
      <c r="BP269" s="220" t="s">
        <v>208</v>
      </c>
      <c r="BQ269" s="233"/>
      <c r="BR269" s="234"/>
    </row>
    <row r="270" spans="1:70">
      <c r="A270" s="219" t="s">
        <v>451</v>
      </c>
      <c r="B270" s="214" t="s">
        <v>267</v>
      </c>
      <c r="C270" s="66" t="s">
        <v>175</v>
      </c>
      <c r="D270" s="287"/>
      <c r="E270" s="103" t="s">
        <v>176</v>
      </c>
      <c r="F270" s="282" t="s">
        <v>773</v>
      </c>
      <c r="G270" s="71" t="s">
        <v>200</v>
      </c>
      <c r="H270" s="70" t="s">
        <v>774</v>
      </c>
      <c r="I270" s="70" t="s">
        <v>184</v>
      </c>
      <c r="J270" s="71" t="s">
        <v>283</v>
      </c>
      <c r="K270" s="70" t="s">
        <v>775</v>
      </c>
      <c r="L270" s="69" t="s">
        <v>185</v>
      </c>
      <c r="M270" s="68" t="s">
        <v>465</v>
      </c>
      <c r="N270" s="68">
        <v>7.4999999999999991</v>
      </c>
      <c r="O270" s="68">
        <v>10.199999999999999</v>
      </c>
      <c r="P270" s="144">
        <v>10.199999999999999</v>
      </c>
      <c r="Q270" s="144">
        <v>10.199999999999999</v>
      </c>
      <c r="R270" s="144">
        <v>10.199999999999999</v>
      </c>
      <c r="S270" s="144">
        <v>10.199999999999999</v>
      </c>
      <c r="T270" s="144">
        <v>10.199999999999999</v>
      </c>
      <c r="U270" s="144">
        <v>10.199999999999999</v>
      </c>
      <c r="V270" s="144">
        <v>10.199999999999999</v>
      </c>
      <c r="W270" s="144">
        <v>10.199999999999999</v>
      </c>
      <c r="X270" s="144">
        <v>8.6999999999999993</v>
      </c>
      <c r="Y270" s="144">
        <v>8.6999999999999993</v>
      </c>
      <c r="Z270" s="144">
        <v>8.6999999999999993</v>
      </c>
      <c r="AA270" s="58">
        <v>8.6999999999999993</v>
      </c>
      <c r="AB270" s="58">
        <v>2.2200000000000002</v>
      </c>
      <c r="AC270" s="10">
        <v>2.2200000000000002</v>
      </c>
      <c r="AD270" s="10">
        <v>2.2200000000000002</v>
      </c>
      <c r="AE270" s="10">
        <v>2.2200000000000002</v>
      </c>
      <c r="AF270" s="10">
        <v>2.2200000000000002</v>
      </c>
      <c r="AG270" s="10">
        <v>2.2200000000000002</v>
      </c>
      <c r="AH270" s="10">
        <v>2.2200000000000002</v>
      </c>
      <c r="AI270" s="10">
        <v>2.2200000000000002</v>
      </c>
      <c r="AJ270" s="10">
        <v>2.2200000000000002</v>
      </c>
      <c r="AK270" s="10">
        <v>1.2</v>
      </c>
      <c r="AL270" s="10">
        <v>1.2</v>
      </c>
      <c r="AM270" s="10">
        <v>1.2</v>
      </c>
      <c r="AN270" s="149">
        <v>1.2</v>
      </c>
      <c r="AO270" s="5">
        <v>1394</v>
      </c>
      <c r="AP270" s="118">
        <f t="shared" si="1"/>
        <v>3094.6800000000003</v>
      </c>
      <c r="AQ270" s="5">
        <v>0</v>
      </c>
      <c r="AR270" s="118">
        <f t="shared" si="2"/>
        <v>0</v>
      </c>
      <c r="AS270" s="5">
        <v>0</v>
      </c>
      <c r="AT270" s="127">
        <f t="shared" si="3"/>
        <v>0</v>
      </c>
      <c r="AU270" s="5">
        <v>0</v>
      </c>
      <c r="AV270" s="118">
        <f t="shared" si="4"/>
        <v>0</v>
      </c>
      <c r="AW270" s="5">
        <v>0</v>
      </c>
      <c r="AX270" s="118">
        <f t="shared" si="5"/>
        <v>0</v>
      </c>
      <c r="AY270" s="5">
        <v>0</v>
      </c>
      <c r="AZ270" s="127">
        <f t="shared" si="6"/>
        <v>0</v>
      </c>
      <c r="BA270" s="5">
        <v>159</v>
      </c>
      <c r="BB270" s="118">
        <f t="shared" si="7"/>
        <v>352.98</v>
      </c>
      <c r="BC270" s="5">
        <v>0</v>
      </c>
      <c r="BD270" s="118">
        <f t="shared" si="8"/>
        <v>0</v>
      </c>
      <c r="BE270" s="5">
        <v>22</v>
      </c>
      <c r="BF270" s="127">
        <f t="shared" si="9"/>
        <v>26.4</v>
      </c>
      <c r="BG270" s="5">
        <v>0</v>
      </c>
      <c r="BH270" s="118">
        <f t="shared" si="66"/>
        <v>0</v>
      </c>
      <c r="BI270" s="5">
        <v>0</v>
      </c>
      <c r="BJ270" s="118">
        <f t="shared" si="11"/>
        <v>0</v>
      </c>
      <c r="BK270" s="5">
        <v>0</v>
      </c>
      <c r="BL270" s="127">
        <f t="shared" si="12"/>
        <v>0</v>
      </c>
      <c r="BM270" s="220" t="s">
        <v>776</v>
      </c>
      <c r="BO270" s="1" t="s">
        <v>539</v>
      </c>
      <c r="BP270" s="1" t="s">
        <v>777</v>
      </c>
      <c r="BQ270" s="233"/>
      <c r="BR270" s="234"/>
    </row>
    <row r="271" spans="1:70">
      <c r="A271" s="219" t="s">
        <v>451</v>
      </c>
      <c r="B271" s="214" t="s">
        <v>267</v>
      </c>
      <c r="C271" s="66" t="s">
        <v>175</v>
      </c>
      <c r="D271" s="287"/>
      <c r="E271" s="103" t="s">
        <v>176</v>
      </c>
      <c r="F271" s="282"/>
      <c r="G271" s="71" t="s">
        <v>200</v>
      </c>
      <c r="H271" s="70" t="s">
        <v>774</v>
      </c>
      <c r="I271" s="70" t="s">
        <v>184</v>
      </c>
      <c r="J271" s="71" t="s">
        <v>283</v>
      </c>
      <c r="K271" s="70" t="s">
        <v>778</v>
      </c>
      <c r="L271" s="69" t="s">
        <v>185</v>
      </c>
      <c r="M271" s="68" t="s">
        <v>465</v>
      </c>
      <c r="N271" s="68">
        <v>7.4999999999999991</v>
      </c>
      <c r="O271" s="68">
        <v>10.199999999999999</v>
      </c>
      <c r="P271" s="144">
        <v>10.199999999999999</v>
      </c>
      <c r="Q271" s="144">
        <v>10.199999999999999</v>
      </c>
      <c r="R271" s="144">
        <v>10.199999999999999</v>
      </c>
      <c r="S271" s="144">
        <v>10.199999999999999</v>
      </c>
      <c r="T271" s="144">
        <v>10.199999999999999</v>
      </c>
      <c r="U271" s="144">
        <v>10.199999999999999</v>
      </c>
      <c r="V271" s="144">
        <v>10.199999999999999</v>
      </c>
      <c r="W271" s="144">
        <v>10.199999999999999</v>
      </c>
      <c r="X271" s="144">
        <v>8.6999999999999993</v>
      </c>
      <c r="Y271" s="144">
        <v>8.6999999999999993</v>
      </c>
      <c r="Z271" s="144">
        <v>8.6999999999999993</v>
      </c>
      <c r="AA271" s="58">
        <v>8.6999999999999993</v>
      </c>
      <c r="AB271" s="58">
        <v>2.2200000000000002</v>
      </c>
      <c r="AC271" s="10">
        <v>2.2200000000000002</v>
      </c>
      <c r="AD271" s="10">
        <v>2.2200000000000002</v>
      </c>
      <c r="AE271" s="10">
        <v>2.2200000000000002</v>
      </c>
      <c r="AF271" s="10">
        <v>2.2200000000000002</v>
      </c>
      <c r="AG271" s="10">
        <v>2.2200000000000002</v>
      </c>
      <c r="AH271" s="10">
        <v>2.2200000000000002</v>
      </c>
      <c r="AI271" s="10">
        <v>2.2200000000000002</v>
      </c>
      <c r="AJ271" s="10">
        <v>2.2200000000000002</v>
      </c>
      <c r="AK271" s="10">
        <v>1.2</v>
      </c>
      <c r="AL271" s="10">
        <v>1.2</v>
      </c>
      <c r="AM271" s="10">
        <v>1.2</v>
      </c>
      <c r="AN271" s="149">
        <v>1.2</v>
      </c>
      <c r="AO271" s="5">
        <v>0</v>
      </c>
      <c r="AP271" s="118">
        <f t="shared" si="1"/>
        <v>0</v>
      </c>
      <c r="AQ271" s="5">
        <v>0</v>
      </c>
      <c r="AR271" s="118">
        <f t="shared" si="2"/>
        <v>0</v>
      </c>
      <c r="AS271" s="5">
        <v>0</v>
      </c>
      <c r="AT271" s="127">
        <f t="shared" si="3"/>
        <v>0</v>
      </c>
      <c r="AU271" s="5">
        <v>0</v>
      </c>
      <c r="AV271" s="118">
        <f t="shared" si="4"/>
        <v>0</v>
      </c>
      <c r="AW271" s="5">
        <v>0</v>
      </c>
      <c r="AX271" s="118">
        <f t="shared" si="5"/>
        <v>0</v>
      </c>
      <c r="AY271" s="5">
        <v>0</v>
      </c>
      <c r="AZ271" s="127">
        <f t="shared" si="6"/>
        <v>0</v>
      </c>
      <c r="BA271" s="5">
        <v>0</v>
      </c>
      <c r="BB271" s="118">
        <f t="shared" si="7"/>
        <v>0</v>
      </c>
      <c r="BC271" s="5">
        <v>0</v>
      </c>
      <c r="BD271" s="118">
        <f t="shared" si="8"/>
        <v>0</v>
      </c>
      <c r="BE271" s="5">
        <v>0</v>
      </c>
      <c r="BF271" s="127">
        <f t="shared" si="9"/>
        <v>0</v>
      </c>
      <c r="BG271" s="5">
        <v>0</v>
      </c>
      <c r="BH271" s="118">
        <f t="shared" si="66"/>
        <v>0</v>
      </c>
      <c r="BI271" s="5">
        <v>0</v>
      </c>
      <c r="BJ271" s="118">
        <f t="shared" si="11"/>
        <v>0</v>
      </c>
      <c r="BK271" s="5">
        <v>0</v>
      </c>
      <c r="BL271" s="127">
        <f t="shared" si="12"/>
        <v>0</v>
      </c>
      <c r="BM271" s="220" t="s">
        <v>779</v>
      </c>
      <c r="BO271" s="1" t="s">
        <v>539</v>
      </c>
      <c r="BP271" s="1" t="s">
        <v>780</v>
      </c>
      <c r="BQ271" s="233"/>
      <c r="BR271" s="234"/>
    </row>
    <row r="272" spans="1:70">
      <c r="A272" s="219" t="s">
        <v>451</v>
      </c>
      <c r="B272" s="214" t="s">
        <v>267</v>
      </c>
      <c r="C272" s="66" t="s">
        <v>175</v>
      </c>
      <c r="D272" s="287"/>
      <c r="E272" s="103" t="s">
        <v>176</v>
      </c>
      <c r="F272" s="282"/>
      <c r="G272" s="71" t="s">
        <v>200</v>
      </c>
      <c r="H272" s="70" t="s">
        <v>774</v>
      </c>
      <c r="I272" s="70" t="s">
        <v>184</v>
      </c>
      <c r="J272" s="71" t="s">
        <v>283</v>
      </c>
      <c r="K272" s="70" t="s">
        <v>285</v>
      </c>
      <c r="L272" s="69" t="s">
        <v>185</v>
      </c>
      <c r="M272" s="68" t="s">
        <v>465</v>
      </c>
      <c r="N272" s="68">
        <v>8.8000000000000007</v>
      </c>
      <c r="O272" s="68">
        <v>11.2</v>
      </c>
      <c r="P272" s="144">
        <v>11.2</v>
      </c>
      <c r="Q272" s="144">
        <v>11.2</v>
      </c>
      <c r="R272" s="144">
        <v>11.2</v>
      </c>
      <c r="S272" s="144">
        <v>11.2</v>
      </c>
      <c r="T272" s="144">
        <v>11.2</v>
      </c>
      <c r="U272" s="144">
        <v>11.2</v>
      </c>
      <c r="V272" s="144">
        <v>11.2</v>
      </c>
      <c r="W272" s="144">
        <v>11.2</v>
      </c>
      <c r="X272" s="144">
        <v>9.5</v>
      </c>
      <c r="Y272" s="144">
        <v>9.5</v>
      </c>
      <c r="Z272" s="144">
        <v>9.5</v>
      </c>
      <c r="AA272" s="58">
        <v>9.5</v>
      </c>
      <c r="AB272" s="58">
        <v>2.2000000000000002</v>
      </c>
      <c r="AC272" s="10">
        <v>2.2000000000000002</v>
      </c>
      <c r="AD272" s="10">
        <v>2.2000000000000002</v>
      </c>
      <c r="AE272" s="10">
        <v>2.2000000000000002</v>
      </c>
      <c r="AF272" s="10">
        <v>2.2000000000000002</v>
      </c>
      <c r="AG272" s="10">
        <v>2.2000000000000002</v>
      </c>
      <c r="AH272" s="10">
        <v>2.2000000000000002</v>
      </c>
      <c r="AI272" s="10">
        <v>2.2000000000000002</v>
      </c>
      <c r="AJ272" s="10">
        <v>2.2000000000000002</v>
      </c>
      <c r="AK272" s="10">
        <v>0.7</v>
      </c>
      <c r="AL272" s="10">
        <v>0.7</v>
      </c>
      <c r="AM272" s="10">
        <v>0.7</v>
      </c>
      <c r="AN272" s="149">
        <v>0.7</v>
      </c>
      <c r="AO272" s="5">
        <v>0</v>
      </c>
      <c r="AP272" s="118">
        <f t="shared" si="1"/>
        <v>0</v>
      </c>
      <c r="AQ272" s="5">
        <v>0</v>
      </c>
      <c r="AR272" s="118">
        <f t="shared" si="2"/>
        <v>0</v>
      </c>
      <c r="AS272" s="5">
        <v>0</v>
      </c>
      <c r="AT272" s="127">
        <f t="shared" si="3"/>
        <v>0</v>
      </c>
      <c r="AU272" s="5">
        <v>0</v>
      </c>
      <c r="AV272" s="118">
        <f t="shared" si="4"/>
        <v>0</v>
      </c>
      <c r="AW272" s="5">
        <v>0</v>
      </c>
      <c r="AX272" s="118">
        <f t="shared" si="5"/>
        <v>0</v>
      </c>
      <c r="AY272" s="5">
        <v>0</v>
      </c>
      <c r="AZ272" s="127">
        <f t="shared" si="6"/>
        <v>0</v>
      </c>
      <c r="BA272" s="5">
        <v>0</v>
      </c>
      <c r="BB272" s="118">
        <f t="shared" si="7"/>
        <v>0</v>
      </c>
      <c r="BC272" s="5">
        <v>0</v>
      </c>
      <c r="BD272" s="118">
        <f t="shared" si="8"/>
        <v>0</v>
      </c>
      <c r="BE272" s="5">
        <v>19</v>
      </c>
      <c r="BF272" s="127">
        <f t="shared" si="9"/>
        <v>13.299999999999999</v>
      </c>
      <c r="BG272" s="5">
        <v>0</v>
      </c>
      <c r="BH272" s="118">
        <f t="shared" si="66"/>
        <v>0</v>
      </c>
      <c r="BI272" s="5">
        <v>0</v>
      </c>
      <c r="BJ272" s="118">
        <f t="shared" si="11"/>
        <v>0</v>
      </c>
      <c r="BK272" s="5">
        <v>0</v>
      </c>
      <c r="BL272" s="127">
        <f t="shared" si="12"/>
        <v>0</v>
      </c>
      <c r="BM272" s="220" t="s">
        <v>781</v>
      </c>
      <c r="BO272" s="1" t="s">
        <v>539</v>
      </c>
      <c r="BP272" s="1" t="s">
        <v>782</v>
      </c>
      <c r="BQ272" s="233"/>
      <c r="BR272" s="234"/>
    </row>
    <row r="273" spans="1:70">
      <c r="A273" s="219" t="s">
        <v>451</v>
      </c>
      <c r="B273" s="214" t="s">
        <v>267</v>
      </c>
      <c r="C273" s="66" t="s">
        <v>175</v>
      </c>
      <c r="D273" s="287"/>
      <c r="E273" s="103" t="s">
        <v>176</v>
      </c>
      <c r="F273" s="282"/>
      <c r="G273" s="71" t="s">
        <v>202</v>
      </c>
      <c r="H273" s="70" t="s">
        <v>783</v>
      </c>
      <c r="I273" s="70" t="s">
        <v>184</v>
      </c>
      <c r="J273" s="71" t="s">
        <v>193</v>
      </c>
      <c r="K273" s="70" t="s">
        <v>784</v>
      </c>
      <c r="L273" s="69" t="s">
        <v>213</v>
      </c>
      <c r="M273" s="180" t="s">
        <v>562</v>
      </c>
      <c r="N273" s="68">
        <v>7.9799999999999986</v>
      </c>
      <c r="O273" s="68">
        <v>10.199999999999999</v>
      </c>
      <c r="P273" s="144">
        <v>10.199999999999999</v>
      </c>
      <c r="Q273" s="144">
        <v>10.199999999999999</v>
      </c>
      <c r="R273" s="144">
        <v>10.199999999999999</v>
      </c>
      <c r="S273" s="144">
        <v>10.199999999999999</v>
      </c>
      <c r="T273" s="144">
        <v>10.199999999999999</v>
      </c>
      <c r="U273" s="144">
        <v>10.199999999999999</v>
      </c>
      <c r="V273" s="144">
        <v>10.199999999999999</v>
      </c>
      <c r="W273" s="144">
        <v>10.199999999999999</v>
      </c>
      <c r="X273" s="144">
        <v>10.199999999999999</v>
      </c>
      <c r="Y273" s="144">
        <v>10.199999999999999</v>
      </c>
      <c r="Z273" s="144">
        <v>10.199999999999999</v>
      </c>
      <c r="AA273" s="58">
        <v>10.199999999999999</v>
      </c>
      <c r="AB273" s="58">
        <v>2.2200000000000002</v>
      </c>
      <c r="AC273" s="10">
        <v>2.2200000000000002</v>
      </c>
      <c r="AD273" s="10">
        <v>2.2200000000000002</v>
      </c>
      <c r="AE273" s="10">
        <v>2.2200000000000002</v>
      </c>
      <c r="AF273" s="10">
        <v>2.2200000000000002</v>
      </c>
      <c r="AG273" s="10">
        <v>2.2200000000000002</v>
      </c>
      <c r="AH273" s="10">
        <v>2.2200000000000002</v>
      </c>
      <c r="AI273" s="10">
        <v>2.2200000000000002</v>
      </c>
      <c r="AJ273" s="10">
        <v>2.2200000000000002</v>
      </c>
      <c r="AK273" s="10">
        <v>2.2200000000000002</v>
      </c>
      <c r="AL273" s="10">
        <v>2.2200000000000002</v>
      </c>
      <c r="AM273" s="10">
        <v>2.2200000000000002</v>
      </c>
      <c r="AN273" s="149">
        <v>2.2200000000000002</v>
      </c>
      <c r="AO273" s="5">
        <v>1280</v>
      </c>
      <c r="AP273" s="118">
        <f t="shared" si="1"/>
        <v>2841.6000000000004</v>
      </c>
      <c r="AQ273" s="5">
        <f>1757-560</f>
        <v>1197</v>
      </c>
      <c r="AR273" s="118">
        <f t="shared" si="2"/>
        <v>2657.34</v>
      </c>
      <c r="AS273" s="5">
        <v>378</v>
      </c>
      <c r="AT273" s="127">
        <f t="shared" si="3"/>
        <v>839.16000000000008</v>
      </c>
      <c r="AU273" s="5">
        <v>1600</v>
      </c>
      <c r="AV273" s="118">
        <f t="shared" si="4"/>
        <v>3552.0000000000005</v>
      </c>
      <c r="AW273" s="5">
        <v>580</v>
      </c>
      <c r="AX273" s="118">
        <f t="shared" si="5"/>
        <v>1287.6000000000001</v>
      </c>
      <c r="AY273" s="5">
        <v>0</v>
      </c>
      <c r="AZ273" s="127">
        <f t="shared" si="6"/>
        <v>0</v>
      </c>
      <c r="BA273" s="5">
        <v>0</v>
      </c>
      <c r="BB273" s="118">
        <f t="shared" si="7"/>
        <v>0</v>
      </c>
      <c r="BC273" s="5">
        <v>0</v>
      </c>
      <c r="BD273" s="118">
        <f t="shared" si="8"/>
        <v>0</v>
      </c>
      <c r="BE273" s="5">
        <v>0</v>
      </c>
      <c r="BF273" s="127">
        <f t="shared" si="9"/>
        <v>0</v>
      </c>
      <c r="BG273" s="5">
        <v>0</v>
      </c>
      <c r="BH273" s="118">
        <f t="shared" si="66"/>
        <v>0</v>
      </c>
      <c r="BI273" s="5">
        <v>0</v>
      </c>
      <c r="BJ273" s="118">
        <f t="shared" si="11"/>
        <v>0</v>
      </c>
      <c r="BK273" s="5">
        <v>0</v>
      </c>
      <c r="BL273" s="127">
        <f t="shared" si="12"/>
        <v>0</v>
      </c>
      <c r="BM273" s="220" t="s">
        <v>785</v>
      </c>
      <c r="BO273" s="1" t="s">
        <v>539</v>
      </c>
      <c r="BP273" s="1" t="s">
        <v>786</v>
      </c>
      <c r="BQ273" s="233"/>
      <c r="BR273" s="234"/>
    </row>
    <row r="274" spans="1:70">
      <c r="A274" s="219" t="s">
        <v>451</v>
      </c>
      <c r="B274" s="214" t="s">
        <v>267</v>
      </c>
      <c r="C274" s="66" t="s">
        <v>175</v>
      </c>
      <c r="D274" s="287"/>
      <c r="E274" s="103" t="s">
        <v>176</v>
      </c>
      <c r="F274" s="282"/>
      <c r="G274" s="71" t="s">
        <v>202</v>
      </c>
      <c r="H274" s="70" t="s">
        <v>783</v>
      </c>
      <c r="I274" s="70" t="s">
        <v>184</v>
      </c>
      <c r="J274" s="71" t="s">
        <v>193</v>
      </c>
      <c r="K274" s="70" t="s">
        <v>787</v>
      </c>
      <c r="L274" s="69" t="s">
        <v>213</v>
      </c>
      <c r="M274" s="180" t="s">
        <v>562</v>
      </c>
      <c r="N274" s="68">
        <v>7.9799999999999986</v>
      </c>
      <c r="O274" s="68">
        <v>10.199999999999999</v>
      </c>
      <c r="P274" s="144">
        <v>10.199999999999999</v>
      </c>
      <c r="Q274" s="144">
        <v>10.199999999999999</v>
      </c>
      <c r="R274" s="144">
        <v>10.199999999999999</v>
      </c>
      <c r="S274" s="144">
        <v>10.199999999999999</v>
      </c>
      <c r="T274" s="144">
        <v>10.199999999999999</v>
      </c>
      <c r="U274" s="144">
        <v>10.199999999999999</v>
      </c>
      <c r="V274" s="144">
        <v>10.199999999999999</v>
      </c>
      <c r="W274" s="144">
        <v>10.199999999999999</v>
      </c>
      <c r="X274" s="144">
        <v>10.199999999999999</v>
      </c>
      <c r="Y274" s="144">
        <v>10.199999999999999</v>
      </c>
      <c r="Z274" s="144">
        <v>10.199999999999999</v>
      </c>
      <c r="AA274" s="58">
        <v>10.199999999999999</v>
      </c>
      <c r="AB274" s="58">
        <v>2.2200000000000002</v>
      </c>
      <c r="AC274" s="10">
        <v>2.2200000000000002</v>
      </c>
      <c r="AD274" s="10">
        <v>2.2200000000000002</v>
      </c>
      <c r="AE274" s="10">
        <v>2.2200000000000002</v>
      </c>
      <c r="AF274" s="10">
        <v>2.2200000000000002</v>
      </c>
      <c r="AG274" s="10">
        <v>2.2200000000000002</v>
      </c>
      <c r="AH274" s="10">
        <v>2.2200000000000002</v>
      </c>
      <c r="AI274" s="10">
        <v>2.2200000000000002</v>
      </c>
      <c r="AJ274" s="10">
        <v>2.2200000000000002</v>
      </c>
      <c r="AK274" s="10">
        <v>2.2200000000000002</v>
      </c>
      <c r="AL274" s="10">
        <v>2.2200000000000002</v>
      </c>
      <c r="AM274" s="10">
        <v>2.2200000000000002</v>
      </c>
      <c r="AN274" s="149">
        <v>2.2200000000000002</v>
      </c>
      <c r="AO274" s="5">
        <v>200</v>
      </c>
      <c r="AP274" s="118">
        <f t="shared" si="1"/>
        <v>444.00000000000006</v>
      </c>
      <c r="AQ274" s="5">
        <v>560</v>
      </c>
      <c r="AR274" s="118">
        <f t="shared" si="2"/>
        <v>1243.2</v>
      </c>
      <c r="AS274" s="5">
        <v>320</v>
      </c>
      <c r="AT274" s="127">
        <f t="shared" si="3"/>
        <v>710.40000000000009</v>
      </c>
      <c r="AU274" s="5">
        <v>0</v>
      </c>
      <c r="AV274" s="118">
        <f t="shared" si="4"/>
        <v>0</v>
      </c>
      <c r="AW274" s="5">
        <v>200</v>
      </c>
      <c r="AX274" s="118">
        <f t="shared" si="5"/>
        <v>444.00000000000006</v>
      </c>
      <c r="AY274" s="5">
        <v>40</v>
      </c>
      <c r="AZ274" s="127">
        <f t="shared" si="6"/>
        <v>88.800000000000011</v>
      </c>
      <c r="BA274" s="5">
        <v>0</v>
      </c>
      <c r="BB274" s="118">
        <f t="shared" si="7"/>
        <v>0</v>
      </c>
      <c r="BC274" s="5">
        <v>0</v>
      </c>
      <c r="BD274" s="118">
        <f t="shared" si="8"/>
        <v>0</v>
      </c>
      <c r="BE274" s="5">
        <v>0</v>
      </c>
      <c r="BF274" s="127">
        <f t="shared" si="9"/>
        <v>0</v>
      </c>
      <c r="BG274" s="5">
        <v>0</v>
      </c>
      <c r="BH274" s="118">
        <f t="shared" si="66"/>
        <v>0</v>
      </c>
      <c r="BI274" s="5">
        <v>0</v>
      </c>
      <c r="BJ274" s="118">
        <f t="shared" si="11"/>
        <v>0</v>
      </c>
      <c r="BK274" s="5">
        <v>0</v>
      </c>
      <c r="BL274" s="127">
        <f t="shared" si="12"/>
        <v>0</v>
      </c>
      <c r="BM274" s="220" t="s">
        <v>788</v>
      </c>
      <c r="BO274" s="1" t="s">
        <v>539</v>
      </c>
      <c r="BP274" s="1" t="s">
        <v>789</v>
      </c>
      <c r="BQ274" s="233"/>
      <c r="BR274" s="234"/>
    </row>
    <row r="275" spans="1:70">
      <c r="A275" s="219" t="s">
        <v>451</v>
      </c>
      <c r="B275" s="214" t="s">
        <v>267</v>
      </c>
      <c r="C275" s="66" t="s">
        <v>175</v>
      </c>
      <c r="D275" s="287"/>
      <c r="E275" s="103" t="s">
        <v>176</v>
      </c>
      <c r="F275" s="282"/>
      <c r="G275" s="71" t="s">
        <v>202</v>
      </c>
      <c r="H275" s="70" t="s">
        <v>783</v>
      </c>
      <c r="I275" s="70" t="s">
        <v>184</v>
      </c>
      <c r="J275" s="71" t="s">
        <v>193</v>
      </c>
      <c r="K275" s="70" t="s">
        <v>790</v>
      </c>
      <c r="L275" s="69" t="s">
        <v>213</v>
      </c>
      <c r="M275" s="180" t="s">
        <v>562</v>
      </c>
      <c r="N275" s="68">
        <v>10.73</v>
      </c>
      <c r="O275" s="68">
        <v>12.4</v>
      </c>
      <c r="P275" s="144">
        <v>12.4</v>
      </c>
      <c r="Q275" s="144">
        <v>12.4</v>
      </c>
      <c r="R275" s="144">
        <v>12.4</v>
      </c>
      <c r="S275" s="144">
        <v>12.4</v>
      </c>
      <c r="T275" s="144">
        <v>12.4</v>
      </c>
      <c r="U275" s="144">
        <v>12.4</v>
      </c>
      <c r="V275" s="144">
        <v>12.4</v>
      </c>
      <c r="W275" s="144">
        <v>12.4</v>
      </c>
      <c r="X275" s="144">
        <v>12.4</v>
      </c>
      <c r="Y275" s="144">
        <v>12.4</v>
      </c>
      <c r="Z275" s="144">
        <v>12.4</v>
      </c>
      <c r="AA275" s="58">
        <v>12.4</v>
      </c>
      <c r="AB275" s="58">
        <v>1.67</v>
      </c>
      <c r="AC275" s="10">
        <v>1.67</v>
      </c>
      <c r="AD275" s="10">
        <v>1.67</v>
      </c>
      <c r="AE275" s="10">
        <v>1.67</v>
      </c>
      <c r="AF275" s="10">
        <v>1.67</v>
      </c>
      <c r="AG275" s="10">
        <v>1.67</v>
      </c>
      <c r="AH275" s="10">
        <v>1.67</v>
      </c>
      <c r="AI275" s="10">
        <v>1.67</v>
      </c>
      <c r="AJ275" s="10">
        <v>1.67</v>
      </c>
      <c r="AK275" s="10">
        <v>1.67</v>
      </c>
      <c r="AL275" s="10">
        <v>1.67</v>
      </c>
      <c r="AM275" s="10">
        <v>1.67</v>
      </c>
      <c r="AN275" s="149">
        <v>1.67</v>
      </c>
      <c r="AO275" s="5">
        <v>680</v>
      </c>
      <c r="AP275" s="118">
        <f t="shared" si="1"/>
        <v>1135.5999999999999</v>
      </c>
      <c r="AQ275" s="5">
        <v>480</v>
      </c>
      <c r="AR275" s="118">
        <f t="shared" si="2"/>
        <v>801.59999999999991</v>
      </c>
      <c r="AS275" s="5">
        <v>40</v>
      </c>
      <c r="AT275" s="127">
        <f t="shared" si="3"/>
        <v>66.8</v>
      </c>
      <c r="AU275" s="5">
        <v>0</v>
      </c>
      <c r="AV275" s="118">
        <f t="shared" si="4"/>
        <v>0</v>
      </c>
      <c r="AW275" s="5">
        <v>0</v>
      </c>
      <c r="AX275" s="118">
        <f t="shared" si="5"/>
        <v>0</v>
      </c>
      <c r="AY275" s="5">
        <v>0</v>
      </c>
      <c r="AZ275" s="127">
        <f t="shared" si="6"/>
        <v>0</v>
      </c>
      <c r="BA275" s="5">
        <v>0</v>
      </c>
      <c r="BB275" s="118">
        <f t="shared" si="7"/>
        <v>0</v>
      </c>
      <c r="BC275" s="5">
        <v>0</v>
      </c>
      <c r="BD275" s="118">
        <f t="shared" si="8"/>
        <v>0</v>
      </c>
      <c r="BE275" s="5">
        <v>0</v>
      </c>
      <c r="BF275" s="127">
        <f t="shared" si="9"/>
        <v>0</v>
      </c>
      <c r="BG275" s="5">
        <v>0</v>
      </c>
      <c r="BH275" s="118">
        <f t="shared" si="66"/>
        <v>0</v>
      </c>
      <c r="BI275" s="5">
        <v>0</v>
      </c>
      <c r="BJ275" s="118">
        <f t="shared" si="11"/>
        <v>0</v>
      </c>
      <c r="BK275" s="5">
        <v>0</v>
      </c>
      <c r="BL275" s="127">
        <f t="shared" si="12"/>
        <v>0</v>
      </c>
      <c r="BM275" s="220" t="s">
        <v>791</v>
      </c>
      <c r="BO275" s="1" t="s">
        <v>539</v>
      </c>
      <c r="BP275" s="1" t="s">
        <v>792</v>
      </c>
      <c r="BQ275" s="233"/>
      <c r="BR275" s="234"/>
    </row>
    <row r="276" spans="1:70">
      <c r="A276" s="219" t="s">
        <v>451</v>
      </c>
      <c r="B276" s="214" t="s">
        <v>267</v>
      </c>
      <c r="C276" s="66" t="s">
        <v>175</v>
      </c>
      <c r="D276" s="287"/>
      <c r="E276" s="103" t="s">
        <v>176</v>
      </c>
      <c r="F276" s="282"/>
      <c r="G276" s="71" t="s">
        <v>202</v>
      </c>
      <c r="H276" s="70" t="s">
        <v>783</v>
      </c>
      <c r="I276" s="70" t="s">
        <v>184</v>
      </c>
      <c r="J276" s="245" t="s">
        <v>283</v>
      </c>
      <c r="K276" s="70" t="s">
        <v>793</v>
      </c>
      <c r="L276" s="69" t="s">
        <v>213</v>
      </c>
      <c r="M276" s="244" t="s">
        <v>562</v>
      </c>
      <c r="N276" s="68">
        <v>10.73</v>
      </c>
      <c r="O276" s="68">
        <v>12.4</v>
      </c>
      <c r="P276" s="144">
        <v>12.4</v>
      </c>
      <c r="Q276" s="144">
        <v>12.4</v>
      </c>
      <c r="R276" s="144">
        <v>12.4</v>
      </c>
      <c r="S276" s="144">
        <v>12.4</v>
      </c>
      <c r="T276" s="144">
        <v>12.4</v>
      </c>
      <c r="U276" s="144">
        <v>12.4</v>
      </c>
      <c r="V276" s="144">
        <v>12.4</v>
      </c>
      <c r="W276" s="144">
        <v>12.4</v>
      </c>
      <c r="X276" s="144">
        <v>12.4</v>
      </c>
      <c r="Y276" s="144">
        <v>12.4</v>
      </c>
      <c r="Z276" s="144">
        <v>12.4</v>
      </c>
      <c r="AA276" s="58">
        <v>12.4</v>
      </c>
      <c r="AB276" s="58">
        <v>1.67</v>
      </c>
      <c r="AC276" s="10">
        <v>1.67</v>
      </c>
      <c r="AD276" s="10">
        <v>1.67</v>
      </c>
      <c r="AE276" s="10">
        <v>1.67</v>
      </c>
      <c r="AF276" s="10">
        <v>1.67</v>
      </c>
      <c r="AG276" s="10">
        <v>1.67</v>
      </c>
      <c r="AH276" s="10">
        <v>1.67</v>
      </c>
      <c r="AI276" s="10">
        <v>1.67</v>
      </c>
      <c r="AJ276" s="10">
        <v>1.67</v>
      </c>
      <c r="AK276" s="10">
        <v>1.67</v>
      </c>
      <c r="AL276" s="10">
        <v>1.67</v>
      </c>
      <c r="AM276" s="10">
        <v>1.67</v>
      </c>
      <c r="AN276" s="149">
        <v>1.67</v>
      </c>
      <c r="AO276" s="5">
        <v>680</v>
      </c>
      <c r="AP276" s="118">
        <f t="shared" si="1"/>
        <v>1135.5999999999999</v>
      </c>
      <c r="AQ276" s="5">
        <v>200</v>
      </c>
      <c r="AR276" s="118">
        <f t="shared" si="2"/>
        <v>334</v>
      </c>
      <c r="AS276" s="5">
        <v>80</v>
      </c>
      <c r="AT276" s="127">
        <f t="shared" si="3"/>
        <v>133.6</v>
      </c>
      <c r="AU276" s="5">
        <v>0</v>
      </c>
      <c r="AV276" s="118">
        <f t="shared" si="4"/>
        <v>0</v>
      </c>
      <c r="AW276" s="5">
        <v>0</v>
      </c>
      <c r="AX276" s="118">
        <f t="shared" si="5"/>
        <v>0</v>
      </c>
      <c r="AY276" s="5">
        <v>0</v>
      </c>
      <c r="AZ276" s="127">
        <f t="shared" si="6"/>
        <v>0</v>
      </c>
      <c r="BA276" s="5">
        <v>0</v>
      </c>
      <c r="BB276" s="118">
        <f t="shared" si="7"/>
        <v>0</v>
      </c>
      <c r="BC276" s="5">
        <v>0</v>
      </c>
      <c r="BD276" s="118">
        <f t="shared" si="8"/>
        <v>0</v>
      </c>
      <c r="BE276" s="5">
        <v>40</v>
      </c>
      <c r="BF276" s="127">
        <f t="shared" si="9"/>
        <v>66.8</v>
      </c>
      <c r="BG276" s="5">
        <v>640</v>
      </c>
      <c r="BH276" s="118">
        <f t="shared" si="66"/>
        <v>1068.8</v>
      </c>
      <c r="BI276" s="5">
        <v>0</v>
      </c>
      <c r="BJ276" s="118">
        <f t="shared" si="11"/>
        <v>0</v>
      </c>
      <c r="BK276" s="5">
        <v>0</v>
      </c>
      <c r="BL276" s="127">
        <f t="shared" si="12"/>
        <v>0</v>
      </c>
      <c r="BM276" s="220" t="s">
        <v>794</v>
      </c>
      <c r="BO276" s="1" t="s">
        <v>539</v>
      </c>
      <c r="BP276" s="1" t="s">
        <v>795</v>
      </c>
      <c r="BQ276" s="233"/>
      <c r="BR276" s="234"/>
    </row>
    <row r="277" spans="1:70">
      <c r="A277" s="219" t="s">
        <v>451</v>
      </c>
      <c r="B277" s="214" t="s">
        <v>267</v>
      </c>
      <c r="C277" s="66" t="s">
        <v>175</v>
      </c>
      <c r="D277" s="287"/>
      <c r="E277" s="103" t="s">
        <v>176</v>
      </c>
      <c r="F277" s="282"/>
      <c r="G277" s="71" t="s">
        <v>202</v>
      </c>
      <c r="H277" s="70" t="s">
        <v>783</v>
      </c>
      <c r="I277" s="70" t="s">
        <v>184</v>
      </c>
      <c r="J277" s="71" t="s">
        <v>193</v>
      </c>
      <c r="K277" s="70" t="s">
        <v>796</v>
      </c>
      <c r="L277" s="69" t="s">
        <v>213</v>
      </c>
      <c r="M277" s="180" t="s">
        <v>562</v>
      </c>
      <c r="N277" s="68">
        <v>10.73</v>
      </c>
      <c r="O277" s="68">
        <v>12.4</v>
      </c>
      <c r="P277" s="144">
        <v>12.4</v>
      </c>
      <c r="Q277" s="144">
        <v>12.4</v>
      </c>
      <c r="R277" s="144">
        <v>12.4</v>
      </c>
      <c r="S277" s="144">
        <v>12.4</v>
      </c>
      <c r="T277" s="144">
        <v>12.4</v>
      </c>
      <c r="U277" s="144">
        <v>12.4</v>
      </c>
      <c r="V277" s="144">
        <v>12.4</v>
      </c>
      <c r="W277" s="144">
        <v>12.4</v>
      </c>
      <c r="X277" s="144">
        <v>12.4</v>
      </c>
      <c r="Y277" s="144">
        <v>12.4</v>
      </c>
      <c r="Z277" s="144">
        <v>12.4</v>
      </c>
      <c r="AA277" s="58">
        <v>12.4</v>
      </c>
      <c r="AB277" s="58">
        <v>1.67</v>
      </c>
      <c r="AC277" s="10">
        <v>1.67</v>
      </c>
      <c r="AD277" s="10">
        <v>1.67</v>
      </c>
      <c r="AE277" s="10">
        <v>1.67</v>
      </c>
      <c r="AF277" s="10">
        <v>1.67</v>
      </c>
      <c r="AG277" s="10">
        <v>1.67</v>
      </c>
      <c r="AH277" s="10">
        <v>1.67</v>
      </c>
      <c r="AI277" s="10">
        <v>1.67</v>
      </c>
      <c r="AJ277" s="10">
        <v>1.67</v>
      </c>
      <c r="AK277" s="10">
        <v>1.67</v>
      </c>
      <c r="AL277" s="10">
        <v>1.67</v>
      </c>
      <c r="AM277" s="10">
        <v>1.67</v>
      </c>
      <c r="AN277" s="149">
        <v>1.67</v>
      </c>
      <c r="AO277" s="5">
        <v>1240</v>
      </c>
      <c r="AP277" s="118">
        <f t="shared" si="1"/>
        <v>2070.7999999999997</v>
      </c>
      <c r="AQ277" s="5">
        <v>520</v>
      </c>
      <c r="AR277" s="118">
        <f t="shared" si="2"/>
        <v>868.4</v>
      </c>
      <c r="AS277" s="5">
        <v>1600</v>
      </c>
      <c r="AT277" s="127">
        <f t="shared" si="3"/>
        <v>2672</v>
      </c>
      <c r="AU277" s="5">
        <v>450</v>
      </c>
      <c r="AV277" s="118">
        <f t="shared" si="4"/>
        <v>751.5</v>
      </c>
      <c r="AW277" s="5">
        <v>520</v>
      </c>
      <c r="AX277" s="118">
        <f t="shared" si="5"/>
        <v>868.4</v>
      </c>
      <c r="AY277" s="5">
        <v>0</v>
      </c>
      <c r="AZ277" s="127">
        <f t="shared" si="6"/>
        <v>0</v>
      </c>
      <c r="BA277" s="5">
        <v>120</v>
      </c>
      <c r="BB277" s="118">
        <f t="shared" si="7"/>
        <v>200.39999999999998</v>
      </c>
      <c r="BC277" s="5">
        <v>0</v>
      </c>
      <c r="BD277" s="118">
        <f t="shared" si="8"/>
        <v>0</v>
      </c>
      <c r="BE277" s="5">
        <v>120</v>
      </c>
      <c r="BF277" s="127">
        <f t="shared" si="9"/>
        <v>200.39999999999998</v>
      </c>
      <c r="BG277" s="5">
        <v>0</v>
      </c>
      <c r="BH277" s="118">
        <f t="shared" si="66"/>
        <v>0</v>
      </c>
      <c r="BI277" s="5">
        <v>0</v>
      </c>
      <c r="BJ277" s="118">
        <f t="shared" si="11"/>
        <v>0</v>
      </c>
      <c r="BK277" s="5">
        <f>VLOOKUP(BP:BP,'[1]COMPAL_202505~'!$B$1:$I$11,8,0)</f>
        <v>0</v>
      </c>
      <c r="BL277" s="127">
        <f t="shared" si="12"/>
        <v>0</v>
      </c>
      <c r="BM277" s="220" t="s">
        <v>797</v>
      </c>
      <c r="BO277" s="1" t="s">
        <v>539</v>
      </c>
      <c r="BP277" s="1" t="s">
        <v>798</v>
      </c>
      <c r="BQ277" s="233"/>
      <c r="BR277" s="234"/>
    </row>
    <row r="278" spans="1:70">
      <c r="A278" s="219" t="s">
        <v>451</v>
      </c>
      <c r="B278" s="214" t="s">
        <v>267</v>
      </c>
      <c r="C278" s="66" t="s">
        <v>175</v>
      </c>
      <c r="D278" s="287"/>
      <c r="E278" s="103" t="s">
        <v>176</v>
      </c>
      <c r="F278" s="282"/>
      <c r="G278" s="71" t="s">
        <v>385</v>
      </c>
      <c r="H278" s="70" t="s">
        <v>799</v>
      </c>
      <c r="I278" s="70" t="s">
        <v>184</v>
      </c>
      <c r="J278" s="71" t="s">
        <v>193</v>
      </c>
      <c r="K278" s="70" t="s">
        <v>398</v>
      </c>
      <c r="L278" s="69" t="s">
        <v>213</v>
      </c>
      <c r="M278" s="180" t="s">
        <v>562</v>
      </c>
      <c r="N278" s="68">
        <v>7.9799999999999986</v>
      </c>
      <c r="O278" s="68">
        <v>10.199999999999999</v>
      </c>
      <c r="P278" s="144">
        <v>10.199999999999999</v>
      </c>
      <c r="Q278" s="144">
        <v>10.199999999999999</v>
      </c>
      <c r="R278" s="144">
        <v>10.199999999999999</v>
      </c>
      <c r="S278" s="144">
        <v>10.199999999999999</v>
      </c>
      <c r="T278" s="144">
        <v>10.199999999999999</v>
      </c>
      <c r="U278" s="144">
        <v>10.199999999999999</v>
      </c>
      <c r="V278" s="144">
        <v>10.199999999999999</v>
      </c>
      <c r="W278" s="144">
        <v>10.199999999999999</v>
      </c>
      <c r="X278" s="144">
        <v>10.199999999999999</v>
      </c>
      <c r="Y278" s="144">
        <v>10.199999999999999</v>
      </c>
      <c r="Z278" s="144">
        <v>10.199999999999999</v>
      </c>
      <c r="AA278" s="58">
        <v>10.199999999999999</v>
      </c>
      <c r="AB278" s="58">
        <v>2.2200000000000002</v>
      </c>
      <c r="AC278" s="10">
        <v>2.2200000000000002</v>
      </c>
      <c r="AD278" s="10">
        <v>2.2200000000000002</v>
      </c>
      <c r="AE278" s="10">
        <v>2.2200000000000002</v>
      </c>
      <c r="AF278" s="10">
        <v>2.2200000000000002</v>
      </c>
      <c r="AG278" s="10">
        <v>2.2200000000000002</v>
      </c>
      <c r="AH278" s="10">
        <v>2.2200000000000002</v>
      </c>
      <c r="AI278" s="10">
        <v>2.2200000000000002</v>
      </c>
      <c r="AJ278" s="10">
        <v>2.2200000000000002</v>
      </c>
      <c r="AK278" s="10">
        <v>2.2200000000000002</v>
      </c>
      <c r="AL278" s="10">
        <v>2.2200000000000002</v>
      </c>
      <c r="AM278" s="10">
        <v>2.2200000000000002</v>
      </c>
      <c r="AN278" s="149">
        <v>2.2200000000000002</v>
      </c>
      <c r="AO278" s="5">
        <v>1520</v>
      </c>
      <c r="AP278" s="118">
        <f t="shared" ref="AP278:AP287" si="74">AC278*AO278</f>
        <v>3374.4</v>
      </c>
      <c r="AQ278" s="5">
        <v>0</v>
      </c>
      <c r="AR278" s="118">
        <f t="shared" ref="AR278:AR287" si="75">AD278*AQ278</f>
        <v>0</v>
      </c>
      <c r="AS278" s="5">
        <v>800</v>
      </c>
      <c r="AT278" s="127">
        <f t="shared" ref="AT278:AT287" si="76">AE278*AS278</f>
        <v>1776.0000000000002</v>
      </c>
      <c r="AU278" s="5">
        <v>0</v>
      </c>
      <c r="AV278" s="118">
        <f t="shared" ref="AV278:AV287" si="77">AF278*AU278</f>
        <v>0</v>
      </c>
      <c r="AW278" s="5">
        <v>1080</v>
      </c>
      <c r="AX278" s="118">
        <f t="shared" ref="AX278:AX287" si="78">AG278*AW278</f>
        <v>2397.6000000000004</v>
      </c>
      <c r="AY278" s="5">
        <v>2000</v>
      </c>
      <c r="AZ278" s="127">
        <f t="shared" ref="AZ278:AZ287" si="79">AH278*AY278</f>
        <v>4440</v>
      </c>
      <c r="BA278" s="5">
        <v>0</v>
      </c>
      <c r="BB278" s="118">
        <f t="shared" ref="BB278:BB287" si="80">AI278*BA278</f>
        <v>0</v>
      </c>
      <c r="BC278" s="5">
        <v>0</v>
      </c>
      <c r="BD278" s="118">
        <f t="shared" ref="BD278:BD287" si="81">AJ278*BC278</f>
        <v>0</v>
      </c>
      <c r="BE278" s="5">
        <v>0</v>
      </c>
      <c r="BF278" s="127">
        <f t="shared" ref="BF278:BF287" si="82">AK278*BE278</f>
        <v>0</v>
      </c>
      <c r="BG278" s="5">
        <v>0</v>
      </c>
      <c r="BH278" s="118">
        <f t="shared" si="66"/>
        <v>0</v>
      </c>
      <c r="BI278" s="5">
        <v>0</v>
      </c>
      <c r="BJ278" s="118">
        <f t="shared" ref="BJ278:BJ287" si="83">AM278*BI278</f>
        <v>0</v>
      </c>
      <c r="BK278" s="5">
        <v>0</v>
      </c>
      <c r="BL278" s="127">
        <f t="shared" ref="BL278:BL287" si="84">AN278*BK278</f>
        <v>0</v>
      </c>
      <c r="BM278" s="220" t="s">
        <v>800</v>
      </c>
      <c r="BO278" s="1" t="s">
        <v>539</v>
      </c>
      <c r="BP278" s="1" t="s">
        <v>801</v>
      </c>
      <c r="BQ278" s="233"/>
      <c r="BR278" s="234"/>
    </row>
    <row r="279" spans="1:70">
      <c r="A279" s="219" t="s">
        <v>451</v>
      </c>
      <c r="B279" s="214" t="s">
        <v>267</v>
      </c>
      <c r="C279" s="66" t="s">
        <v>175</v>
      </c>
      <c r="D279" s="287"/>
      <c r="E279" s="103" t="s">
        <v>176</v>
      </c>
      <c r="F279" s="282"/>
      <c r="G279" s="71" t="s">
        <v>385</v>
      </c>
      <c r="H279" s="70" t="s">
        <v>799</v>
      </c>
      <c r="I279" s="70" t="s">
        <v>184</v>
      </c>
      <c r="J279" s="71" t="s">
        <v>193</v>
      </c>
      <c r="K279" s="70" t="s">
        <v>802</v>
      </c>
      <c r="L279" s="69" t="s">
        <v>213</v>
      </c>
      <c r="M279" s="180" t="s">
        <v>562</v>
      </c>
      <c r="N279" s="68">
        <v>10.729999999999999</v>
      </c>
      <c r="O279" s="68">
        <v>12.7</v>
      </c>
      <c r="P279" s="144">
        <v>12.7</v>
      </c>
      <c r="Q279" s="144">
        <v>12.7</v>
      </c>
      <c r="R279" s="144">
        <v>12.7</v>
      </c>
      <c r="S279" s="144">
        <v>12.7</v>
      </c>
      <c r="T279" s="144">
        <v>12.7</v>
      </c>
      <c r="U279" s="144">
        <v>12.7</v>
      </c>
      <c r="V279" s="144">
        <v>12.7</v>
      </c>
      <c r="W279" s="144">
        <v>12.7</v>
      </c>
      <c r="X279" s="144">
        <v>12.7</v>
      </c>
      <c r="Y279" s="144">
        <v>12.7</v>
      </c>
      <c r="Z279" s="144">
        <v>12.7</v>
      </c>
      <c r="AA279" s="58">
        <v>12.7</v>
      </c>
      <c r="AB279" s="58">
        <v>1.97</v>
      </c>
      <c r="AC279" s="10">
        <v>1.97</v>
      </c>
      <c r="AD279" s="10">
        <v>1.97</v>
      </c>
      <c r="AE279" s="10">
        <v>1.97</v>
      </c>
      <c r="AF279" s="10">
        <v>1.97</v>
      </c>
      <c r="AG279" s="10">
        <v>1.97</v>
      </c>
      <c r="AH279" s="10">
        <v>1.97</v>
      </c>
      <c r="AI279" s="10">
        <v>1.97</v>
      </c>
      <c r="AJ279" s="10">
        <v>1.97</v>
      </c>
      <c r="AK279" s="10">
        <v>1.97</v>
      </c>
      <c r="AL279" s="10">
        <v>1.97</v>
      </c>
      <c r="AM279" s="10">
        <v>1.97</v>
      </c>
      <c r="AN279" s="149">
        <v>1.97</v>
      </c>
      <c r="AO279" s="5">
        <v>1429</v>
      </c>
      <c r="AP279" s="118">
        <f t="shared" si="74"/>
        <v>2815.13</v>
      </c>
      <c r="AQ279" s="5">
        <v>0</v>
      </c>
      <c r="AR279" s="118">
        <f t="shared" si="75"/>
        <v>0</v>
      </c>
      <c r="AS279" s="5">
        <v>800</v>
      </c>
      <c r="AT279" s="127">
        <f t="shared" si="76"/>
        <v>1576</v>
      </c>
      <c r="AU279" s="5">
        <v>0</v>
      </c>
      <c r="AV279" s="118">
        <f t="shared" si="77"/>
        <v>0</v>
      </c>
      <c r="AW279" s="5">
        <v>320</v>
      </c>
      <c r="AX279" s="118">
        <f t="shared" si="78"/>
        <v>630.4</v>
      </c>
      <c r="AY279" s="5">
        <v>840</v>
      </c>
      <c r="AZ279" s="127">
        <f t="shared" si="79"/>
        <v>1654.8</v>
      </c>
      <c r="BA279" s="5">
        <v>0</v>
      </c>
      <c r="BB279" s="118">
        <f t="shared" si="80"/>
        <v>0</v>
      </c>
      <c r="BC279" s="5">
        <v>0</v>
      </c>
      <c r="BD279" s="118">
        <f t="shared" si="81"/>
        <v>0</v>
      </c>
      <c r="BE279" s="5">
        <v>0</v>
      </c>
      <c r="BF279" s="127">
        <f t="shared" si="82"/>
        <v>0</v>
      </c>
      <c r="BG279" s="5">
        <v>0</v>
      </c>
      <c r="BH279" s="118">
        <f t="shared" si="66"/>
        <v>0</v>
      </c>
      <c r="BI279" s="5">
        <v>0</v>
      </c>
      <c r="BJ279" s="118">
        <f t="shared" si="83"/>
        <v>0</v>
      </c>
      <c r="BK279" s="5">
        <v>0</v>
      </c>
      <c r="BL279" s="127">
        <f t="shared" si="84"/>
        <v>0</v>
      </c>
      <c r="BM279" s="220" t="s">
        <v>803</v>
      </c>
      <c r="BO279" s="1" t="s">
        <v>539</v>
      </c>
      <c r="BP279" s="1" t="s">
        <v>804</v>
      </c>
      <c r="BQ279" s="233"/>
      <c r="BR279" s="234"/>
    </row>
    <row r="280" spans="1:70">
      <c r="A280" s="219" t="s">
        <v>451</v>
      </c>
      <c r="B280" s="214"/>
      <c r="C280" s="66" t="s">
        <v>175</v>
      </c>
      <c r="D280" s="287"/>
      <c r="E280" s="103" t="s">
        <v>176</v>
      </c>
      <c r="F280" s="282"/>
      <c r="G280" s="72"/>
      <c r="H280" s="54"/>
      <c r="I280" s="54"/>
      <c r="J280" s="55"/>
      <c r="K280" s="54"/>
      <c r="L280" s="53"/>
      <c r="M280" s="52"/>
      <c r="N280" s="52"/>
      <c r="O280" s="52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  <c r="AA280" s="49"/>
      <c r="AB280" s="49"/>
      <c r="AC280" s="48"/>
      <c r="AD280" s="48"/>
      <c r="AE280" s="48"/>
      <c r="AF280" s="48"/>
      <c r="AG280" s="48"/>
      <c r="AH280" s="48"/>
      <c r="AI280" s="48"/>
      <c r="AJ280" s="48"/>
      <c r="AK280" s="48"/>
      <c r="AL280" s="48"/>
      <c r="AM280" s="48"/>
      <c r="AN280" s="150"/>
      <c r="AO280" s="211"/>
      <c r="AP280" s="184">
        <f t="shared" si="74"/>
        <v>0</v>
      </c>
      <c r="AQ280" s="23"/>
      <c r="AR280" s="184">
        <f t="shared" si="75"/>
        <v>0</v>
      </c>
      <c r="AS280" s="23">
        <v>0</v>
      </c>
      <c r="AT280" s="185">
        <f t="shared" si="76"/>
        <v>0</v>
      </c>
      <c r="AU280" s="23">
        <v>0</v>
      </c>
      <c r="AV280" s="184">
        <f t="shared" si="77"/>
        <v>0</v>
      </c>
      <c r="AW280" s="23">
        <v>0</v>
      </c>
      <c r="AX280" s="184">
        <f t="shared" si="78"/>
        <v>0</v>
      </c>
      <c r="AY280" s="23"/>
      <c r="AZ280" s="185">
        <f t="shared" si="79"/>
        <v>0</v>
      </c>
      <c r="BA280" s="50"/>
      <c r="BB280" s="184">
        <f t="shared" si="80"/>
        <v>0</v>
      </c>
      <c r="BC280" s="50"/>
      <c r="BD280" s="184">
        <f t="shared" si="81"/>
        <v>0</v>
      </c>
      <c r="BE280" s="23"/>
      <c r="BF280" s="185">
        <f t="shared" si="82"/>
        <v>0</v>
      </c>
      <c r="BG280" s="50"/>
      <c r="BH280" s="184">
        <f t="shared" si="66"/>
        <v>0</v>
      </c>
      <c r="BI280" s="23"/>
      <c r="BJ280" s="184">
        <f t="shared" si="83"/>
        <v>0</v>
      </c>
      <c r="BK280" s="23"/>
      <c r="BL280" s="185">
        <f t="shared" si="84"/>
        <v>0</v>
      </c>
      <c r="BP280" s="1" t="s">
        <v>208</v>
      </c>
      <c r="BQ280" s="233"/>
      <c r="BR280" s="234"/>
    </row>
    <row r="281" spans="1:70">
      <c r="A281" s="219" t="s">
        <v>451</v>
      </c>
      <c r="B281" s="214" t="s">
        <v>267</v>
      </c>
      <c r="C281" s="66" t="s">
        <v>175</v>
      </c>
      <c r="D281" s="287"/>
      <c r="E281" s="103" t="s">
        <v>176</v>
      </c>
      <c r="F281" s="282" t="s">
        <v>805</v>
      </c>
      <c r="G281" s="71" t="s">
        <v>200</v>
      </c>
      <c r="H281" s="70" t="s">
        <v>296</v>
      </c>
      <c r="I281" s="70" t="s">
        <v>184</v>
      </c>
      <c r="J281" s="71" t="s">
        <v>193</v>
      </c>
      <c r="K281" s="70" t="s">
        <v>288</v>
      </c>
      <c r="L281" s="69" t="s">
        <v>213</v>
      </c>
      <c r="M281" s="180" t="s">
        <v>562</v>
      </c>
      <c r="N281" s="68">
        <v>7.98</v>
      </c>
      <c r="O281" s="68">
        <v>10.5</v>
      </c>
      <c r="P281" s="144">
        <v>10.5</v>
      </c>
      <c r="Q281" s="144">
        <v>10.5</v>
      </c>
      <c r="R281" s="144">
        <v>10.5</v>
      </c>
      <c r="S281" s="144">
        <v>10.5</v>
      </c>
      <c r="T281" s="144">
        <v>10.5</v>
      </c>
      <c r="U281" s="144">
        <v>10.5</v>
      </c>
      <c r="V281" s="144">
        <v>10.5</v>
      </c>
      <c r="W281" s="144">
        <v>10.5</v>
      </c>
      <c r="X281" s="144">
        <v>10.5</v>
      </c>
      <c r="Y281" s="144">
        <v>10.5</v>
      </c>
      <c r="Z281" s="144">
        <v>10.5</v>
      </c>
      <c r="AA281" s="58">
        <v>10.5</v>
      </c>
      <c r="AB281" s="58">
        <v>2.52</v>
      </c>
      <c r="AC281" s="10">
        <v>2.52</v>
      </c>
      <c r="AD281" s="10">
        <v>2.52</v>
      </c>
      <c r="AE281" s="10">
        <v>2.52</v>
      </c>
      <c r="AF281" s="10">
        <v>2.52</v>
      </c>
      <c r="AG281" s="10">
        <v>2.52</v>
      </c>
      <c r="AH281" s="10">
        <v>2.52</v>
      </c>
      <c r="AI281" s="10">
        <v>2.52</v>
      </c>
      <c r="AJ281" s="10">
        <v>2.52</v>
      </c>
      <c r="AK281" s="10">
        <v>2.52</v>
      </c>
      <c r="AL281" s="10">
        <v>2.52</v>
      </c>
      <c r="AM281" s="10">
        <v>2.52</v>
      </c>
      <c r="AN281" s="149">
        <v>2.52</v>
      </c>
      <c r="AO281" s="5">
        <v>0</v>
      </c>
      <c r="AP281" s="118">
        <f t="shared" si="74"/>
        <v>0</v>
      </c>
      <c r="AQ281" s="5">
        <v>0</v>
      </c>
      <c r="AR281" s="118">
        <f t="shared" si="75"/>
        <v>0</v>
      </c>
      <c r="AS281" s="5">
        <v>0</v>
      </c>
      <c r="AT281" s="127">
        <f t="shared" si="76"/>
        <v>0</v>
      </c>
      <c r="AU281" s="5">
        <v>0</v>
      </c>
      <c r="AV281" s="118">
        <f t="shared" si="77"/>
        <v>0</v>
      </c>
      <c r="AW281" s="5">
        <v>0</v>
      </c>
      <c r="AX281" s="118">
        <f t="shared" si="78"/>
        <v>0</v>
      </c>
      <c r="AY281" s="5">
        <v>0</v>
      </c>
      <c r="AZ281" s="127">
        <f t="shared" si="79"/>
        <v>0</v>
      </c>
      <c r="BA281" s="5">
        <v>0</v>
      </c>
      <c r="BB281" s="118">
        <f t="shared" si="80"/>
        <v>0</v>
      </c>
      <c r="BC281" s="5">
        <v>0</v>
      </c>
      <c r="BD281" s="118">
        <f t="shared" si="81"/>
        <v>0</v>
      </c>
      <c r="BE281" s="5">
        <v>0</v>
      </c>
      <c r="BF281" s="127">
        <f t="shared" si="82"/>
        <v>0</v>
      </c>
      <c r="BG281" s="5">
        <v>0</v>
      </c>
      <c r="BH281" s="118">
        <f t="shared" si="66"/>
        <v>0</v>
      </c>
      <c r="BI281" s="5">
        <v>0</v>
      </c>
      <c r="BJ281" s="118">
        <f t="shared" si="83"/>
        <v>0</v>
      </c>
      <c r="BK281" s="5">
        <v>0</v>
      </c>
      <c r="BL281" s="127">
        <f t="shared" si="84"/>
        <v>0</v>
      </c>
      <c r="BM281" s="220" t="s">
        <v>806</v>
      </c>
      <c r="BO281" s="1" t="s">
        <v>539</v>
      </c>
      <c r="BP281" s="1" t="s">
        <v>807</v>
      </c>
      <c r="BQ281" s="233"/>
      <c r="BR281" s="234"/>
    </row>
    <row r="282" spans="1:70">
      <c r="A282" s="219" t="s">
        <v>451</v>
      </c>
      <c r="B282" s="214"/>
      <c r="C282" s="66" t="s">
        <v>175</v>
      </c>
      <c r="D282" s="287"/>
      <c r="E282" s="103" t="s">
        <v>176</v>
      </c>
      <c r="F282" s="282"/>
      <c r="G282" s="72"/>
      <c r="H282" s="54"/>
      <c r="I282" s="54"/>
      <c r="J282" s="55"/>
      <c r="K282" s="54"/>
      <c r="L282" s="53"/>
      <c r="M282" s="52"/>
      <c r="N282" s="52"/>
      <c r="O282" s="52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  <c r="AA282" s="49"/>
      <c r="AB282" s="49"/>
      <c r="AC282" s="48"/>
      <c r="AD282" s="48"/>
      <c r="AE282" s="48"/>
      <c r="AF282" s="48"/>
      <c r="AG282" s="48"/>
      <c r="AH282" s="48"/>
      <c r="AI282" s="48"/>
      <c r="AJ282" s="48"/>
      <c r="AK282" s="48"/>
      <c r="AL282" s="48"/>
      <c r="AM282" s="48"/>
      <c r="AN282" s="150"/>
      <c r="AO282" s="211"/>
      <c r="AP282" s="184">
        <f t="shared" si="74"/>
        <v>0</v>
      </c>
      <c r="AQ282" s="23"/>
      <c r="AR282" s="184">
        <f t="shared" si="75"/>
        <v>0</v>
      </c>
      <c r="AS282" s="23">
        <v>0</v>
      </c>
      <c r="AT282" s="185">
        <f t="shared" si="76"/>
        <v>0</v>
      </c>
      <c r="AU282" s="23">
        <v>0</v>
      </c>
      <c r="AV282" s="184">
        <f t="shared" si="77"/>
        <v>0</v>
      </c>
      <c r="AW282" s="23">
        <v>0</v>
      </c>
      <c r="AX282" s="184">
        <f t="shared" si="78"/>
        <v>0</v>
      </c>
      <c r="AY282" s="23"/>
      <c r="AZ282" s="185">
        <f t="shared" si="79"/>
        <v>0</v>
      </c>
      <c r="BA282" s="50"/>
      <c r="BB282" s="184">
        <f t="shared" si="80"/>
        <v>0</v>
      </c>
      <c r="BC282" s="50"/>
      <c r="BD282" s="184">
        <f t="shared" si="81"/>
        <v>0</v>
      </c>
      <c r="BE282" s="23"/>
      <c r="BF282" s="185">
        <f t="shared" si="82"/>
        <v>0</v>
      </c>
      <c r="BG282" s="50"/>
      <c r="BH282" s="184">
        <f t="shared" si="66"/>
        <v>0</v>
      </c>
      <c r="BI282" s="23"/>
      <c r="BJ282" s="184">
        <f t="shared" si="83"/>
        <v>0</v>
      </c>
      <c r="BK282" s="23"/>
      <c r="BL282" s="185">
        <f t="shared" si="84"/>
        <v>0</v>
      </c>
      <c r="BP282" s="1" t="s">
        <v>208</v>
      </c>
      <c r="BQ282" s="233"/>
      <c r="BR282" s="234"/>
    </row>
    <row r="283" spans="1:70">
      <c r="A283" s="219" t="s">
        <v>451</v>
      </c>
      <c r="B283" s="214" t="s">
        <v>267</v>
      </c>
      <c r="C283" s="66" t="s">
        <v>175</v>
      </c>
      <c r="D283" s="287"/>
      <c r="E283" s="103" t="s">
        <v>176</v>
      </c>
      <c r="F283" s="282" t="s">
        <v>808</v>
      </c>
      <c r="G283" s="71" t="s">
        <v>202</v>
      </c>
      <c r="H283" s="70" t="s">
        <v>312</v>
      </c>
      <c r="I283" s="70" t="s">
        <v>184</v>
      </c>
      <c r="J283" s="71" t="s">
        <v>283</v>
      </c>
      <c r="K283" s="70" t="s">
        <v>809</v>
      </c>
      <c r="L283" s="69" t="s">
        <v>213</v>
      </c>
      <c r="M283" s="180" t="s">
        <v>562</v>
      </c>
      <c r="N283" s="68">
        <v>9.15</v>
      </c>
      <c r="O283" s="68">
        <v>12</v>
      </c>
      <c r="P283" s="144">
        <v>12</v>
      </c>
      <c r="Q283" s="144">
        <v>12</v>
      </c>
      <c r="R283" s="144">
        <v>12</v>
      </c>
      <c r="S283" s="144">
        <v>12</v>
      </c>
      <c r="T283" s="144">
        <v>12</v>
      </c>
      <c r="U283" s="144">
        <v>12</v>
      </c>
      <c r="V283" s="144">
        <v>12</v>
      </c>
      <c r="W283" s="144">
        <v>12</v>
      </c>
      <c r="X283" s="144">
        <v>12</v>
      </c>
      <c r="Y283" s="144">
        <v>12</v>
      </c>
      <c r="Z283" s="144">
        <v>12</v>
      </c>
      <c r="AA283" s="58">
        <v>12</v>
      </c>
      <c r="AB283" s="58">
        <v>2.85</v>
      </c>
      <c r="AC283" s="10">
        <v>2.85</v>
      </c>
      <c r="AD283" s="10">
        <v>2.85</v>
      </c>
      <c r="AE283" s="10">
        <v>2.85</v>
      </c>
      <c r="AF283" s="10">
        <v>2.85</v>
      </c>
      <c r="AG283" s="10">
        <v>2.85</v>
      </c>
      <c r="AH283" s="10">
        <v>2.85</v>
      </c>
      <c r="AI283" s="10">
        <v>2.85</v>
      </c>
      <c r="AJ283" s="10">
        <v>2.85</v>
      </c>
      <c r="AK283" s="10">
        <v>2.85</v>
      </c>
      <c r="AL283" s="10">
        <v>2.85</v>
      </c>
      <c r="AM283" s="10">
        <v>2.85</v>
      </c>
      <c r="AN283" s="149">
        <v>2.85</v>
      </c>
      <c r="AO283" s="5">
        <v>0</v>
      </c>
      <c r="AP283" s="118">
        <f t="shared" si="74"/>
        <v>0</v>
      </c>
      <c r="AQ283" s="5">
        <v>2000</v>
      </c>
      <c r="AR283" s="118">
        <f t="shared" si="75"/>
        <v>5700</v>
      </c>
      <c r="AS283" s="5">
        <v>0</v>
      </c>
      <c r="AT283" s="127">
        <f t="shared" si="76"/>
        <v>0</v>
      </c>
      <c r="AU283" s="5">
        <v>0</v>
      </c>
      <c r="AV283" s="118">
        <f t="shared" si="77"/>
        <v>0</v>
      </c>
      <c r="AW283" s="5">
        <v>40</v>
      </c>
      <c r="AX283" s="118">
        <f t="shared" si="78"/>
        <v>114</v>
      </c>
      <c r="AY283" s="5">
        <v>0</v>
      </c>
      <c r="AZ283" s="127">
        <f t="shared" si="79"/>
        <v>0</v>
      </c>
      <c r="BA283" s="105">
        <v>0</v>
      </c>
      <c r="BB283" s="118">
        <f t="shared" si="80"/>
        <v>0</v>
      </c>
      <c r="BC283" s="105">
        <v>80</v>
      </c>
      <c r="BD283" s="118">
        <f t="shared" si="81"/>
        <v>228</v>
      </c>
      <c r="BE283" s="5">
        <v>0</v>
      </c>
      <c r="BF283" s="127">
        <f t="shared" si="82"/>
        <v>0</v>
      </c>
      <c r="BG283" s="105">
        <v>40</v>
      </c>
      <c r="BH283" s="118">
        <f t="shared" si="66"/>
        <v>114</v>
      </c>
      <c r="BI283" s="5">
        <v>0</v>
      </c>
      <c r="BJ283" s="118">
        <f t="shared" si="83"/>
        <v>0</v>
      </c>
      <c r="BK283" s="5">
        <v>0</v>
      </c>
      <c r="BL283" s="127">
        <f t="shared" si="84"/>
        <v>0</v>
      </c>
      <c r="BM283" s="220" t="s">
        <v>810</v>
      </c>
      <c r="BO283" s="1" t="s">
        <v>539</v>
      </c>
      <c r="BP283" s="1" t="s">
        <v>811</v>
      </c>
      <c r="BQ283" s="233"/>
      <c r="BR283" s="234"/>
    </row>
    <row r="284" spans="1:70">
      <c r="A284" s="219" t="s">
        <v>451</v>
      </c>
      <c r="B284" s="214" t="s">
        <v>267</v>
      </c>
      <c r="C284" s="66" t="s">
        <v>175</v>
      </c>
      <c r="D284" s="287"/>
      <c r="E284" s="103" t="s">
        <v>176</v>
      </c>
      <c r="F284" s="282"/>
      <c r="G284" s="71" t="s">
        <v>202</v>
      </c>
      <c r="H284" s="70" t="s">
        <v>312</v>
      </c>
      <c r="I284" s="70" t="s">
        <v>184</v>
      </c>
      <c r="J284" s="71" t="s">
        <v>283</v>
      </c>
      <c r="K284" s="70" t="s">
        <v>812</v>
      </c>
      <c r="L284" s="69" t="s">
        <v>213</v>
      </c>
      <c r="M284" s="180" t="s">
        <v>562</v>
      </c>
      <c r="N284" s="68">
        <v>14.9</v>
      </c>
      <c r="O284" s="68">
        <v>18.8</v>
      </c>
      <c r="P284" s="144">
        <v>18.8</v>
      </c>
      <c r="Q284" s="144">
        <v>18.8</v>
      </c>
      <c r="R284" s="144">
        <v>18.8</v>
      </c>
      <c r="S284" s="144">
        <v>18.8</v>
      </c>
      <c r="T284" s="144">
        <v>18.8</v>
      </c>
      <c r="U284" s="144">
        <v>18.8</v>
      </c>
      <c r="V284" s="144">
        <v>18.8</v>
      </c>
      <c r="W284" s="144">
        <v>18.8</v>
      </c>
      <c r="X284" s="144">
        <v>18.8</v>
      </c>
      <c r="Y284" s="144">
        <v>18.8</v>
      </c>
      <c r="Z284" s="144">
        <v>18.8</v>
      </c>
      <c r="AA284" s="58">
        <v>18.8</v>
      </c>
      <c r="AB284" s="58">
        <v>3.9</v>
      </c>
      <c r="AC284" s="10">
        <v>3.9</v>
      </c>
      <c r="AD284" s="10">
        <v>3.9</v>
      </c>
      <c r="AE284" s="10">
        <v>3.9</v>
      </c>
      <c r="AF284" s="10">
        <v>3.9</v>
      </c>
      <c r="AG284" s="10">
        <v>3.9</v>
      </c>
      <c r="AH284" s="10">
        <v>3.9</v>
      </c>
      <c r="AI284" s="10">
        <v>3.9</v>
      </c>
      <c r="AJ284" s="10">
        <v>3.9</v>
      </c>
      <c r="AK284" s="10">
        <v>3.9</v>
      </c>
      <c r="AL284" s="10">
        <v>3.9</v>
      </c>
      <c r="AM284" s="10">
        <v>3.9</v>
      </c>
      <c r="AN284" s="149">
        <v>3.9</v>
      </c>
      <c r="AO284" s="5">
        <v>1520</v>
      </c>
      <c r="AP284" s="118">
        <f t="shared" si="74"/>
        <v>5928</v>
      </c>
      <c r="AQ284" s="5">
        <v>1920</v>
      </c>
      <c r="AR284" s="118">
        <f t="shared" si="75"/>
        <v>7488</v>
      </c>
      <c r="AS284" s="5">
        <v>0</v>
      </c>
      <c r="AT284" s="127">
        <f t="shared" si="76"/>
        <v>0</v>
      </c>
      <c r="AU284" s="5">
        <v>680</v>
      </c>
      <c r="AV284" s="118">
        <f t="shared" si="77"/>
        <v>2652</v>
      </c>
      <c r="AW284" s="5">
        <v>1070</v>
      </c>
      <c r="AX284" s="118">
        <f t="shared" si="78"/>
        <v>4173</v>
      </c>
      <c r="AY284" s="5">
        <v>1100</v>
      </c>
      <c r="AZ284" s="127">
        <f t="shared" si="79"/>
        <v>4290</v>
      </c>
      <c r="BA284" s="105">
        <v>200</v>
      </c>
      <c r="BB284" s="118">
        <f t="shared" si="80"/>
        <v>780</v>
      </c>
      <c r="BC284" s="105">
        <v>190</v>
      </c>
      <c r="BD284" s="118">
        <f t="shared" si="81"/>
        <v>741</v>
      </c>
      <c r="BE284" s="5">
        <v>880</v>
      </c>
      <c r="BF284" s="127">
        <f t="shared" si="82"/>
        <v>3432</v>
      </c>
      <c r="BG284" s="105">
        <v>120</v>
      </c>
      <c r="BH284" s="118">
        <f t="shared" si="66"/>
        <v>468</v>
      </c>
      <c r="BI284" s="5">
        <v>40</v>
      </c>
      <c r="BJ284" s="118">
        <f t="shared" si="83"/>
        <v>156</v>
      </c>
      <c r="BK284" s="5">
        <f>VLOOKUP(BP:BP,'[1]COMPAL_202505~'!$B$1:$I$11,8,0)</f>
        <v>40</v>
      </c>
      <c r="BL284" s="127">
        <f t="shared" si="84"/>
        <v>156</v>
      </c>
      <c r="BM284" s="220" t="s">
        <v>813</v>
      </c>
      <c r="BO284" s="1" t="s">
        <v>539</v>
      </c>
      <c r="BP284" s="1" t="s">
        <v>814</v>
      </c>
      <c r="BQ284" s="233"/>
      <c r="BR284" s="234"/>
    </row>
    <row r="285" spans="1:70">
      <c r="A285" s="219" t="s">
        <v>451</v>
      </c>
      <c r="B285" s="214" t="s">
        <v>267</v>
      </c>
      <c r="C285" s="66" t="s">
        <v>175</v>
      </c>
      <c r="D285" s="287"/>
      <c r="E285" s="103" t="s">
        <v>176</v>
      </c>
      <c r="F285" s="282"/>
      <c r="G285" s="71" t="s">
        <v>202</v>
      </c>
      <c r="H285" s="70" t="s">
        <v>314</v>
      </c>
      <c r="I285" s="70" t="s">
        <v>184</v>
      </c>
      <c r="J285" s="71" t="s">
        <v>283</v>
      </c>
      <c r="K285" s="70" t="s">
        <v>815</v>
      </c>
      <c r="L285" s="69" t="s">
        <v>213</v>
      </c>
      <c r="M285" s="180" t="s">
        <v>562</v>
      </c>
      <c r="N285" s="68">
        <v>14.9</v>
      </c>
      <c r="O285" s="68">
        <v>18.8</v>
      </c>
      <c r="P285" s="144">
        <v>18.8</v>
      </c>
      <c r="Q285" s="144">
        <v>18.8</v>
      </c>
      <c r="R285" s="144">
        <v>18.8</v>
      </c>
      <c r="S285" s="144">
        <v>18.8</v>
      </c>
      <c r="T285" s="144">
        <v>18.8</v>
      </c>
      <c r="U285" s="144">
        <v>18.8</v>
      </c>
      <c r="V285" s="144">
        <v>18.8</v>
      </c>
      <c r="W285" s="144">
        <v>18.8</v>
      </c>
      <c r="X285" s="144">
        <v>18.8</v>
      </c>
      <c r="Y285" s="144">
        <v>18.8</v>
      </c>
      <c r="Z285" s="144">
        <v>18.8</v>
      </c>
      <c r="AA285" s="58">
        <v>18.8</v>
      </c>
      <c r="AB285" s="58">
        <v>3.9</v>
      </c>
      <c r="AC285" s="10">
        <v>3.9</v>
      </c>
      <c r="AD285" s="10">
        <v>3.9</v>
      </c>
      <c r="AE285" s="10">
        <v>3.9</v>
      </c>
      <c r="AF285" s="10">
        <v>3.9</v>
      </c>
      <c r="AG285" s="10">
        <v>3.9</v>
      </c>
      <c r="AH285" s="10">
        <v>3.9</v>
      </c>
      <c r="AI285" s="10">
        <v>3.9</v>
      </c>
      <c r="AJ285" s="10">
        <v>3.9</v>
      </c>
      <c r="AK285" s="10">
        <v>3.9</v>
      </c>
      <c r="AL285" s="10">
        <v>3.9</v>
      </c>
      <c r="AM285" s="10">
        <v>3.9</v>
      </c>
      <c r="AN285" s="149">
        <v>3.9</v>
      </c>
      <c r="AO285" s="5">
        <v>400</v>
      </c>
      <c r="AP285" s="118">
        <f t="shared" si="74"/>
        <v>1560</v>
      </c>
      <c r="AQ285" s="5">
        <v>80</v>
      </c>
      <c r="AR285" s="118">
        <f t="shared" si="75"/>
        <v>312</v>
      </c>
      <c r="AS285" s="5">
        <v>80</v>
      </c>
      <c r="AT285" s="127">
        <f t="shared" si="76"/>
        <v>312</v>
      </c>
      <c r="AU285" s="5">
        <v>40</v>
      </c>
      <c r="AV285" s="118">
        <f t="shared" si="77"/>
        <v>156</v>
      </c>
      <c r="AW285" s="5">
        <v>240</v>
      </c>
      <c r="AX285" s="118">
        <f t="shared" si="78"/>
        <v>936</v>
      </c>
      <c r="AY285" s="5">
        <v>80</v>
      </c>
      <c r="AZ285" s="127">
        <f t="shared" si="79"/>
        <v>312</v>
      </c>
      <c r="BA285" s="105">
        <v>320</v>
      </c>
      <c r="BB285" s="118">
        <f t="shared" si="80"/>
        <v>1248</v>
      </c>
      <c r="BC285" s="105">
        <v>40</v>
      </c>
      <c r="BD285" s="118">
        <f t="shared" si="81"/>
        <v>156</v>
      </c>
      <c r="BE285" s="5">
        <v>0</v>
      </c>
      <c r="BF285" s="127">
        <f t="shared" si="82"/>
        <v>0</v>
      </c>
      <c r="BG285" s="105">
        <v>0</v>
      </c>
      <c r="BH285" s="118">
        <f t="shared" si="66"/>
        <v>0</v>
      </c>
      <c r="BI285" s="5">
        <v>0</v>
      </c>
      <c r="BJ285" s="118">
        <f t="shared" si="83"/>
        <v>0</v>
      </c>
      <c r="BK285" s="5">
        <f>VLOOKUP(BP:BP,'[1]COMPAL_202505~'!$B$1:$I$11,8,0)</f>
        <v>0</v>
      </c>
      <c r="BL285" s="127">
        <f t="shared" si="84"/>
        <v>0</v>
      </c>
      <c r="BM285" s="220" t="s">
        <v>816</v>
      </c>
      <c r="BO285" s="1" t="s">
        <v>539</v>
      </c>
      <c r="BP285" s="1" t="s">
        <v>817</v>
      </c>
      <c r="BQ285" s="233"/>
      <c r="BR285" s="234"/>
    </row>
    <row r="286" spans="1:70">
      <c r="A286" s="219" t="s">
        <v>451</v>
      </c>
      <c r="B286" s="214" t="s">
        <v>267</v>
      </c>
      <c r="C286" s="66" t="s">
        <v>175</v>
      </c>
      <c r="D286" s="287"/>
      <c r="E286" s="103" t="s">
        <v>176</v>
      </c>
      <c r="F286" s="282"/>
      <c r="G286" s="71" t="s">
        <v>202</v>
      </c>
      <c r="H286" s="70" t="s">
        <v>314</v>
      </c>
      <c r="I286" s="70" t="s">
        <v>184</v>
      </c>
      <c r="J286" s="71" t="s">
        <v>283</v>
      </c>
      <c r="K286" s="70" t="s">
        <v>818</v>
      </c>
      <c r="L286" s="69" t="s">
        <v>213</v>
      </c>
      <c r="M286" s="180" t="s">
        <v>562</v>
      </c>
      <c r="N286" s="68">
        <v>14.9</v>
      </c>
      <c r="O286" s="68">
        <v>18.8</v>
      </c>
      <c r="P286" s="144">
        <v>18.8</v>
      </c>
      <c r="Q286" s="144">
        <v>18.8</v>
      </c>
      <c r="R286" s="144">
        <v>18.8</v>
      </c>
      <c r="S286" s="144">
        <v>18.8</v>
      </c>
      <c r="T286" s="144">
        <v>18.8</v>
      </c>
      <c r="U286" s="144">
        <v>18.8</v>
      </c>
      <c r="V286" s="144">
        <v>18.8</v>
      </c>
      <c r="W286" s="144">
        <v>18.8</v>
      </c>
      <c r="X286" s="144">
        <v>18.8</v>
      </c>
      <c r="Y286" s="144">
        <v>18.8</v>
      </c>
      <c r="Z286" s="144">
        <v>18.8</v>
      </c>
      <c r="AA286" s="58">
        <v>18.8</v>
      </c>
      <c r="AB286" s="58">
        <v>3.9</v>
      </c>
      <c r="AC286" s="10">
        <v>3.9</v>
      </c>
      <c r="AD286" s="10">
        <v>3.9</v>
      </c>
      <c r="AE286" s="10">
        <v>3.9</v>
      </c>
      <c r="AF286" s="10">
        <v>3.9</v>
      </c>
      <c r="AG286" s="10">
        <v>3.9</v>
      </c>
      <c r="AH286" s="10">
        <v>3.9</v>
      </c>
      <c r="AI286" s="10">
        <v>3.9</v>
      </c>
      <c r="AJ286" s="10">
        <v>3.9</v>
      </c>
      <c r="AK286" s="10">
        <v>3.9</v>
      </c>
      <c r="AL286" s="10">
        <v>3.9</v>
      </c>
      <c r="AM286" s="10">
        <v>3.9</v>
      </c>
      <c r="AN286" s="149">
        <v>3.9</v>
      </c>
      <c r="AO286" s="5">
        <v>0</v>
      </c>
      <c r="AP286" s="118">
        <f t="shared" si="74"/>
        <v>0</v>
      </c>
      <c r="AQ286" s="5">
        <v>320</v>
      </c>
      <c r="AR286" s="118">
        <f t="shared" si="75"/>
        <v>1248</v>
      </c>
      <c r="AS286" s="5">
        <v>0</v>
      </c>
      <c r="AT286" s="127">
        <f t="shared" si="76"/>
        <v>0</v>
      </c>
      <c r="AU286" s="5">
        <v>0</v>
      </c>
      <c r="AV286" s="118">
        <f t="shared" si="77"/>
        <v>0</v>
      </c>
      <c r="AW286" s="5">
        <v>80</v>
      </c>
      <c r="AX286" s="118">
        <f t="shared" si="78"/>
        <v>312</v>
      </c>
      <c r="AY286" s="5">
        <v>0</v>
      </c>
      <c r="AZ286" s="127">
        <f t="shared" si="79"/>
        <v>0</v>
      </c>
      <c r="BA286" s="105">
        <v>0</v>
      </c>
      <c r="BB286" s="118">
        <f t="shared" si="80"/>
        <v>0</v>
      </c>
      <c r="BC286" s="105">
        <v>0</v>
      </c>
      <c r="BD286" s="118">
        <f t="shared" si="81"/>
        <v>0</v>
      </c>
      <c r="BE286" s="5">
        <v>0</v>
      </c>
      <c r="BF286" s="127">
        <f t="shared" si="82"/>
        <v>0</v>
      </c>
      <c r="BG286" s="105">
        <v>0</v>
      </c>
      <c r="BH286" s="118">
        <f t="shared" si="66"/>
        <v>0</v>
      </c>
      <c r="BI286" s="5">
        <v>0</v>
      </c>
      <c r="BJ286" s="118">
        <f t="shared" si="83"/>
        <v>0</v>
      </c>
      <c r="BK286" s="5">
        <v>0</v>
      </c>
      <c r="BL286" s="127">
        <f t="shared" si="84"/>
        <v>0</v>
      </c>
      <c r="BM286" s="220" t="s">
        <v>819</v>
      </c>
      <c r="BO286" s="1" t="s">
        <v>539</v>
      </c>
      <c r="BP286" s="1" t="s">
        <v>820</v>
      </c>
      <c r="BQ286" s="233"/>
      <c r="BR286" s="234"/>
    </row>
    <row r="287" spans="1:70">
      <c r="A287" s="218" t="s">
        <v>451</v>
      </c>
      <c r="B287" s="215"/>
      <c r="C287" s="57" t="s">
        <v>175</v>
      </c>
      <c r="D287" s="288"/>
      <c r="E287" s="104" t="s">
        <v>176</v>
      </c>
      <c r="F287" s="282"/>
      <c r="G287" s="56"/>
      <c r="H287" s="54"/>
      <c r="I287" s="54"/>
      <c r="J287" s="55"/>
      <c r="K287" s="54"/>
      <c r="L287" s="53"/>
      <c r="M287" s="52"/>
      <c r="N287" s="52"/>
      <c r="O287" s="52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  <c r="AA287" s="49"/>
      <c r="AB287" s="49"/>
      <c r="AC287" s="48"/>
      <c r="AD287" s="48"/>
      <c r="AE287" s="48"/>
      <c r="AF287" s="48"/>
      <c r="AG287" s="48"/>
      <c r="AH287" s="48"/>
      <c r="AI287" s="48"/>
      <c r="AJ287" s="48"/>
      <c r="AK287" s="48"/>
      <c r="AL287" s="48"/>
      <c r="AM287" s="48"/>
      <c r="AN287" s="150"/>
      <c r="AO287" s="211"/>
      <c r="AP287" s="184">
        <f t="shared" si="74"/>
        <v>0</v>
      </c>
      <c r="AQ287" s="23">
        <v>0</v>
      </c>
      <c r="AR287" s="184">
        <f t="shared" si="75"/>
        <v>0</v>
      </c>
      <c r="AS287" s="23"/>
      <c r="AT287" s="185">
        <f t="shared" si="76"/>
        <v>0</v>
      </c>
      <c r="AU287" s="23"/>
      <c r="AV287" s="184">
        <f t="shared" si="77"/>
        <v>0</v>
      </c>
      <c r="AW287" s="23"/>
      <c r="AX287" s="184">
        <f t="shared" si="78"/>
        <v>0</v>
      </c>
      <c r="AY287" s="23"/>
      <c r="AZ287" s="185">
        <f t="shared" si="79"/>
        <v>0</v>
      </c>
      <c r="BA287" s="50"/>
      <c r="BB287" s="184">
        <f t="shared" si="80"/>
        <v>0</v>
      </c>
      <c r="BC287" s="50"/>
      <c r="BD287" s="184">
        <f t="shared" si="81"/>
        <v>0</v>
      </c>
      <c r="BE287" s="23"/>
      <c r="BF287" s="185">
        <f t="shared" si="82"/>
        <v>0</v>
      </c>
      <c r="BG287" s="50"/>
      <c r="BH287" s="184">
        <f t="shared" si="66"/>
        <v>0</v>
      </c>
      <c r="BI287" s="23"/>
      <c r="BJ287" s="184">
        <f t="shared" si="83"/>
        <v>0</v>
      </c>
      <c r="BK287" s="23"/>
      <c r="BL287" s="185">
        <f t="shared" si="84"/>
        <v>0</v>
      </c>
      <c r="BQ287" s="233"/>
      <c r="BR287" s="234"/>
    </row>
  </sheetData>
  <autoFilter ref="A2:BR287"/>
  <mergeCells count="12">
    <mergeCell ref="D3:D88"/>
    <mergeCell ref="F3:F72"/>
    <mergeCell ref="F73:F88"/>
    <mergeCell ref="F283:F287"/>
    <mergeCell ref="D89:D217"/>
    <mergeCell ref="F89:F217"/>
    <mergeCell ref="D218:D231"/>
    <mergeCell ref="F218:F231"/>
    <mergeCell ref="D232:D287"/>
    <mergeCell ref="F232:F269"/>
    <mergeCell ref="F270:F280"/>
    <mergeCell ref="F281:F282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17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H28"/>
  <sheetViews>
    <sheetView tabSelected="1" zoomScale="115" zoomScaleNormal="115" workbookViewId="0">
      <selection activeCell="D14" sqref="D14"/>
    </sheetView>
  </sheetViews>
  <sheetFormatPr defaultRowHeight="16.5"/>
  <cols>
    <col min="2" max="2" width="16.75" customWidth="1"/>
    <col min="3" max="3" width="17.125" customWidth="1"/>
    <col min="4" max="4" width="14.375" customWidth="1"/>
    <col min="5" max="5" width="12.375" customWidth="1"/>
    <col min="6" max="6" width="18.375" customWidth="1"/>
  </cols>
  <sheetData>
    <row r="2" spans="2:8" ht="17.25" thickBot="1"/>
    <row r="3" spans="2:8" ht="17.25" thickBot="1">
      <c r="B3" s="30" t="s">
        <v>404</v>
      </c>
      <c r="C3" s="25" t="s">
        <v>842</v>
      </c>
      <c r="D3" s="25" t="s">
        <v>843</v>
      </c>
      <c r="E3" s="26" t="s">
        <v>844</v>
      </c>
      <c r="F3" s="25" t="s">
        <v>34</v>
      </c>
      <c r="H3" s="31"/>
    </row>
    <row r="4" spans="2:8" ht="17.25" thickBot="1">
      <c r="B4" s="24" t="s">
        <v>35</v>
      </c>
      <c r="C4" s="25">
        <f>'FY26'!AM1</f>
        <v>26646.099999999995</v>
      </c>
      <c r="D4" s="25">
        <f>'FY26'!AO1</f>
        <v>27980.38</v>
      </c>
      <c r="E4" s="26">
        <f>'FY26'!AQ1</f>
        <v>35179.810000000005</v>
      </c>
      <c r="F4" s="25">
        <f>SUM(C4:E4)</f>
        <v>89806.290000000008</v>
      </c>
    </row>
    <row r="5" spans="2:8" ht="17.25" thickBot="1">
      <c r="B5" s="24" t="s">
        <v>36</v>
      </c>
      <c r="C5" s="25"/>
      <c r="D5" s="25"/>
      <c r="E5" s="26"/>
      <c r="F5" s="25">
        <f t="shared" ref="F5:F6" si="0">SUM(C5:E5)</f>
        <v>0</v>
      </c>
    </row>
    <row r="6" spans="2:8" ht="17.25" thickBot="1">
      <c r="B6" s="27" t="s">
        <v>37</v>
      </c>
      <c r="C6" s="28"/>
      <c r="D6" s="28"/>
      <c r="E6" s="29"/>
      <c r="F6" s="25">
        <f t="shared" si="0"/>
        <v>0</v>
      </c>
      <c r="H6" t="s">
        <v>38</v>
      </c>
    </row>
    <row r="7" spans="2:8" ht="17.25" thickBot="1">
      <c r="B7" s="24" t="s">
        <v>39</v>
      </c>
      <c r="C7" s="25">
        <f>SUM(C4:C6)</f>
        <v>26646.099999999995</v>
      </c>
      <c r="D7" s="25">
        <f>SUM(D4:D6)</f>
        <v>27980.38</v>
      </c>
      <c r="E7" s="25">
        <f t="shared" ref="E7:F7" si="1">SUM(E4:E6)</f>
        <v>35179.810000000005</v>
      </c>
      <c r="F7" s="25">
        <f t="shared" si="1"/>
        <v>89806.290000000008</v>
      </c>
    </row>
    <row r="8" spans="2:8">
      <c r="H8" t="s">
        <v>40</v>
      </c>
    </row>
    <row r="9" spans="2:8" ht="17.25" thickBot="1"/>
    <row r="10" spans="2:8" ht="17.25" thickBot="1">
      <c r="B10" s="30" t="s">
        <v>404</v>
      </c>
      <c r="C10" s="25" t="s">
        <v>845</v>
      </c>
      <c r="D10" s="25" t="s">
        <v>846</v>
      </c>
      <c r="E10" s="26" t="s">
        <v>847</v>
      </c>
      <c r="F10" s="25" t="s">
        <v>44</v>
      </c>
      <c r="H10" t="s">
        <v>45</v>
      </c>
    </row>
    <row r="11" spans="2:8" ht="17.25" thickBot="1">
      <c r="B11" s="24" t="s">
        <v>35</v>
      </c>
      <c r="C11" s="25">
        <f>'FY26'!AS1</f>
        <v>28603.980000000003</v>
      </c>
      <c r="D11" s="25">
        <f>'FY26'!AU1</f>
        <v>29407.52</v>
      </c>
      <c r="E11" s="26">
        <f>'FY26'!AW1</f>
        <v>11444.85</v>
      </c>
      <c r="F11" s="25">
        <f>SUM(C11:E11)</f>
        <v>69456.350000000006</v>
      </c>
    </row>
    <row r="12" spans="2:8" ht="17.25" thickBot="1">
      <c r="B12" s="24" t="s">
        <v>36</v>
      </c>
      <c r="C12" s="25"/>
      <c r="D12" s="25"/>
      <c r="E12" s="26"/>
      <c r="F12" s="25">
        <f t="shared" ref="F12:F13" si="2">SUM(C12:E12)</f>
        <v>0</v>
      </c>
      <c r="H12" t="s">
        <v>46</v>
      </c>
    </row>
    <row r="13" spans="2:8" ht="17.25" thickBot="1">
      <c r="B13" s="27" t="s">
        <v>37</v>
      </c>
      <c r="C13" s="28"/>
      <c r="D13" s="28"/>
      <c r="E13" s="29"/>
      <c r="F13" s="25">
        <f t="shared" si="2"/>
        <v>0</v>
      </c>
    </row>
    <row r="14" spans="2:8" ht="17.25" thickBot="1">
      <c r="B14" s="24" t="s">
        <v>39</v>
      </c>
      <c r="C14" s="25">
        <f>SUM(C11:C13)</f>
        <v>28603.980000000003</v>
      </c>
      <c r="D14" s="25">
        <f t="shared" ref="D14:F14" si="3">SUM(D11:D13)</f>
        <v>29407.52</v>
      </c>
      <c r="E14" s="25">
        <f t="shared" si="3"/>
        <v>11444.85</v>
      </c>
      <c r="F14" s="25">
        <f t="shared" si="3"/>
        <v>69456.350000000006</v>
      </c>
      <c r="H14" t="s">
        <v>47</v>
      </c>
    </row>
    <row r="15" spans="2:8">
      <c r="H15" t="s">
        <v>48</v>
      </c>
    </row>
    <row r="16" spans="2:8" ht="17.25" thickBot="1"/>
    <row r="17" spans="2:8" ht="17.25" thickBot="1">
      <c r="B17" s="30" t="s">
        <v>404</v>
      </c>
      <c r="C17" s="25" t="s">
        <v>848</v>
      </c>
      <c r="D17" s="25" t="s">
        <v>849</v>
      </c>
      <c r="E17" s="26" t="s">
        <v>850</v>
      </c>
      <c r="F17" s="25" t="s">
        <v>52</v>
      </c>
      <c r="H17" t="s">
        <v>53</v>
      </c>
    </row>
    <row r="18" spans="2:8" ht="17.25" thickBot="1">
      <c r="B18" s="24" t="s">
        <v>35</v>
      </c>
      <c r="C18" s="25">
        <f>'FY26'!AY1</f>
        <v>15764.8</v>
      </c>
      <c r="D18" s="25">
        <f>'FY26'!BA1</f>
        <v>15453.2</v>
      </c>
      <c r="E18" s="26">
        <f>'FY26'!BC1</f>
        <v>8156</v>
      </c>
      <c r="F18" s="25">
        <f>SUM(C18:E18)</f>
        <v>39374</v>
      </c>
    </row>
    <row r="19" spans="2:8" ht="17.25" thickBot="1">
      <c r="B19" s="24" t="s">
        <v>36</v>
      </c>
      <c r="C19" s="25"/>
      <c r="D19" s="25"/>
      <c r="E19" s="26"/>
      <c r="F19" s="25">
        <f t="shared" ref="F19:F20" si="4">SUM(C19:E19)</f>
        <v>0</v>
      </c>
    </row>
    <row r="20" spans="2:8" ht="17.25" thickBot="1">
      <c r="B20" s="27" t="s">
        <v>37</v>
      </c>
      <c r="C20" s="28"/>
      <c r="D20" s="28"/>
      <c r="E20" s="29"/>
      <c r="F20" s="25">
        <f t="shared" si="4"/>
        <v>0</v>
      </c>
    </row>
    <row r="21" spans="2:8" ht="17.25" thickBot="1">
      <c r="B21" s="24" t="s">
        <v>39</v>
      </c>
      <c r="C21" s="25">
        <f>SUM(C18:C20)</f>
        <v>15764.8</v>
      </c>
      <c r="D21" s="25">
        <f t="shared" ref="D21:F21" si="5">SUM(D18:D20)</f>
        <v>15453.2</v>
      </c>
      <c r="E21" s="25">
        <f t="shared" si="5"/>
        <v>8156</v>
      </c>
      <c r="F21" s="25">
        <f t="shared" si="5"/>
        <v>39374</v>
      </c>
    </row>
    <row r="23" spans="2:8" ht="17.25" thickBot="1"/>
    <row r="24" spans="2:8" ht="17.25" thickBot="1">
      <c r="B24" s="30" t="s">
        <v>404</v>
      </c>
      <c r="C24" s="25" t="s">
        <v>851</v>
      </c>
      <c r="D24" s="25" t="s">
        <v>852</v>
      </c>
      <c r="E24" s="26" t="s">
        <v>853</v>
      </c>
      <c r="F24" s="25" t="s">
        <v>57</v>
      </c>
    </row>
    <row r="25" spans="2:8" ht="17.25" thickBot="1">
      <c r="B25" s="24" t="s">
        <v>35</v>
      </c>
      <c r="C25" s="25">
        <f>'FY26'!BE1</f>
        <v>12127</v>
      </c>
      <c r="D25" s="25">
        <f>'FY26'!BG1</f>
        <v>12262</v>
      </c>
      <c r="E25" s="26">
        <f>'FY26'!BI1</f>
        <v>6627</v>
      </c>
      <c r="F25" s="25">
        <f>SUM(C25:E25)</f>
        <v>31016</v>
      </c>
    </row>
    <row r="26" spans="2:8" ht="17.25" thickBot="1">
      <c r="B26" s="24" t="s">
        <v>36</v>
      </c>
      <c r="C26" s="25"/>
      <c r="D26" s="25"/>
      <c r="E26" s="26"/>
      <c r="F26" s="25">
        <f t="shared" ref="F26:F27" si="6">SUM(C26:E26)</f>
        <v>0</v>
      </c>
    </row>
    <row r="27" spans="2:8" ht="17.25" thickBot="1">
      <c r="B27" s="27" t="s">
        <v>37</v>
      </c>
      <c r="C27" s="28"/>
      <c r="D27" s="28"/>
      <c r="E27" s="29"/>
      <c r="F27" s="25">
        <f t="shared" si="6"/>
        <v>0</v>
      </c>
    </row>
    <row r="28" spans="2:8" ht="17.25" thickBot="1">
      <c r="B28" s="24" t="s">
        <v>39</v>
      </c>
      <c r="C28" s="25">
        <f>SUM(C25:C27)</f>
        <v>12127</v>
      </c>
      <c r="D28" s="25">
        <f t="shared" ref="D28:F28" si="7">SUM(D25:D27)</f>
        <v>12262</v>
      </c>
      <c r="E28" s="25">
        <f t="shared" si="7"/>
        <v>6627</v>
      </c>
      <c r="F28" s="25">
        <f t="shared" si="7"/>
        <v>31016</v>
      </c>
    </row>
  </sheetData>
  <phoneticPr fontId="4" type="noConversion"/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42"/>
  <sheetViews>
    <sheetView topLeftCell="A65" zoomScale="110" zoomScaleNormal="110" workbookViewId="0">
      <selection activeCell="G64" sqref="G64"/>
    </sheetView>
  </sheetViews>
  <sheetFormatPr defaultRowHeight="16.5"/>
  <cols>
    <col min="1" max="1" width="2.375" customWidth="1"/>
    <col min="2" max="2" width="26.75" customWidth="1"/>
    <col min="3" max="3" width="22.375" customWidth="1"/>
    <col min="4" max="4" width="15.125" customWidth="1"/>
    <col min="5" max="7" width="18.375" customWidth="1"/>
    <col min="9" max="9" width="9" customWidth="1"/>
  </cols>
  <sheetData>
    <row r="3" spans="2:7">
      <c r="B3" s="14" t="s">
        <v>58</v>
      </c>
      <c r="C3" s="15"/>
      <c r="D3" s="15"/>
      <c r="E3" s="15"/>
      <c r="F3" s="15"/>
      <c r="G3" s="15"/>
    </row>
    <row r="4" spans="2:7" ht="30">
      <c r="B4" s="129"/>
      <c r="C4" s="129" t="s">
        <v>59</v>
      </c>
      <c r="D4" s="16">
        <v>45962</v>
      </c>
      <c r="E4" s="16">
        <v>45992</v>
      </c>
      <c r="F4" s="16">
        <v>46023</v>
      </c>
      <c r="G4" s="130" t="s">
        <v>856</v>
      </c>
    </row>
    <row r="5" spans="2:7">
      <c r="B5" s="274" t="s">
        <v>61</v>
      </c>
      <c r="C5" s="138" t="s">
        <v>62</v>
      </c>
      <c r="D5" s="138">
        <v>1893.93</v>
      </c>
      <c r="E5" s="138">
        <v>1994.02</v>
      </c>
      <c r="F5" s="138">
        <v>2589.4</v>
      </c>
      <c r="G5" s="138">
        <f>SUM(D5:F5)</f>
        <v>6477.35</v>
      </c>
    </row>
    <row r="6" spans="2:7">
      <c r="B6" s="274"/>
      <c r="C6" s="138" t="s">
        <v>63</v>
      </c>
      <c r="D6" s="138">
        <v>12195.664000000002</v>
      </c>
      <c r="E6" s="138">
        <v>12535.600000000004</v>
      </c>
      <c r="F6" s="138">
        <v>14865.608</v>
      </c>
      <c r="G6" s="138">
        <f t="shared" ref="G6:G25" si="0">SUM(D6:F6)</f>
        <v>39596.872000000003</v>
      </c>
    </row>
    <row r="7" spans="2:7">
      <c r="B7" s="274"/>
      <c r="C7" s="138" t="s">
        <v>64</v>
      </c>
      <c r="D7" s="138">
        <v>3048.9160000000006</v>
      </c>
      <c r="E7" s="138">
        <v>3133.900000000001</v>
      </c>
      <c r="F7" s="138">
        <v>3716.402</v>
      </c>
      <c r="G7" s="138">
        <f t="shared" si="0"/>
        <v>9899.2180000000008</v>
      </c>
    </row>
    <row r="8" spans="2:7">
      <c r="B8" s="274"/>
      <c r="C8" s="138" t="s">
        <v>65</v>
      </c>
      <c r="D8" s="138"/>
      <c r="E8" s="138"/>
      <c r="F8" s="138"/>
      <c r="G8" s="138">
        <f t="shared" si="0"/>
        <v>0</v>
      </c>
    </row>
    <row r="9" spans="2:7">
      <c r="B9" s="274"/>
      <c r="C9" s="138" t="s">
        <v>66</v>
      </c>
      <c r="D9" s="138"/>
      <c r="E9" s="138"/>
      <c r="F9" s="138"/>
      <c r="G9" s="138">
        <f t="shared" si="0"/>
        <v>0</v>
      </c>
    </row>
    <row r="10" spans="2:7">
      <c r="B10" s="274"/>
      <c r="C10" s="138" t="s">
        <v>67</v>
      </c>
      <c r="D10" s="138"/>
      <c r="E10" s="138"/>
      <c r="F10" s="138"/>
      <c r="G10" s="138">
        <f t="shared" si="0"/>
        <v>0</v>
      </c>
    </row>
    <row r="11" spans="2:7">
      <c r="B11" s="274"/>
      <c r="C11" s="138" t="s">
        <v>68</v>
      </c>
      <c r="D11" s="138"/>
      <c r="E11" s="138"/>
      <c r="F11" s="138"/>
      <c r="G11" s="138">
        <f t="shared" si="0"/>
        <v>0</v>
      </c>
    </row>
    <row r="12" spans="2:7">
      <c r="B12" s="274"/>
      <c r="C12" s="138" t="s">
        <v>69</v>
      </c>
      <c r="D12" s="138">
        <v>1792.1999999999998</v>
      </c>
      <c r="E12" s="138">
        <v>604.79999999999995</v>
      </c>
      <c r="F12" s="138">
        <v>3585.6</v>
      </c>
      <c r="G12" s="138">
        <f t="shared" si="0"/>
        <v>5982.6</v>
      </c>
    </row>
    <row r="13" spans="2:7">
      <c r="B13" s="274"/>
      <c r="C13" s="138" t="s">
        <v>70</v>
      </c>
      <c r="D13" s="138"/>
      <c r="E13" s="138"/>
      <c r="F13" s="138"/>
      <c r="G13" s="138">
        <f t="shared" si="0"/>
        <v>0</v>
      </c>
    </row>
    <row r="14" spans="2:7">
      <c r="B14" s="274"/>
      <c r="C14" s="138" t="s">
        <v>71</v>
      </c>
      <c r="D14" s="137"/>
      <c r="E14" s="138"/>
      <c r="F14" s="138"/>
      <c r="G14" s="138">
        <f t="shared" si="0"/>
        <v>0</v>
      </c>
    </row>
    <row r="15" spans="2:7">
      <c r="B15" s="274"/>
      <c r="C15" s="138" t="s">
        <v>72</v>
      </c>
      <c r="D15" s="138">
        <v>1409.6</v>
      </c>
      <c r="E15" s="138">
        <v>2836</v>
      </c>
      <c r="F15" s="138">
        <v>2408</v>
      </c>
      <c r="G15" s="138">
        <f t="shared" si="0"/>
        <v>6653.6</v>
      </c>
    </row>
    <row r="16" spans="2:7">
      <c r="B16" s="274"/>
      <c r="C16" s="138" t="s">
        <v>73</v>
      </c>
      <c r="D16" s="138"/>
      <c r="E16" s="138"/>
      <c r="F16" s="138"/>
      <c r="G16" s="138">
        <f t="shared" si="0"/>
        <v>0</v>
      </c>
    </row>
    <row r="17" spans="2:7">
      <c r="B17" s="275" t="s">
        <v>74</v>
      </c>
      <c r="C17" s="138" t="s">
        <v>75</v>
      </c>
      <c r="D17" s="138">
        <v>5681.79</v>
      </c>
      <c r="E17" s="138">
        <v>5982.0599999999995</v>
      </c>
      <c r="F17" s="138">
        <v>7768.2000000000007</v>
      </c>
      <c r="G17" s="138">
        <f t="shared" si="0"/>
        <v>19432.05</v>
      </c>
    </row>
    <row r="18" spans="2:7">
      <c r="B18" s="275"/>
      <c r="C18" s="138" t="s">
        <v>69</v>
      </c>
      <c r="D18" s="138"/>
      <c r="E18" s="138"/>
      <c r="F18" s="138"/>
      <c r="G18" s="138">
        <f t="shared" si="0"/>
        <v>0</v>
      </c>
    </row>
    <row r="19" spans="2:7">
      <c r="B19" s="275"/>
      <c r="C19" s="138" t="s">
        <v>76</v>
      </c>
      <c r="D19" s="138">
        <v>0</v>
      </c>
      <c r="E19" s="138">
        <v>0</v>
      </c>
      <c r="F19" s="138">
        <v>0</v>
      </c>
      <c r="G19" s="138">
        <f t="shared" si="0"/>
        <v>0</v>
      </c>
    </row>
    <row r="20" spans="2:7">
      <c r="B20" s="275"/>
      <c r="C20" s="138" t="s">
        <v>77</v>
      </c>
      <c r="D20" s="138"/>
      <c r="E20" s="138"/>
      <c r="F20" s="138"/>
      <c r="G20" s="138">
        <f t="shared" si="0"/>
        <v>0</v>
      </c>
    </row>
    <row r="21" spans="2:7">
      <c r="B21" s="275"/>
      <c r="C21" s="138" t="s">
        <v>78</v>
      </c>
      <c r="D21" s="138">
        <v>0</v>
      </c>
      <c r="E21" s="138">
        <v>0</v>
      </c>
      <c r="F21" s="138">
        <v>0</v>
      </c>
      <c r="G21" s="138">
        <f t="shared" si="0"/>
        <v>0</v>
      </c>
    </row>
    <row r="22" spans="2:7">
      <c r="B22" s="275"/>
      <c r="C22" s="138" t="s">
        <v>79</v>
      </c>
      <c r="D22" s="138"/>
      <c r="E22" s="138"/>
      <c r="F22" s="138"/>
      <c r="G22" s="138">
        <f t="shared" si="0"/>
        <v>0</v>
      </c>
    </row>
    <row r="23" spans="2:7">
      <c r="B23" s="275"/>
      <c r="C23" s="138" t="s">
        <v>80</v>
      </c>
      <c r="D23" s="138">
        <v>624</v>
      </c>
      <c r="E23" s="138">
        <v>894</v>
      </c>
      <c r="F23" s="138">
        <v>246.6</v>
      </c>
      <c r="G23" s="138">
        <f t="shared" si="0"/>
        <v>1764.6</v>
      </c>
    </row>
    <row r="24" spans="2:7">
      <c r="B24" s="275"/>
      <c r="C24" s="138" t="s">
        <v>72</v>
      </c>
      <c r="D24" s="138"/>
      <c r="E24" s="137"/>
      <c r="F24" s="138"/>
      <c r="G24" s="138">
        <f t="shared" si="0"/>
        <v>0</v>
      </c>
    </row>
    <row r="25" spans="2:7" ht="17.25" thickBot="1">
      <c r="B25" s="275"/>
      <c r="C25" s="138" t="s">
        <v>73</v>
      </c>
      <c r="D25" s="138"/>
      <c r="E25" s="137"/>
      <c r="F25" s="137"/>
      <c r="G25" s="131">
        <f t="shared" si="0"/>
        <v>0</v>
      </c>
    </row>
    <row r="26" spans="2:7" ht="17.25" thickBot="1">
      <c r="B26" s="15"/>
      <c r="C26" s="15"/>
      <c r="D26" s="15"/>
      <c r="E26" s="15"/>
      <c r="F26" s="15"/>
      <c r="G26" s="132">
        <f>SUM(G5:G25)</f>
        <v>89806.290000000008</v>
      </c>
    </row>
    <row r="27" spans="2:7">
      <c r="B27" s="15"/>
      <c r="C27" s="15"/>
      <c r="D27" s="15"/>
      <c r="E27" s="15"/>
      <c r="F27" s="15"/>
      <c r="G27" s="15"/>
    </row>
    <row r="28" spans="2:7">
      <c r="B28" s="14" t="s">
        <v>58</v>
      </c>
      <c r="C28" s="15"/>
      <c r="D28" s="15"/>
      <c r="E28" s="15"/>
      <c r="F28" s="15"/>
      <c r="G28" s="15"/>
    </row>
    <row r="29" spans="2:7" ht="30">
      <c r="B29" s="129"/>
      <c r="C29" s="129" t="s">
        <v>81</v>
      </c>
      <c r="D29" s="16">
        <v>45962</v>
      </c>
      <c r="E29" s="16">
        <v>45992</v>
      </c>
      <c r="F29" s="16">
        <v>46023</v>
      </c>
      <c r="G29" s="130" t="s">
        <v>856</v>
      </c>
    </row>
    <row r="30" spans="2:7" ht="17.100000000000001" customHeight="1">
      <c r="B30" s="296" t="s">
        <v>82</v>
      </c>
      <c r="C30" s="138" t="s">
        <v>83</v>
      </c>
      <c r="D30" s="138"/>
      <c r="E30" s="138"/>
      <c r="F30" s="138"/>
      <c r="G30" s="138">
        <f>SUM(D30:F30)</f>
        <v>0</v>
      </c>
    </row>
    <row r="31" spans="2:7" ht="17.100000000000001" customHeight="1">
      <c r="B31" s="297"/>
      <c r="C31" s="138" t="s">
        <v>84</v>
      </c>
      <c r="D31" s="138"/>
      <c r="E31" s="138"/>
      <c r="F31" s="138"/>
      <c r="G31" s="138">
        <f t="shared" ref="G31:G34" si="1">SUM(D31:F31)</f>
        <v>0</v>
      </c>
    </row>
    <row r="32" spans="2:7" ht="17.100000000000001" customHeight="1">
      <c r="B32" s="297"/>
      <c r="C32" s="138" t="s">
        <v>85</v>
      </c>
      <c r="D32" s="138"/>
      <c r="E32" s="138"/>
      <c r="F32" s="138"/>
      <c r="G32" s="138">
        <f t="shared" si="1"/>
        <v>0</v>
      </c>
    </row>
    <row r="33" spans="2:7" ht="17.100000000000001" customHeight="1">
      <c r="B33" s="297"/>
      <c r="C33" s="138" t="s">
        <v>86</v>
      </c>
      <c r="D33" s="138"/>
      <c r="E33" s="138"/>
      <c r="F33" s="138"/>
      <c r="G33" s="138">
        <f t="shared" si="1"/>
        <v>0</v>
      </c>
    </row>
    <row r="34" spans="2:7">
      <c r="B34" s="297"/>
      <c r="C34" s="138" t="s">
        <v>87</v>
      </c>
      <c r="D34" s="138">
        <f>SUM(D5:D25)</f>
        <v>26646.100000000002</v>
      </c>
      <c r="E34" s="138">
        <f t="shared" ref="E34:F34" si="2">SUM(E5:E25)</f>
        <v>27980.380000000005</v>
      </c>
      <c r="F34" s="138">
        <f t="shared" si="2"/>
        <v>35179.810000000005</v>
      </c>
      <c r="G34" s="138">
        <f t="shared" si="1"/>
        <v>89806.290000000008</v>
      </c>
    </row>
    <row r="35" spans="2:7" ht="17.25" thickBot="1">
      <c r="B35" s="297"/>
      <c r="C35" s="210"/>
      <c r="D35" s="207"/>
      <c r="E35" s="207"/>
      <c r="F35" s="208"/>
      <c r="G35" s="210"/>
    </row>
    <row r="36" spans="2:7" ht="17.25" thickBot="1">
      <c r="B36" s="298"/>
      <c r="C36" s="272" t="s">
        <v>89</v>
      </c>
      <c r="D36" s="273"/>
      <c r="E36" s="273"/>
      <c r="F36" s="273"/>
      <c r="G36" s="135">
        <f>SUM(G34)</f>
        <v>89806.290000000008</v>
      </c>
    </row>
    <row r="38" spans="2:7">
      <c r="B38" s="14" t="s">
        <v>90</v>
      </c>
      <c r="C38" s="15"/>
      <c r="D38" s="15"/>
      <c r="E38" s="15"/>
      <c r="F38" s="15"/>
      <c r="G38" s="15"/>
    </row>
    <row r="39" spans="2:7" ht="30">
      <c r="B39" s="129"/>
      <c r="C39" s="129" t="s">
        <v>59</v>
      </c>
      <c r="D39" s="16">
        <v>46054</v>
      </c>
      <c r="E39" s="16">
        <v>46082</v>
      </c>
      <c r="F39" s="16">
        <v>46113</v>
      </c>
      <c r="G39" s="130" t="s">
        <v>857</v>
      </c>
    </row>
    <row r="40" spans="2:7">
      <c r="B40" s="274" t="s">
        <v>61</v>
      </c>
      <c r="C40" s="138" t="s">
        <v>62</v>
      </c>
      <c r="D40" s="138">
        <v>974.72</v>
      </c>
      <c r="E40" s="138">
        <v>308.04000000000002</v>
      </c>
      <c r="F40" s="138"/>
      <c r="G40" s="138">
        <f>SUM(D40:F40)</f>
        <v>1282.76</v>
      </c>
    </row>
    <row r="41" spans="2:7">
      <c r="B41" s="274"/>
      <c r="C41" s="138" t="s">
        <v>63</v>
      </c>
      <c r="D41" s="138">
        <v>6001.3279999999995</v>
      </c>
      <c r="E41" s="138">
        <v>7584.543999999999</v>
      </c>
      <c r="F41" s="138"/>
      <c r="G41" s="138">
        <f t="shared" ref="G41:G60" si="3">SUM(D41:F41)</f>
        <v>13585.871999999999</v>
      </c>
    </row>
    <row r="42" spans="2:7">
      <c r="B42" s="274"/>
      <c r="C42" s="138" t="s">
        <v>64</v>
      </c>
      <c r="D42" s="138">
        <v>1500.3319999999999</v>
      </c>
      <c r="E42" s="138">
        <v>1896.1359999999997</v>
      </c>
      <c r="F42" s="138"/>
      <c r="G42" s="138">
        <f t="shared" si="3"/>
        <v>3396.4679999999998</v>
      </c>
    </row>
    <row r="43" spans="2:7">
      <c r="B43" s="274"/>
      <c r="C43" s="138" t="s">
        <v>65</v>
      </c>
      <c r="D43" s="138"/>
      <c r="E43" s="138"/>
      <c r="F43" s="138"/>
      <c r="G43" s="138">
        <f t="shared" si="3"/>
        <v>0</v>
      </c>
    </row>
    <row r="44" spans="2:7">
      <c r="B44" s="274"/>
      <c r="C44" s="138" t="s">
        <v>66</v>
      </c>
      <c r="D44" s="138"/>
      <c r="E44" s="138"/>
      <c r="F44" s="138"/>
      <c r="G44" s="138">
        <f t="shared" si="3"/>
        <v>0</v>
      </c>
    </row>
    <row r="45" spans="2:7">
      <c r="B45" s="274"/>
      <c r="C45" s="138" t="s">
        <v>67</v>
      </c>
      <c r="D45" s="138"/>
      <c r="E45" s="138"/>
      <c r="F45" s="138"/>
      <c r="G45" s="138">
        <f t="shared" si="3"/>
        <v>0</v>
      </c>
    </row>
    <row r="46" spans="2:7">
      <c r="B46" s="274"/>
      <c r="C46" s="138" t="s">
        <v>68</v>
      </c>
      <c r="D46" s="138"/>
      <c r="E46" s="138"/>
      <c r="F46" s="138"/>
      <c r="G46" s="138">
        <f t="shared" si="3"/>
        <v>0</v>
      </c>
    </row>
    <row r="47" spans="2:7">
      <c r="B47" s="274"/>
      <c r="C47" s="138" t="s">
        <v>69</v>
      </c>
      <c r="D47" s="138">
        <v>15953.039999999999</v>
      </c>
      <c r="E47" s="138">
        <v>14427.48</v>
      </c>
      <c r="F47" s="138"/>
      <c r="G47" s="138">
        <f t="shared" si="3"/>
        <v>30380.519999999997</v>
      </c>
    </row>
    <row r="48" spans="2:7">
      <c r="B48" s="274"/>
      <c r="C48" s="138" t="s">
        <v>70</v>
      </c>
      <c r="D48" s="138"/>
      <c r="E48" s="138"/>
      <c r="F48" s="138"/>
      <c r="G48" s="138">
        <f t="shared" si="3"/>
        <v>0</v>
      </c>
    </row>
    <row r="49" spans="2:7">
      <c r="B49" s="274"/>
      <c r="C49" s="138" t="s">
        <v>71</v>
      </c>
      <c r="D49" s="138"/>
      <c r="E49" s="138"/>
      <c r="F49" s="138"/>
      <c r="G49" s="138">
        <f t="shared" si="3"/>
        <v>0</v>
      </c>
    </row>
    <row r="50" spans="2:7">
      <c r="B50" s="274"/>
      <c r="C50" s="138" t="s">
        <v>72</v>
      </c>
      <c r="D50" s="138">
        <v>1250.4000000000001</v>
      </c>
      <c r="E50" s="138">
        <v>3019.2</v>
      </c>
      <c r="F50" s="138"/>
      <c r="G50" s="138">
        <f t="shared" si="3"/>
        <v>4269.6000000000004</v>
      </c>
    </row>
    <row r="51" spans="2:7">
      <c r="B51" s="274"/>
      <c r="C51" s="138" t="s">
        <v>73</v>
      </c>
      <c r="D51" s="138"/>
      <c r="E51" s="138"/>
      <c r="F51" s="138"/>
      <c r="G51" s="138">
        <f t="shared" si="3"/>
        <v>0</v>
      </c>
    </row>
    <row r="52" spans="2:7">
      <c r="B52" s="275" t="s">
        <v>74</v>
      </c>
      <c r="C52" s="138" t="s">
        <v>75</v>
      </c>
      <c r="D52" s="138">
        <v>2924.16</v>
      </c>
      <c r="E52" s="138">
        <v>924.12000000000012</v>
      </c>
      <c r="F52" s="138"/>
      <c r="G52" s="138">
        <f t="shared" si="3"/>
        <v>3848.2799999999997</v>
      </c>
    </row>
    <row r="53" spans="2:7">
      <c r="B53" s="275"/>
      <c r="C53" s="138" t="s">
        <v>69</v>
      </c>
      <c r="D53" s="138"/>
      <c r="E53" s="138"/>
      <c r="F53" s="138"/>
      <c r="G53" s="138">
        <f t="shared" si="3"/>
        <v>0</v>
      </c>
    </row>
    <row r="54" spans="2:7">
      <c r="B54" s="275"/>
      <c r="C54" s="138" t="s">
        <v>92</v>
      </c>
      <c r="D54" s="138">
        <v>0</v>
      </c>
      <c r="E54" s="138">
        <v>0</v>
      </c>
      <c r="F54" s="138"/>
      <c r="G54" s="138">
        <f t="shared" si="3"/>
        <v>0</v>
      </c>
    </row>
    <row r="55" spans="2:7">
      <c r="B55" s="275"/>
      <c r="C55" s="138" t="s">
        <v>77</v>
      </c>
      <c r="D55" s="138"/>
      <c r="E55" s="138"/>
      <c r="F55" s="138"/>
      <c r="G55" s="138">
        <f t="shared" si="3"/>
        <v>0</v>
      </c>
    </row>
    <row r="56" spans="2:7">
      <c r="B56" s="275"/>
      <c r="C56" s="138" t="s">
        <v>78</v>
      </c>
      <c r="D56" s="138">
        <v>0</v>
      </c>
      <c r="E56" s="138">
        <v>0</v>
      </c>
      <c r="F56" s="138"/>
      <c r="G56" s="138">
        <f t="shared" si="3"/>
        <v>0</v>
      </c>
    </row>
    <row r="57" spans="2:7">
      <c r="B57" s="275"/>
      <c r="C57" s="138" t="s">
        <v>79</v>
      </c>
      <c r="D57" s="138"/>
      <c r="E57" s="138"/>
      <c r="F57" s="138"/>
      <c r="G57" s="138">
        <f t="shared" si="3"/>
        <v>0</v>
      </c>
    </row>
    <row r="58" spans="2:7">
      <c r="B58" s="275"/>
      <c r="C58" s="138" t="s">
        <v>80</v>
      </c>
      <c r="D58" s="138">
        <v>0</v>
      </c>
      <c r="E58" s="138">
        <v>1248</v>
      </c>
      <c r="F58" s="138"/>
      <c r="G58" s="138">
        <f t="shared" si="3"/>
        <v>1248</v>
      </c>
    </row>
    <row r="59" spans="2:7">
      <c r="B59" s="275"/>
      <c r="C59" s="138" t="s">
        <v>72</v>
      </c>
      <c r="D59" s="138"/>
      <c r="E59" s="137"/>
      <c r="F59" s="138"/>
      <c r="G59" s="138">
        <f t="shared" si="3"/>
        <v>0</v>
      </c>
    </row>
    <row r="60" spans="2:7" ht="17.25" thickBot="1">
      <c r="B60" s="275"/>
      <c r="C60" s="138" t="s">
        <v>73</v>
      </c>
      <c r="D60" s="138"/>
      <c r="E60" s="137"/>
      <c r="F60" s="137"/>
      <c r="G60" s="131">
        <f t="shared" si="3"/>
        <v>0</v>
      </c>
    </row>
    <row r="61" spans="2:7" ht="17.25" thickBot="1">
      <c r="B61" s="15"/>
      <c r="C61" s="15"/>
      <c r="D61" s="15"/>
      <c r="E61" s="15"/>
      <c r="F61" s="15"/>
      <c r="G61" s="132">
        <f>SUM(G40:G60)</f>
        <v>58011.499999999993</v>
      </c>
    </row>
    <row r="62" spans="2:7">
      <c r="B62" s="15"/>
      <c r="C62" s="15"/>
      <c r="D62" s="15"/>
      <c r="E62" s="15"/>
      <c r="F62" s="15"/>
      <c r="G62" s="15"/>
    </row>
    <row r="63" spans="2:7">
      <c r="B63" s="14" t="s">
        <v>90</v>
      </c>
      <c r="C63" s="15"/>
      <c r="D63" s="15"/>
      <c r="E63" s="15"/>
      <c r="F63" s="15"/>
      <c r="G63" s="15"/>
    </row>
    <row r="64" spans="2:7" ht="30">
      <c r="B64" s="129"/>
      <c r="C64" s="129" t="s">
        <v>81</v>
      </c>
      <c r="D64" s="16">
        <v>46054</v>
      </c>
      <c r="E64" s="16">
        <v>46082</v>
      </c>
      <c r="F64" s="16">
        <v>46113</v>
      </c>
      <c r="G64" s="130" t="s">
        <v>857</v>
      </c>
    </row>
    <row r="65" spans="2:7" ht="17.100000000000001" customHeight="1">
      <c r="B65" s="296" t="s">
        <v>854</v>
      </c>
      <c r="C65" s="138" t="s">
        <v>83</v>
      </c>
      <c r="D65" s="138"/>
      <c r="E65" s="138"/>
      <c r="F65" s="138"/>
      <c r="G65" s="140">
        <f t="shared" ref="G65:G68" si="4">SUM(D65:F65)</f>
        <v>0</v>
      </c>
    </row>
    <row r="66" spans="2:7" ht="17.100000000000001" customHeight="1">
      <c r="B66" s="297"/>
      <c r="C66" s="138" t="s">
        <v>84</v>
      </c>
      <c r="D66" s="138"/>
      <c r="E66" s="138"/>
      <c r="F66" s="138"/>
      <c r="G66" s="140">
        <f t="shared" si="4"/>
        <v>0</v>
      </c>
    </row>
    <row r="67" spans="2:7" ht="17.100000000000001" customHeight="1">
      <c r="B67" s="297"/>
      <c r="C67" s="138" t="s">
        <v>85</v>
      </c>
      <c r="D67" s="138"/>
      <c r="E67" s="138"/>
      <c r="F67" s="138"/>
      <c r="G67" s="140">
        <f t="shared" si="4"/>
        <v>0</v>
      </c>
    </row>
    <row r="68" spans="2:7" ht="17.100000000000001" customHeight="1">
      <c r="B68" s="297"/>
      <c r="C68" s="138" t="s">
        <v>86</v>
      </c>
      <c r="D68" s="138"/>
      <c r="E68" s="138"/>
      <c r="F68" s="138"/>
      <c r="G68" s="140">
        <f t="shared" si="4"/>
        <v>0</v>
      </c>
    </row>
    <row r="69" spans="2:7">
      <c r="B69" s="297"/>
      <c r="C69" s="138" t="s">
        <v>87</v>
      </c>
      <c r="D69" s="138">
        <f>SUM(D40:D60)</f>
        <v>28603.98</v>
      </c>
      <c r="E69" s="138">
        <f t="shared" ref="E69:F69" si="5">SUM(E40:E60)</f>
        <v>29407.519999999997</v>
      </c>
      <c r="F69" s="138">
        <f t="shared" si="5"/>
        <v>0</v>
      </c>
      <c r="G69" s="140">
        <f>SUM(D69:F69)</f>
        <v>58011.5</v>
      </c>
    </row>
    <row r="70" spans="2:7" ht="17.25" thickBot="1">
      <c r="B70" s="297"/>
      <c r="C70" s="263"/>
      <c r="D70" s="208"/>
      <c r="E70" s="208"/>
      <c r="F70" s="208"/>
      <c r="G70" s="240"/>
    </row>
    <row r="71" spans="2:7" ht="17.25" thickBot="1">
      <c r="B71" s="298"/>
      <c r="C71" s="272" t="s">
        <v>93</v>
      </c>
      <c r="D71" s="273"/>
      <c r="E71" s="273"/>
      <c r="F71" s="273"/>
      <c r="G71" s="134">
        <f>SUM(G69)</f>
        <v>58011.5</v>
      </c>
    </row>
    <row r="74" spans="2:7">
      <c r="B74" s="14" t="s">
        <v>94</v>
      </c>
      <c r="C74" s="15"/>
      <c r="D74" s="15"/>
      <c r="E74" s="15"/>
      <c r="F74" s="15"/>
      <c r="G74" s="15"/>
    </row>
    <row r="75" spans="2:7" ht="30">
      <c r="B75" s="129"/>
      <c r="C75" s="129" t="s">
        <v>59</v>
      </c>
      <c r="D75" s="16">
        <v>46143</v>
      </c>
      <c r="E75" s="16">
        <v>46174</v>
      </c>
      <c r="F75" s="16">
        <v>46204</v>
      </c>
      <c r="G75" s="130" t="s">
        <v>858</v>
      </c>
    </row>
    <row r="76" spans="2:7">
      <c r="B76" s="274" t="s">
        <v>61</v>
      </c>
      <c r="C76" s="138" t="s">
        <v>62</v>
      </c>
      <c r="D76" s="138"/>
      <c r="E76" s="138"/>
      <c r="F76" s="138"/>
      <c r="G76" s="138">
        <f>SUM(D76:F76)</f>
        <v>0</v>
      </c>
    </row>
    <row r="77" spans="2:7">
      <c r="B77" s="274"/>
      <c r="C77" s="138" t="s">
        <v>63</v>
      </c>
      <c r="D77" s="138"/>
      <c r="E77" s="138"/>
      <c r="F77" s="138"/>
      <c r="G77" s="138">
        <f t="shared" ref="G77:G96" si="6">SUM(D77:F77)</f>
        <v>0</v>
      </c>
    </row>
    <row r="78" spans="2:7">
      <c r="B78" s="274"/>
      <c r="C78" s="138" t="s">
        <v>64</v>
      </c>
      <c r="D78" s="138"/>
      <c r="E78" s="138"/>
      <c r="F78" s="138"/>
      <c r="G78" s="138">
        <f t="shared" si="6"/>
        <v>0</v>
      </c>
    </row>
    <row r="79" spans="2:7">
      <c r="B79" s="274"/>
      <c r="C79" s="138" t="s">
        <v>65</v>
      </c>
      <c r="D79" s="138"/>
      <c r="E79" s="138"/>
      <c r="F79" s="138"/>
      <c r="G79" s="138">
        <f t="shared" si="6"/>
        <v>0</v>
      </c>
    </row>
    <row r="80" spans="2:7">
      <c r="B80" s="274"/>
      <c r="C80" s="138" t="s">
        <v>66</v>
      </c>
      <c r="D80" s="138"/>
      <c r="E80" s="138"/>
      <c r="F80" s="138"/>
      <c r="G80" s="138">
        <f t="shared" si="6"/>
        <v>0</v>
      </c>
    </row>
    <row r="81" spans="2:7">
      <c r="B81" s="274"/>
      <c r="C81" s="138" t="s">
        <v>67</v>
      </c>
      <c r="D81" s="138"/>
      <c r="E81" s="138"/>
      <c r="F81" s="138"/>
      <c r="G81" s="138">
        <f t="shared" si="6"/>
        <v>0</v>
      </c>
    </row>
    <row r="82" spans="2:7">
      <c r="B82" s="274"/>
      <c r="C82" s="138" t="s">
        <v>68</v>
      </c>
      <c r="D82" s="138"/>
      <c r="E82" s="138"/>
      <c r="F82" s="138"/>
      <c r="G82" s="138">
        <f t="shared" si="6"/>
        <v>0</v>
      </c>
    </row>
    <row r="83" spans="2:7">
      <c r="B83" s="274"/>
      <c r="C83" s="138" t="s">
        <v>69</v>
      </c>
      <c r="D83" s="138"/>
      <c r="E83" s="138"/>
      <c r="F83" s="138"/>
      <c r="G83" s="138">
        <f t="shared" si="6"/>
        <v>0</v>
      </c>
    </row>
    <row r="84" spans="2:7">
      <c r="B84" s="274"/>
      <c r="C84" s="138" t="s">
        <v>70</v>
      </c>
      <c r="D84" s="138"/>
      <c r="E84" s="138"/>
      <c r="F84" s="138"/>
      <c r="G84" s="138">
        <f t="shared" si="6"/>
        <v>0</v>
      </c>
    </row>
    <row r="85" spans="2:7">
      <c r="B85" s="274"/>
      <c r="C85" s="138" t="s">
        <v>71</v>
      </c>
      <c r="D85" s="138"/>
      <c r="E85" s="138"/>
      <c r="F85" s="138"/>
      <c r="G85" s="138">
        <f t="shared" si="6"/>
        <v>0</v>
      </c>
    </row>
    <row r="86" spans="2:7">
      <c r="B86" s="274"/>
      <c r="C86" s="138" t="s">
        <v>72</v>
      </c>
      <c r="D86" s="138"/>
      <c r="E86" s="138"/>
      <c r="F86" s="138"/>
      <c r="G86" s="138">
        <f t="shared" si="6"/>
        <v>0</v>
      </c>
    </row>
    <row r="87" spans="2:7">
      <c r="B87" s="274"/>
      <c r="C87" s="138" t="s">
        <v>73</v>
      </c>
      <c r="D87" s="138"/>
      <c r="E87" s="138"/>
      <c r="F87" s="138"/>
      <c r="G87" s="138">
        <f t="shared" si="6"/>
        <v>0</v>
      </c>
    </row>
    <row r="88" spans="2:7">
      <c r="B88" s="275" t="s">
        <v>74</v>
      </c>
      <c r="C88" s="138" t="s">
        <v>75</v>
      </c>
      <c r="D88" s="138"/>
      <c r="E88" s="138"/>
      <c r="F88" s="138"/>
      <c r="G88" s="138">
        <f t="shared" si="6"/>
        <v>0</v>
      </c>
    </row>
    <row r="89" spans="2:7">
      <c r="B89" s="275"/>
      <c r="C89" s="138" t="s">
        <v>69</v>
      </c>
      <c r="D89" s="138"/>
      <c r="E89" s="138"/>
      <c r="F89" s="138"/>
      <c r="G89" s="138">
        <f t="shared" si="6"/>
        <v>0</v>
      </c>
    </row>
    <row r="90" spans="2:7">
      <c r="B90" s="275"/>
      <c r="C90" s="138" t="s">
        <v>92</v>
      </c>
      <c r="D90" s="138"/>
      <c r="E90" s="138"/>
      <c r="F90" s="138"/>
      <c r="G90" s="138">
        <f t="shared" si="6"/>
        <v>0</v>
      </c>
    </row>
    <row r="91" spans="2:7">
      <c r="B91" s="275"/>
      <c r="C91" s="138" t="s">
        <v>77</v>
      </c>
      <c r="D91" s="138"/>
      <c r="E91" s="138"/>
      <c r="F91" s="138"/>
      <c r="G91" s="138">
        <f t="shared" si="6"/>
        <v>0</v>
      </c>
    </row>
    <row r="92" spans="2:7">
      <c r="B92" s="275"/>
      <c r="C92" s="138" t="s">
        <v>78</v>
      </c>
      <c r="D92" s="138"/>
      <c r="E92" s="138"/>
      <c r="F92" s="138"/>
      <c r="G92" s="138">
        <f t="shared" si="6"/>
        <v>0</v>
      </c>
    </row>
    <row r="93" spans="2:7">
      <c r="B93" s="275"/>
      <c r="C93" s="138" t="s">
        <v>79</v>
      </c>
      <c r="D93" s="138"/>
      <c r="E93" s="137"/>
      <c r="F93" s="138"/>
      <c r="G93" s="138">
        <f t="shared" si="6"/>
        <v>0</v>
      </c>
    </row>
    <row r="94" spans="2:7">
      <c r="B94" s="275"/>
      <c r="C94" s="138" t="s">
        <v>80</v>
      </c>
      <c r="D94" s="138"/>
      <c r="E94" s="138"/>
      <c r="F94" s="138"/>
      <c r="G94" s="138">
        <f t="shared" si="6"/>
        <v>0</v>
      </c>
    </row>
    <row r="95" spans="2:7">
      <c r="B95" s="275"/>
      <c r="C95" s="138" t="s">
        <v>72</v>
      </c>
      <c r="D95" s="138"/>
      <c r="E95" s="137"/>
      <c r="F95" s="138"/>
      <c r="G95" s="138">
        <f t="shared" si="6"/>
        <v>0</v>
      </c>
    </row>
    <row r="96" spans="2:7" ht="17.25" thickBot="1">
      <c r="B96" s="275"/>
      <c r="C96" s="138" t="s">
        <v>73</v>
      </c>
      <c r="D96" s="138"/>
      <c r="E96" s="137"/>
      <c r="F96" s="137"/>
      <c r="G96" s="138">
        <f t="shared" si="6"/>
        <v>0</v>
      </c>
    </row>
    <row r="97" spans="2:7" ht="17.25" thickBot="1">
      <c r="B97" s="15"/>
      <c r="C97" s="15"/>
      <c r="D97" s="15"/>
      <c r="E97" s="15"/>
      <c r="F97" s="15"/>
      <c r="G97" s="132">
        <f>SUM(G76:G96)</f>
        <v>0</v>
      </c>
    </row>
    <row r="98" spans="2:7">
      <c r="B98" s="15"/>
      <c r="C98" s="15"/>
      <c r="D98" s="15"/>
      <c r="E98" s="15"/>
      <c r="F98" s="15"/>
      <c r="G98" s="15"/>
    </row>
    <row r="99" spans="2:7">
      <c r="B99" s="14" t="s">
        <v>94</v>
      </c>
      <c r="C99" s="15"/>
      <c r="D99" s="15"/>
      <c r="E99" s="15"/>
      <c r="F99" s="15"/>
      <c r="G99" s="15"/>
    </row>
    <row r="100" spans="2:7" ht="30">
      <c r="B100" s="129"/>
      <c r="C100" s="129" t="s">
        <v>81</v>
      </c>
      <c r="D100" s="16">
        <v>46143</v>
      </c>
      <c r="E100" s="16">
        <v>46174</v>
      </c>
      <c r="F100" s="16">
        <v>46204</v>
      </c>
      <c r="G100" s="130" t="s">
        <v>858</v>
      </c>
    </row>
    <row r="101" spans="2:7">
      <c r="B101" s="299" t="s">
        <v>855</v>
      </c>
      <c r="C101" s="138" t="s">
        <v>83</v>
      </c>
      <c r="D101" s="131"/>
      <c r="E101" s="131"/>
      <c r="F101" s="131"/>
      <c r="G101" s="131">
        <f>SUM(D101:F101)</f>
        <v>0</v>
      </c>
    </row>
    <row r="102" spans="2:7">
      <c r="B102" s="300"/>
      <c r="C102" s="138" t="s">
        <v>84</v>
      </c>
      <c r="D102" s="131"/>
      <c r="E102" s="131"/>
      <c r="F102" s="131"/>
      <c r="G102" s="131">
        <f t="shared" ref="G102:G105" si="7">SUM(D102:F102)</f>
        <v>0</v>
      </c>
    </row>
    <row r="103" spans="2:7">
      <c r="B103" s="300"/>
      <c r="C103" s="138" t="s">
        <v>85</v>
      </c>
      <c r="D103" s="131"/>
      <c r="E103" s="131"/>
      <c r="F103" s="131"/>
      <c r="G103" s="131">
        <f t="shared" si="7"/>
        <v>0</v>
      </c>
    </row>
    <row r="104" spans="2:7">
      <c r="B104" s="300"/>
      <c r="C104" s="138" t="s">
        <v>86</v>
      </c>
      <c r="D104" s="131"/>
      <c r="E104" s="131"/>
      <c r="F104" s="131"/>
      <c r="G104" s="131">
        <f t="shared" si="7"/>
        <v>0</v>
      </c>
    </row>
    <row r="105" spans="2:7">
      <c r="B105" s="300"/>
      <c r="C105" s="138" t="s">
        <v>87</v>
      </c>
      <c r="D105" s="131">
        <f>SUM(D76:D96)</f>
        <v>0</v>
      </c>
      <c r="E105" s="131">
        <f t="shared" ref="E105:F105" si="8">SUM(E76:E96)</f>
        <v>0</v>
      </c>
      <c r="F105" s="131">
        <f t="shared" si="8"/>
        <v>0</v>
      </c>
      <c r="G105" s="131">
        <f t="shared" si="7"/>
        <v>0</v>
      </c>
    </row>
    <row r="106" spans="2:7">
      <c r="B106" s="300"/>
      <c r="C106" s="131"/>
      <c r="D106" s="138"/>
      <c r="E106" s="138"/>
      <c r="F106" s="138"/>
      <c r="G106" s="131">
        <f t="shared" ref="G106" si="9">SUM(D106:F106)</f>
        <v>0</v>
      </c>
    </row>
    <row r="107" spans="2:7">
      <c r="B107" s="301"/>
      <c r="C107" s="147"/>
      <c r="D107" s="147"/>
      <c r="E107" s="147"/>
      <c r="F107" s="148" t="s">
        <v>96</v>
      </c>
      <c r="G107" s="148">
        <f>SUM(G101:G106)</f>
        <v>0</v>
      </c>
    </row>
    <row r="109" spans="2:7">
      <c r="B109" s="14" t="s">
        <v>97</v>
      </c>
      <c r="C109" s="15"/>
      <c r="D109" s="15"/>
      <c r="E109" s="15"/>
      <c r="F109" s="15"/>
      <c r="G109" s="15"/>
    </row>
    <row r="110" spans="2:7" ht="30">
      <c r="B110" s="129"/>
      <c r="C110" s="129" t="s">
        <v>59</v>
      </c>
      <c r="D110" s="16">
        <v>46235</v>
      </c>
      <c r="E110" s="16">
        <v>46266</v>
      </c>
      <c r="F110" s="16">
        <v>46296</v>
      </c>
      <c r="G110" s="130" t="s">
        <v>859</v>
      </c>
    </row>
    <row r="111" spans="2:7">
      <c r="B111" s="274" t="s">
        <v>61</v>
      </c>
      <c r="C111" s="138" t="s">
        <v>62</v>
      </c>
      <c r="D111" s="138"/>
      <c r="E111" s="138"/>
      <c r="F111" s="138"/>
      <c r="G111" s="138">
        <f>SUM(D111:F111)</f>
        <v>0</v>
      </c>
    </row>
    <row r="112" spans="2:7">
      <c r="B112" s="274"/>
      <c r="C112" s="138" t="s">
        <v>63</v>
      </c>
      <c r="D112" s="138"/>
      <c r="E112" s="138"/>
      <c r="F112" s="138"/>
      <c r="G112" s="138">
        <f t="shared" ref="G112:G131" si="10">SUM(D112:F112)</f>
        <v>0</v>
      </c>
    </row>
    <row r="113" spans="2:7">
      <c r="B113" s="274"/>
      <c r="C113" s="138" t="s">
        <v>64</v>
      </c>
      <c r="D113" s="138"/>
      <c r="E113" s="138"/>
      <c r="F113" s="138"/>
      <c r="G113" s="138">
        <f t="shared" si="10"/>
        <v>0</v>
      </c>
    </row>
    <row r="114" spans="2:7">
      <c r="B114" s="274"/>
      <c r="C114" s="138" t="s">
        <v>65</v>
      </c>
      <c r="D114" s="138"/>
      <c r="E114" s="138"/>
      <c r="F114" s="138"/>
      <c r="G114" s="138">
        <f t="shared" si="10"/>
        <v>0</v>
      </c>
    </row>
    <row r="115" spans="2:7">
      <c r="B115" s="274"/>
      <c r="C115" s="138" t="s">
        <v>66</v>
      </c>
      <c r="D115" s="138"/>
      <c r="E115" s="138"/>
      <c r="F115" s="138"/>
      <c r="G115" s="138">
        <f t="shared" si="10"/>
        <v>0</v>
      </c>
    </row>
    <row r="116" spans="2:7">
      <c r="B116" s="274"/>
      <c r="C116" s="138" t="s">
        <v>67</v>
      </c>
      <c r="D116" s="138"/>
      <c r="E116" s="138"/>
      <c r="F116" s="138"/>
      <c r="G116" s="138">
        <f t="shared" si="10"/>
        <v>0</v>
      </c>
    </row>
    <row r="117" spans="2:7">
      <c r="B117" s="274"/>
      <c r="C117" s="138" t="s">
        <v>68</v>
      </c>
      <c r="D117" s="138"/>
      <c r="E117" s="138"/>
      <c r="F117" s="138"/>
      <c r="G117" s="138">
        <f t="shared" si="10"/>
        <v>0</v>
      </c>
    </row>
    <row r="118" spans="2:7">
      <c r="B118" s="274"/>
      <c r="C118" s="138" t="s">
        <v>69</v>
      </c>
      <c r="D118" s="138"/>
      <c r="E118" s="138"/>
      <c r="F118" s="138"/>
      <c r="G118" s="138">
        <f t="shared" si="10"/>
        <v>0</v>
      </c>
    </row>
    <row r="119" spans="2:7">
      <c r="B119" s="274"/>
      <c r="C119" s="138" t="s">
        <v>70</v>
      </c>
      <c r="D119" s="138"/>
      <c r="E119" s="138"/>
      <c r="F119" s="138"/>
      <c r="G119" s="138">
        <f t="shared" si="10"/>
        <v>0</v>
      </c>
    </row>
    <row r="120" spans="2:7">
      <c r="B120" s="274"/>
      <c r="C120" s="138" t="s">
        <v>71</v>
      </c>
      <c r="D120" s="138"/>
      <c r="E120" s="138"/>
      <c r="F120" s="138"/>
      <c r="G120" s="138">
        <f t="shared" si="10"/>
        <v>0</v>
      </c>
    </row>
    <row r="121" spans="2:7">
      <c r="B121" s="274"/>
      <c r="C121" s="138" t="s">
        <v>72</v>
      </c>
      <c r="D121" s="138"/>
      <c r="E121" s="138"/>
      <c r="F121" s="138"/>
      <c r="G121" s="138">
        <f t="shared" si="10"/>
        <v>0</v>
      </c>
    </row>
    <row r="122" spans="2:7">
      <c r="B122" s="274"/>
      <c r="C122" s="138" t="s">
        <v>73</v>
      </c>
      <c r="D122" s="138"/>
      <c r="E122" s="138"/>
      <c r="F122" s="138"/>
      <c r="G122" s="138">
        <f t="shared" si="10"/>
        <v>0</v>
      </c>
    </row>
    <row r="123" spans="2:7">
      <c r="B123" s="275" t="s">
        <v>74</v>
      </c>
      <c r="C123" s="138" t="s">
        <v>75</v>
      </c>
      <c r="D123" s="138"/>
      <c r="E123" s="138"/>
      <c r="F123" s="138"/>
      <c r="G123" s="138">
        <f t="shared" si="10"/>
        <v>0</v>
      </c>
    </row>
    <row r="124" spans="2:7">
      <c r="B124" s="275"/>
      <c r="C124" s="138" t="s">
        <v>69</v>
      </c>
      <c r="D124" s="138"/>
      <c r="E124" s="138"/>
      <c r="F124" s="138"/>
      <c r="G124" s="138">
        <f t="shared" si="10"/>
        <v>0</v>
      </c>
    </row>
    <row r="125" spans="2:7">
      <c r="B125" s="275"/>
      <c r="C125" s="138" t="s">
        <v>92</v>
      </c>
      <c r="D125" s="138"/>
      <c r="E125" s="138"/>
      <c r="F125" s="138"/>
      <c r="G125" s="138">
        <f t="shared" si="10"/>
        <v>0</v>
      </c>
    </row>
    <row r="126" spans="2:7">
      <c r="B126" s="275"/>
      <c r="C126" s="138" t="s">
        <v>77</v>
      </c>
      <c r="D126" s="138"/>
      <c r="E126" s="138"/>
      <c r="F126" s="138"/>
      <c r="G126" s="138">
        <f t="shared" si="10"/>
        <v>0</v>
      </c>
    </row>
    <row r="127" spans="2:7">
      <c r="B127" s="275"/>
      <c r="C127" s="138" t="s">
        <v>78</v>
      </c>
      <c r="D127" s="138"/>
      <c r="E127" s="138"/>
      <c r="F127" s="138"/>
      <c r="G127" s="138">
        <f t="shared" si="10"/>
        <v>0</v>
      </c>
    </row>
    <row r="128" spans="2:7">
      <c r="B128" s="275"/>
      <c r="C128" s="138" t="s">
        <v>79</v>
      </c>
      <c r="D128" s="138"/>
      <c r="E128" s="138"/>
      <c r="F128" s="138"/>
      <c r="G128" s="138">
        <f t="shared" si="10"/>
        <v>0</v>
      </c>
    </row>
    <row r="129" spans="2:7">
      <c r="B129" s="275"/>
      <c r="C129" s="138" t="s">
        <v>80</v>
      </c>
      <c r="D129" s="138"/>
      <c r="E129" s="138"/>
      <c r="F129" s="138"/>
      <c r="G129" s="138">
        <f t="shared" si="10"/>
        <v>0</v>
      </c>
    </row>
    <row r="130" spans="2:7">
      <c r="B130" s="275"/>
      <c r="C130" s="138" t="s">
        <v>72</v>
      </c>
      <c r="D130" s="138"/>
      <c r="E130" s="137"/>
      <c r="F130" s="138"/>
      <c r="G130" s="138">
        <f t="shared" si="10"/>
        <v>0</v>
      </c>
    </row>
    <row r="131" spans="2:7" ht="17.25" thickBot="1">
      <c r="B131" s="275"/>
      <c r="C131" s="138" t="s">
        <v>73</v>
      </c>
      <c r="D131" s="138"/>
      <c r="E131" s="137"/>
      <c r="F131" s="137"/>
      <c r="G131" s="138">
        <f t="shared" si="10"/>
        <v>0</v>
      </c>
    </row>
    <row r="132" spans="2:7" ht="17.25" thickBot="1">
      <c r="B132" s="15"/>
      <c r="C132" s="15"/>
      <c r="D132" s="15"/>
      <c r="E132" s="15"/>
      <c r="F132" s="132" t="s">
        <v>96</v>
      </c>
      <c r="G132" s="132">
        <f>SUM(G111:G131)</f>
        <v>0</v>
      </c>
    </row>
    <row r="133" spans="2:7">
      <c r="B133" s="15"/>
      <c r="C133" s="15"/>
      <c r="D133" s="15"/>
      <c r="E133" s="15"/>
      <c r="F133" s="15"/>
      <c r="G133" s="15"/>
    </row>
    <row r="134" spans="2:7">
      <c r="B134" s="14" t="s">
        <v>97</v>
      </c>
      <c r="C134" s="15"/>
      <c r="D134" s="15"/>
      <c r="E134" s="15"/>
      <c r="F134" s="15"/>
      <c r="G134" s="15"/>
    </row>
    <row r="135" spans="2:7" ht="30">
      <c r="B135" s="129"/>
      <c r="C135" s="129" t="s">
        <v>81</v>
      </c>
      <c r="D135" s="16">
        <v>46235</v>
      </c>
      <c r="E135" s="16">
        <v>46266</v>
      </c>
      <c r="F135" s="16">
        <v>46296</v>
      </c>
      <c r="G135" s="130" t="s">
        <v>859</v>
      </c>
    </row>
    <row r="136" spans="2:7">
      <c r="B136" s="299" t="s">
        <v>82</v>
      </c>
      <c r="C136" s="138" t="s">
        <v>83</v>
      </c>
      <c r="D136" s="138"/>
      <c r="E136" s="138"/>
      <c r="F136" s="138"/>
      <c r="G136" s="131">
        <f>SUM(D136:F136)</f>
        <v>0</v>
      </c>
    </row>
    <row r="137" spans="2:7">
      <c r="B137" s="300"/>
      <c r="C137" s="138" t="s">
        <v>84</v>
      </c>
      <c r="D137" s="138"/>
      <c r="E137" s="138"/>
      <c r="F137" s="138"/>
      <c r="G137" s="131">
        <f t="shared" ref="G137:G140" si="11">SUM(D137:F137)</f>
        <v>0</v>
      </c>
    </row>
    <row r="138" spans="2:7">
      <c r="B138" s="300"/>
      <c r="C138" s="138" t="s">
        <v>85</v>
      </c>
      <c r="D138" s="138"/>
      <c r="E138" s="138"/>
      <c r="F138" s="138"/>
      <c r="G138" s="131">
        <f t="shared" si="11"/>
        <v>0</v>
      </c>
    </row>
    <row r="139" spans="2:7">
      <c r="B139" s="300"/>
      <c r="C139" s="138" t="s">
        <v>86</v>
      </c>
      <c r="D139" s="138"/>
      <c r="E139" s="138"/>
      <c r="F139" s="138"/>
      <c r="G139" s="131">
        <f t="shared" si="11"/>
        <v>0</v>
      </c>
    </row>
    <row r="140" spans="2:7">
      <c r="B140" s="300"/>
      <c r="C140" s="138" t="s">
        <v>87</v>
      </c>
      <c r="D140" s="138">
        <f>SUM(D111:D131)</f>
        <v>0</v>
      </c>
      <c r="E140" s="138">
        <f t="shared" ref="E140:F140" si="12">SUM(E111:E131)</f>
        <v>0</v>
      </c>
      <c r="F140" s="138">
        <f t="shared" si="12"/>
        <v>0</v>
      </c>
      <c r="G140" s="131">
        <f t="shared" si="11"/>
        <v>0</v>
      </c>
    </row>
    <row r="141" spans="2:7" ht="17.25" thickBot="1">
      <c r="B141" s="301"/>
      <c r="C141" s="138"/>
      <c r="D141" s="138"/>
      <c r="E141" s="138"/>
      <c r="F141" s="138"/>
      <c r="G141" s="131"/>
    </row>
    <row r="142" spans="2:7" ht="17.25" thickBot="1">
      <c r="B142" s="15"/>
      <c r="C142" s="15"/>
      <c r="D142" s="15"/>
      <c r="E142" s="15"/>
      <c r="F142" s="132" t="s">
        <v>96</v>
      </c>
      <c r="G142" s="133">
        <f>SUM(G140)</f>
        <v>0</v>
      </c>
    </row>
  </sheetData>
  <mergeCells count="14">
    <mergeCell ref="B101:B107"/>
    <mergeCell ref="B5:B16"/>
    <mergeCell ref="B17:B25"/>
    <mergeCell ref="B136:B141"/>
    <mergeCell ref="B76:B87"/>
    <mergeCell ref="B88:B96"/>
    <mergeCell ref="B111:B122"/>
    <mergeCell ref="B123:B131"/>
    <mergeCell ref="C36:F36"/>
    <mergeCell ref="B40:B51"/>
    <mergeCell ref="B52:B60"/>
    <mergeCell ref="C71:F71"/>
    <mergeCell ref="B30:B36"/>
    <mergeCell ref="B65:B71"/>
  </mergeCells>
  <phoneticPr fontId="4" type="noConversion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BO287"/>
  <sheetViews>
    <sheetView zoomScale="90" zoomScaleNormal="90" workbookViewId="0">
      <pane xSplit="13" ySplit="2" topLeftCell="AR27" activePane="bottomRight" state="frozen"/>
      <selection pane="topRight" activeCell="C26" sqref="C26"/>
      <selection pane="bottomLeft" activeCell="C26" sqref="C26"/>
      <selection pane="bottomRight" activeCell="H20" sqref="H20"/>
    </sheetView>
  </sheetViews>
  <sheetFormatPr defaultColWidth="9" defaultRowHeight="15"/>
  <cols>
    <col min="1" max="1" width="6.375" style="1" customWidth="1"/>
    <col min="2" max="2" width="11.75" style="1" customWidth="1"/>
    <col min="3" max="3" width="9" style="2" customWidth="1"/>
    <col min="4" max="4" width="19.625" style="1" customWidth="1"/>
    <col min="5" max="5" width="13.625" style="2" customWidth="1"/>
    <col min="6" max="6" width="12.75" style="1" customWidth="1"/>
    <col min="7" max="7" width="10" style="33" customWidth="1"/>
    <col min="8" max="8" width="25.625" style="1" customWidth="1"/>
    <col min="9" max="9" width="10.125" style="1" customWidth="1"/>
    <col min="10" max="10" width="7.125" style="33" customWidth="1"/>
    <col min="11" max="11" width="19.125" style="1" customWidth="1"/>
    <col min="12" max="12" width="9.375" style="2" customWidth="1"/>
    <col min="13" max="13" width="16.75" style="1" customWidth="1"/>
    <col min="14" max="19" width="7" style="10" customWidth="1"/>
    <col min="20" max="22" width="6.875" style="10" customWidth="1"/>
    <col min="23" max="25" width="7" style="10" customWidth="1"/>
    <col min="26" max="26" width="7.375" style="10" customWidth="1"/>
    <col min="27" max="28" width="7.375" style="3" customWidth="1"/>
    <col min="29" max="36" width="7.375" style="1" customWidth="1"/>
    <col min="37" max="37" width="8.875" style="1" customWidth="1"/>
    <col min="38" max="38" width="9.375" style="5" customWidth="1"/>
    <col min="39" max="39" width="13" style="120" customWidth="1"/>
    <col min="40" max="40" width="9.375" style="5" customWidth="1"/>
    <col min="41" max="41" width="13" style="120" customWidth="1"/>
    <col min="42" max="42" width="8.375" style="5" customWidth="1"/>
    <col min="43" max="43" width="11.875" style="120" bestFit="1" customWidth="1"/>
    <col min="44" max="44" width="8.375" style="1" bestFit="1" customWidth="1"/>
    <col min="45" max="45" width="11.875" style="121" bestFit="1" customWidth="1"/>
    <col min="46" max="46" width="8.75" style="1" customWidth="1"/>
    <col min="47" max="47" width="13" style="121" customWidth="1"/>
    <col min="48" max="48" width="8.375" style="1" customWidth="1"/>
    <col min="49" max="49" width="13" style="121" customWidth="1"/>
    <col min="50" max="50" width="8.375" style="1" customWidth="1"/>
    <col min="51" max="51" width="13" style="125" customWidth="1"/>
    <col min="52" max="52" width="8.375" style="1" customWidth="1"/>
    <col min="53" max="53" width="13" style="125" customWidth="1"/>
    <col min="54" max="54" width="8.375" style="1" customWidth="1"/>
    <col min="55" max="55" width="13" style="125" customWidth="1"/>
    <col min="56" max="56" width="8.375" style="1" customWidth="1"/>
    <col min="57" max="57" width="13" style="125" customWidth="1"/>
    <col min="58" max="58" width="8.375" style="1" customWidth="1"/>
    <col min="59" max="59" width="13" style="125" customWidth="1"/>
    <col min="60" max="60" width="8.375" style="1" customWidth="1"/>
    <col min="61" max="61" width="13" style="125" customWidth="1"/>
    <col min="62" max="62" width="15.125" style="220" bestFit="1" customWidth="1"/>
    <col min="63" max="63" width="9.125" style="1" customWidth="1"/>
    <col min="64" max="64" width="6.375" style="1" customWidth="1"/>
    <col min="65" max="65" width="27.75" style="1" bestFit="1" customWidth="1"/>
    <col min="66" max="16384" width="9" style="1"/>
  </cols>
  <sheetData>
    <row r="1" spans="1:67" s="2" customFormat="1" ht="57.75" customHeight="1" thickBot="1">
      <c r="A1" s="221"/>
      <c r="B1" s="17"/>
      <c r="C1" s="17"/>
      <c r="D1" s="17" t="s">
        <v>435</v>
      </c>
      <c r="E1" s="13" t="s">
        <v>436</v>
      </c>
      <c r="F1" s="7"/>
      <c r="G1" s="11" t="s">
        <v>437</v>
      </c>
      <c r="H1" s="11" t="s">
        <v>438</v>
      </c>
      <c r="I1" s="12" t="s">
        <v>439</v>
      </c>
      <c r="J1" s="12" t="s">
        <v>440</v>
      </c>
      <c r="K1" s="12" t="s">
        <v>441</v>
      </c>
      <c r="L1" s="12" t="s">
        <v>442</v>
      </c>
      <c r="M1" s="241" t="s">
        <v>443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>
        <f t="shared" ref="Z1:AK1" si="0">SUM(Z3:Z287)</f>
        <v>184.74999999999926</v>
      </c>
      <c r="AA1" s="4">
        <f t="shared" si="0"/>
        <v>184.74999999999926</v>
      </c>
      <c r="AB1" s="4">
        <f t="shared" si="0"/>
        <v>178.97999999999951</v>
      </c>
      <c r="AC1" s="4">
        <f t="shared" si="0"/>
        <v>178.97999999999951</v>
      </c>
      <c r="AD1" s="4">
        <f t="shared" si="0"/>
        <v>178.97999999999951</v>
      </c>
      <c r="AE1" s="4">
        <f t="shared" si="0"/>
        <v>178.97999999999951</v>
      </c>
      <c r="AF1" s="4">
        <f t="shared" si="0"/>
        <v>178.97999999999951</v>
      </c>
      <c r="AG1" s="4">
        <f>SUM(AG3:AG287)</f>
        <v>178.97999999999951</v>
      </c>
      <c r="AH1" s="4">
        <f t="shared" si="0"/>
        <v>178.97999999999951</v>
      </c>
      <c r="AI1" s="4">
        <f t="shared" si="0"/>
        <v>178.97999999999951</v>
      </c>
      <c r="AJ1" s="4">
        <f t="shared" si="0"/>
        <v>178.97999999999951</v>
      </c>
      <c r="AK1" s="4">
        <f t="shared" si="0"/>
        <v>178.97999999999951</v>
      </c>
      <c r="AL1" s="116"/>
      <c r="AM1" s="114">
        <f>SUM(AM3:AM1175)</f>
        <v>26646.099999999995</v>
      </c>
      <c r="AN1" s="114"/>
      <c r="AO1" s="114">
        <f>SUM(AO3:AO1175)</f>
        <v>27980.38</v>
      </c>
      <c r="AP1" s="114"/>
      <c r="AQ1" s="114">
        <f>SUM(AQ3:AQ1175)</f>
        <v>35179.810000000005</v>
      </c>
      <c r="AR1" s="114"/>
      <c r="AS1" s="114">
        <f>SUM(AS3:AS1175)</f>
        <v>28603.980000000003</v>
      </c>
      <c r="AT1" s="114"/>
      <c r="AU1" s="114">
        <f>SUM(AU3:AU1175)</f>
        <v>29407.52</v>
      </c>
      <c r="AV1" s="114"/>
      <c r="AW1" s="114">
        <f>SUM(AW3:AW1175)</f>
        <v>11444.85</v>
      </c>
      <c r="AX1" s="114"/>
      <c r="AY1" s="114">
        <f>SUM(AY3:AY1175)</f>
        <v>15764.8</v>
      </c>
      <c r="AZ1" s="114"/>
      <c r="BA1" s="114">
        <f>SUM(BA3:BA1175)</f>
        <v>15453.2</v>
      </c>
      <c r="BB1" s="114"/>
      <c r="BC1" s="114">
        <f>SUM(BC3:BC1175)</f>
        <v>8156</v>
      </c>
      <c r="BD1" s="114"/>
      <c r="BE1" s="114">
        <f>SUM(BE3:BE1175)</f>
        <v>12127</v>
      </c>
      <c r="BF1" s="114"/>
      <c r="BG1" s="114">
        <f>SUM(BG3:BG1175)</f>
        <v>12262</v>
      </c>
      <c r="BH1" s="114"/>
      <c r="BI1" s="114">
        <f>SUM(BI3:BI1175)</f>
        <v>6627</v>
      </c>
      <c r="BJ1" s="12" t="s">
        <v>444</v>
      </c>
      <c r="BK1" s="12" t="s">
        <v>445</v>
      </c>
      <c r="BL1" s="12" t="s">
        <v>446</v>
      </c>
      <c r="BM1" s="12" t="s">
        <v>447</v>
      </c>
    </row>
    <row r="2" spans="1:67" s="6" customFormat="1" ht="45.75" thickBot="1">
      <c r="A2" s="156" t="s">
        <v>821</v>
      </c>
      <c r="B2" s="171" t="s">
        <v>109</v>
      </c>
      <c r="C2" s="176" t="s">
        <v>110</v>
      </c>
      <c r="D2" s="172" t="s">
        <v>111</v>
      </c>
      <c r="E2" s="172" t="s">
        <v>59</v>
      </c>
      <c r="F2" s="172" t="s">
        <v>112</v>
      </c>
      <c r="G2" s="200" t="s">
        <v>113</v>
      </c>
      <c r="H2" s="172" t="s">
        <v>114</v>
      </c>
      <c r="I2" s="157" t="s">
        <v>839</v>
      </c>
      <c r="J2" s="158" t="s">
        <v>116</v>
      </c>
      <c r="K2" s="157" t="s">
        <v>117</v>
      </c>
      <c r="L2" s="157" t="s">
        <v>118</v>
      </c>
      <c r="M2" s="177" t="s">
        <v>119</v>
      </c>
      <c r="N2" s="187" t="s">
        <v>121</v>
      </c>
      <c r="O2" s="160" t="s">
        <v>122</v>
      </c>
      <c r="P2" s="160" t="s">
        <v>123</v>
      </c>
      <c r="Q2" s="160" t="s">
        <v>124</v>
      </c>
      <c r="R2" s="160" t="s">
        <v>125</v>
      </c>
      <c r="S2" s="160" t="s">
        <v>126</v>
      </c>
      <c r="T2" s="160" t="s">
        <v>127</v>
      </c>
      <c r="U2" s="160" t="s">
        <v>128</v>
      </c>
      <c r="V2" s="160" t="s">
        <v>129</v>
      </c>
      <c r="W2" s="160" t="s">
        <v>130</v>
      </c>
      <c r="X2" s="160" t="s">
        <v>131</v>
      </c>
      <c r="Y2" s="255" t="s">
        <v>132</v>
      </c>
      <c r="Z2" s="254" t="s">
        <v>134</v>
      </c>
      <c r="AA2" s="161" t="s">
        <v>135</v>
      </c>
      <c r="AB2" s="161" t="s">
        <v>136</v>
      </c>
      <c r="AC2" s="161" t="s">
        <v>137</v>
      </c>
      <c r="AD2" s="161" t="s">
        <v>138</v>
      </c>
      <c r="AE2" s="161" t="s">
        <v>139</v>
      </c>
      <c r="AF2" s="161" t="s">
        <v>140</v>
      </c>
      <c r="AG2" s="161" t="s">
        <v>141</v>
      </c>
      <c r="AH2" s="161" t="s">
        <v>142</v>
      </c>
      <c r="AI2" s="161" t="s">
        <v>143</v>
      </c>
      <c r="AJ2" s="161" t="s">
        <v>144</v>
      </c>
      <c r="AK2" s="261" t="s">
        <v>145</v>
      </c>
      <c r="AL2" s="260" t="s">
        <v>146</v>
      </c>
      <c r="AM2" s="163" t="s">
        <v>147</v>
      </c>
      <c r="AN2" s="162" t="s">
        <v>148</v>
      </c>
      <c r="AO2" s="163" t="s">
        <v>149</v>
      </c>
      <c r="AP2" s="163" t="s">
        <v>150</v>
      </c>
      <c r="AQ2" s="188" t="s">
        <v>151</v>
      </c>
      <c r="AR2" s="196" t="s">
        <v>152</v>
      </c>
      <c r="AS2" s="197" t="s">
        <v>153</v>
      </c>
      <c r="AT2" s="198" t="s">
        <v>154</v>
      </c>
      <c r="AU2" s="197" t="s">
        <v>155</v>
      </c>
      <c r="AV2" s="197" t="s">
        <v>156</v>
      </c>
      <c r="AW2" s="199" t="s">
        <v>157</v>
      </c>
      <c r="AX2" s="192" t="s">
        <v>158</v>
      </c>
      <c r="AY2" s="193" t="s">
        <v>159</v>
      </c>
      <c r="AZ2" s="194" t="s">
        <v>160</v>
      </c>
      <c r="BA2" s="193" t="s">
        <v>161</v>
      </c>
      <c r="BB2" s="193" t="s">
        <v>162</v>
      </c>
      <c r="BC2" s="195" t="s">
        <v>163</v>
      </c>
      <c r="BD2" s="189" t="s">
        <v>164</v>
      </c>
      <c r="BE2" s="190" t="s">
        <v>165</v>
      </c>
      <c r="BF2" s="191" t="s">
        <v>166</v>
      </c>
      <c r="BG2" s="190" t="s">
        <v>167</v>
      </c>
      <c r="BH2" s="190" t="s">
        <v>168</v>
      </c>
      <c r="BI2" s="190" t="s">
        <v>169</v>
      </c>
      <c r="BJ2" s="222" t="s">
        <v>170</v>
      </c>
      <c r="BK2" s="223" t="s">
        <v>171</v>
      </c>
      <c r="BL2" s="223" t="s">
        <v>449</v>
      </c>
      <c r="BM2" s="223" t="s">
        <v>450</v>
      </c>
    </row>
    <row r="3" spans="1:67">
      <c r="A3" s="219" t="s">
        <v>822</v>
      </c>
      <c r="B3" s="106" t="s">
        <v>354</v>
      </c>
      <c r="C3" s="66" t="s">
        <v>175</v>
      </c>
      <c r="D3" s="284" t="s">
        <v>452</v>
      </c>
      <c r="E3" s="136" t="s">
        <v>176</v>
      </c>
      <c r="F3" s="294" t="s">
        <v>355</v>
      </c>
      <c r="G3" s="65" t="s">
        <v>178</v>
      </c>
      <c r="H3" s="91" t="s">
        <v>356</v>
      </c>
      <c r="I3" s="91" t="s">
        <v>180</v>
      </c>
      <c r="J3" s="65">
        <v>13</v>
      </c>
      <c r="K3" s="91" t="s">
        <v>181</v>
      </c>
      <c r="L3" s="90" t="s">
        <v>182</v>
      </c>
      <c r="M3" s="89" t="s">
        <v>453</v>
      </c>
      <c r="N3" s="78">
        <v>4.07</v>
      </c>
      <c r="O3" s="78">
        <v>4.07</v>
      </c>
      <c r="P3" s="78">
        <v>4.07</v>
      </c>
      <c r="Q3" s="78">
        <v>4.07</v>
      </c>
      <c r="R3" s="78">
        <v>4.07</v>
      </c>
      <c r="S3" s="78">
        <v>4.07</v>
      </c>
      <c r="T3" s="78">
        <v>4.07</v>
      </c>
      <c r="U3" s="78">
        <v>4.07</v>
      </c>
      <c r="V3" s="78">
        <v>4.07</v>
      </c>
      <c r="W3" s="78">
        <v>4.07</v>
      </c>
      <c r="X3" s="78">
        <v>4.07</v>
      </c>
      <c r="Y3" s="256">
        <v>4.07</v>
      </c>
      <c r="Z3" s="78">
        <v>0.83</v>
      </c>
      <c r="AA3" s="78">
        <v>0.83</v>
      </c>
      <c r="AB3" s="78">
        <v>0.83</v>
      </c>
      <c r="AC3" s="78">
        <v>0.83</v>
      </c>
      <c r="AD3" s="78">
        <v>0.83</v>
      </c>
      <c r="AE3" s="78">
        <v>0.83</v>
      </c>
      <c r="AF3" s="78">
        <v>0.83</v>
      </c>
      <c r="AG3" s="78">
        <v>0.83</v>
      </c>
      <c r="AH3" s="78">
        <v>0.83</v>
      </c>
      <c r="AI3" s="78">
        <v>0.83</v>
      </c>
      <c r="AJ3" s="78">
        <v>0.83</v>
      </c>
      <c r="AK3" s="256">
        <v>0.83</v>
      </c>
      <c r="AL3" s="22">
        <v>955</v>
      </c>
      <c r="AM3" s="117">
        <f t="shared" ref="AM3:AM216" si="1">Z3*AL3</f>
        <v>792.65</v>
      </c>
      <c r="AN3" s="22">
        <v>1600</v>
      </c>
      <c r="AO3" s="117">
        <f t="shared" ref="AO3:AO131" si="2">AA3*AN3</f>
        <v>1328</v>
      </c>
      <c r="AP3" s="22">
        <v>1390</v>
      </c>
      <c r="AQ3" s="126">
        <f t="shared" ref="AQ3:AQ257" si="3">AB3*AP3</f>
        <v>1153.7</v>
      </c>
      <c r="AR3" s="22">
        <v>1800</v>
      </c>
      <c r="AS3" s="117">
        <f t="shared" ref="AS3:AS257" si="4">AC3*AR3</f>
        <v>1494</v>
      </c>
      <c r="AT3" s="22">
        <v>2396</v>
      </c>
      <c r="AU3" s="117">
        <f t="shared" ref="AU3:AU257" si="5">AD3*AT3</f>
        <v>1988.6799999999998</v>
      </c>
      <c r="AV3" s="22">
        <v>195</v>
      </c>
      <c r="AW3" s="126">
        <f t="shared" ref="AW3:AW257" si="6">AE3*AV3</f>
        <v>161.85</v>
      </c>
      <c r="AX3" s="79">
        <v>160</v>
      </c>
      <c r="AY3" s="117">
        <f t="shared" ref="AY3:AY257" si="7">AF3*AX3</f>
        <v>132.79999999999998</v>
      </c>
      <c r="AZ3" s="79">
        <v>40</v>
      </c>
      <c r="BA3" s="117">
        <f t="shared" ref="BA3:BA257" si="8">AG3*AZ3</f>
        <v>33.199999999999996</v>
      </c>
      <c r="BB3" s="22">
        <v>0</v>
      </c>
      <c r="BC3" s="126">
        <f t="shared" ref="BC3:BC257" si="9">AH3*BB3</f>
        <v>0</v>
      </c>
      <c r="BD3" s="79">
        <v>0</v>
      </c>
      <c r="BE3" s="117">
        <f t="shared" ref="BE3:BE257" si="10">AI3*BD3</f>
        <v>0</v>
      </c>
      <c r="BF3" s="22">
        <v>0</v>
      </c>
      <c r="BG3" s="117">
        <f t="shared" ref="BG3:BG257" si="11">AJ3*BF3</f>
        <v>0</v>
      </c>
      <c r="BH3" s="22">
        <v>0</v>
      </c>
      <c r="BI3" s="126">
        <f t="shared" ref="BI3:BI257" si="12">AK3*BH3</f>
        <v>0</v>
      </c>
      <c r="BJ3" s="220" t="s">
        <v>454</v>
      </c>
      <c r="BL3" s="1" t="s">
        <v>455</v>
      </c>
      <c r="BM3" s="1" t="s">
        <v>456</v>
      </c>
      <c r="BN3" s="233"/>
      <c r="BO3" s="234"/>
    </row>
    <row r="4" spans="1:67">
      <c r="A4" s="219" t="s">
        <v>823</v>
      </c>
      <c r="B4" s="106" t="s">
        <v>354</v>
      </c>
      <c r="C4" s="66" t="s">
        <v>175</v>
      </c>
      <c r="D4" s="284"/>
      <c r="E4" s="136" t="s">
        <v>176</v>
      </c>
      <c r="F4" s="294"/>
      <c r="G4" s="86" t="s">
        <v>178</v>
      </c>
      <c r="H4" s="85" t="s">
        <v>356</v>
      </c>
      <c r="I4" s="85" t="s">
        <v>180</v>
      </c>
      <c r="J4" s="86">
        <v>13</v>
      </c>
      <c r="K4" s="85" t="s">
        <v>181</v>
      </c>
      <c r="L4" s="84" t="s">
        <v>182</v>
      </c>
      <c r="M4" s="83" t="s">
        <v>453</v>
      </c>
      <c r="N4" s="10">
        <v>4.07</v>
      </c>
      <c r="O4" s="10">
        <v>4.07</v>
      </c>
      <c r="P4" s="10">
        <v>4.07</v>
      </c>
      <c r="Q4" s="10">
        <v>4.07</v>
      </c>
      <c r="R4" s="10">
        <v>4.07</v>
      </c>
      <c r="S4" s="10">
        <v>4.07</v>
      </c>
      <c r="T4" s="10">
        <v>4.07</v>
      </c>
      <c r="U4" s="10">
        <v>4.07</v>
      </c>
      <c r="V4" s="10">
        <v>4.07</v>
      </c>
      <c r="W4" s="10">
        <v>4.07</v>
      </c>
      <c r="X4" s="10">
        <v>4.07</v>
      </c>
      <c r="Y4" s="257">
        <v>4.07</v>
      </c>
      <c r="Z4" s="10">
        <v>0.83</v>
      </c>
      <c r="AA4" s="10">
        <v>0.83</v>
      </c>
      <c r="AB4" s="10">
        <v>0.83</v>
      </c>
      <c r="AC4" s="10">
        <v>0.83</v>
      </c>
      <c r="AD4" s="10">
        <v>0.83</v>
      </c>
      <c r="AE4" s="10">
        <v>0.83</v>
      </c>
      <c r="AF4" s="10">
        <v>0.83</v>
      </c>
      <c r="AG4" s="10">
        <v>0.83</v>
      </c>
      <c r="AH4" s="10">
        <v>0.83</v>
      </c>
      <c r="AI4" s="10">
        <v>0.83</v>
      </c>
      <c r="AJ4" s="10">
        <v>0.83</v>
      </c>
      <c r="AK4" s="257">
        <v>0.83</v>
      </c>
      <c r="AL4" s="5">
        <v>160</v>
      </c>
      <c r="AM4" s="118">
        <f t="shared" ref="AM4:AM67" si="13">Z4*AL4</f>
        <v>132.79999999999998</v>
      </c>
      <c r="AN4" s="5">
        <v>200</v>
      </c>
      <c r="AO4" s="118">
        <f t="shared" si="2"/>
        <v>166</v>
      </c>
      <c r="AP4" s="5">
        <v>360</v>
      </c>
      <c r="AQ4" s="127">
        <f t="shared" si="3"/>
        <v>298.8</v>
      </c>
      <c r="AR4" s="5">
        <v>80</v>
      </c>
      <c r="AS4" s="118">
        <f t="shared" si="4"/>
        <v>66.399999999999991</v>
      </c>
      <c r="AT4" s="5">
        <v>120</v>
      </c>
      <c r="AU4" s="118">
        <f t="shared" si="5"/>
        <v>99.6</v>
      </c>
      <c r="AV4" s="5">
        <v>0</v>
      </c>
      <c r="AW4" s="127">
        <f t="shared" si="6"/>
        <v>0</v>
      </c>
      <c r="AX4" s="105">
        <v>0</v>
      </c>
      <c r="AY4" s="118">
        <f t="shared" si="7"/>
        <v>0</v>
      </c>
      <c r="AZ4" s="105">
        <v>0</v>
      </c>
      <c r="BA4" s="118">
        <f t="shared" si="8"/>
        <v>0</v>
      </c>
      <c r="BB4" s="5">
        <v>0</v>
      </c>
      <c r="BC4" s="127">
        <f t="shared" si="9"/>
        <v>0</v>
      </c>
      <c r="BD4" s="105">
        <v>0</v>
      </c>
      <c r="BE4" s="118">
        <f t="shared" si="10"/>
        <v>0</v>
      </c>
      <c r="BF4" s="5">
        <v>0</v>
      </c>
      <c r="BG4" s="118">
        <f t="shared" si="11"/>
        <v>0</v>
      </c>
      <c r="BH4" s="5">
        <v>0</v>
      </c>
      <c r="BI4" s="127">
        <f t="shared" si="12"/>
        <v>0</v>
      </c>
      <c r="BJ4" s="220" t="s">
        <v>457</v>
      </c>
      <c r="BL4" s="1" t="s">
        <v>455</v>
      </c>
      <c r="BM4" s="1" t="s">
        <v>456</v>
      </c>
      <c r="BN4" s="233"/>
      <c r="BO4" s="234"/>
    </row>
    <row r="5" spans="1:67">
      <c r="A5" s="219" t="s">
        <v>823</v>
      </c>
      <c r="B5" s="106" t="s">
        <v>357</v>
      </c>
      <c r="C5" s="66" t="s">
        <v>175</v>
      </c>
      <c r="D5" s="284"/>
      <c r="E5" s="136" t="s">
        <v>176</v>
      </c>
      <c r="F5" s="295"/>
      <c r="G5" s="86" t="s">
        <v>178</v>
      </c>
      <c r="H5" s="85" t="s">
        <v>356</v>
      </c>
      <c r="I5" s="85" t="s">
        <v>184</v>
      </c>
      <c r="J5" s="86">
        <v>13</v>
      </c>
      <c r="K5" s="85" t="s">
        <v>181</v>
      </c>
      <c r="L5" s="84" t="s">
        <v>185</v>
      </c>
      <c r="M5" s="83" t="s">
        <v>453</v>
      </c>
      <c r="N5" s="10">
        <v>9.1199999999999992</v>
      </c>
      <c r="O5" s="10">
        <v>9.1199999999999992</v>
      </c>
      <c r="P5" s="10">
        <v>9.1199999999999992</v>
      </c>
      <c r="Q5" s="10">
        <v>9.1199999999999992</v>
      </c>
      <c r="R5" s="10">
        <v>9.1199999999999992</v>
      </c>
      <c r="S5" s="10">
        <v>9.1199999999999992</v>
      </c>
      <c r="T5" s="10">
        <v>9.1199999999999992</v>
      </c>
      <c r="U5" s="10">
        <v>9.1199999999999992</v>
      </c>
      <c r="V5" s="10">
        <v>9.1199999999999992</v>
      </c>
      <c r="W5" s="10">
        <v>9.1199999999999992</v>
      </c>
      <c r="X5" s="10">
        <v>9.1199999999999992</v>
      </c>
      <c r="Y5" s="257">
        <v>9.1199999999999992</v>
      </c>
      <c r="Z5" s="10">
        <v>1.07</v>
      </c>
      <c r="AA5" s="10">
        <v>1.07</v>
      </c>
      <c r="AB5" s="10">
        <v>1.07</v>
      </c>
      <c r="AC5" s="10">
        <v>1.07</v>
      </c>
      <c r="AD5" s="10">
        <v>1.07</v>
      </c>
      <c r="AE5" s="10">
        <v>1.07</v>
      </c>
      <c r="AF5" s="10">
        <v>1.07</v>
      </c>
      <c r="AG5" s="10">
        <v>1.07</v>
      </c>
      <c r="AH5" s="10">
        <v>1.07</v>
      </c>
      <c r="AI5" s="10">
        <v>1.07</v>
      </c>
      <c r="AJ5" s="10">
        <v>1.07</v>
      </c>
      <c r="AK5" s="257">
        <v>1.07</v>
      </c>
      <c r="AL5" s="5">
        <v>560</v>
      </c>
      <c r="AM5" s="118">
        <f t="shared" si="13"/>
        <v>599.20000000000005</v>
      </c>
      <c r="AN5" s="5">
        <v>1720</v>
      </c>
      <c r="AO5" s="118">
        <f t="shared" si="2"/>
        <v>1840.4</v>
      </c>
      <c r="AP5" s="5">
        <v>1522</v>
      </c>
      <c r="AQ5" s="127">
        <f t="shared" si="3"/>
        <v>1628.5400000000002</v>
      </c>
      <c r="AR5" s="5">
        <v>1039</v>
      </c>
      <c r="AS5" s="118">
        <f t="shared" si="4"/>
        <v>1111.73</v>
      </c>
      <c r="AT5" s="5">
        <v>560</v>
      </c>
      <c r="AU5" s="118">
        <f t="shared" si="5"/>
        <v>599.20000000000005</v>
      </c>
      <c r="AV5" s="5">
        <v>1000</v>
      </c>
      <c r="AW5" s="127">
        <f t="shared" si="6"/>
        <v>1070</v>
      </c>
      <c r="AX5" s="105">
        <v>600</v>
      </c>
      <c r="AY5" s="118">
        <f t="shared" si="7"/>
        <v>642</v>
      </c>
      <c r="AZ5" s="105">
        <v>900</v>
      </c>
      <c r="BA5" s="118">
        <f t="shared" si="8"/>
        <v>963</v>
      </c>
      <c r="BB5" s="5">
        <v>0</v>
      </c>
      <c r="BC5" s="127">
        <f t="shared" si="9"/>
        <v>0</v>
      </c>
      <c r="BD5" s="105">
        <v>0</v>
      </c>
      <c r="BE5" s="118">
        <f t="shared" si="10"/>
        <v>0</v>
      </c>
      <c r="BF5" s="5">
        <v>0</v>
      </c>
      <c r="BG5" s="118">
        <f t="shared" si="11"/>
        <v>0</v>
      </c>
      <c r="BH5" s="5">
        <v>0</v>
      </c>
      <c r="BI5" s="127">
        <f t="shared" si="12"/>
        <v>0</v>
      </c>
      <c r="BJ5" s="220" t="s">
        <v>458</v>
      </c>
      <c r="BL5" s="1" t="s">
        <v>455</v>
      </c>
      <c r="BM5" s="1" t="s">
        <v>459</v>
      </c>
      <c r="BN5" s="233"/>
      <c r="BO5" s="234"/>
    </row>
    <row r="6" spans="1:67">
      <c r="A6" s="219" t="s">
        <v>823</v>
      </c>
      <c r="B6" s="106" t="s">
        <v>354</v>
      </c>
      <c r="C6" s="66" t="s">
        <v>175</v>
      </c>
      <c r="D6" s="284"/>
      <c r="E6" s="136" t="s">
        <v>176</v>
      </c>
      <c r="F6" s="295"/>
      <c r="G6" s="86" t="s">
        <v>178</v>
      </c>
      <c r="H6" s="85" t="s">
        <v>356</v>
      </c>
      <c r="I6" s="85" t="s">
        <v>184</v>
      </c>
      <c r="J6" s="86">
        <v>13</v>
      </c>
      <c r="K6" s="85" t="s">
        <v>181</v>
      </c>
      <c r="L6" s="84" t="s">
        <v>185</v>
      </c>
      <c r="M6" s="83" t="s">
        <v>453</v>
      </c>
      <c r="N6" s="10">
        <v>9.1199999999999992</v>
      </c>
      <c r="O6" s="10">
        <v>9.1199999999999992</v>
      </c>
      <c r="P6" s="10">
        <v>9.1199999999999992</v>
      </c>
      <c r="Q6" s="10">
        <v>9.1199999999999992</v>
      </c>
      <c r="R6" s="10">
        <v>9.1199999999999992</v>
      </c>
      <c r="S6" s="10">
        <v>9.1199999999999992</v>
      </c>
      <c r="T6" s="10">
        <v>9.1199999999999992</v>
      </c>
      <c r="U6" s="10">
        <v>9.1199999999999992</v>
      </c>
      <c r="V6" s="10">
        <v>9.1199999999999992</v>
      </c>
      <c r="W6" s="10">
        <v>9.1199999999999992</v>
      </c>
      <c r="X6" s="10">
        <v>9.1199999999999992</v>
      </c>
      <c r="Y6" s="257">
        <v>9.1199999999999992</v>
      </c>
      <c r="Z6" s="10">
        <v>1.07</v>
      </c>
      <c r="AA6" s="10">
        <v>1.07</v>
      </c>
      <c r="AB6" s="10">
        <v>1.07</v>
      </c>
      <c r="AC6" s="10">
        <v>1.07</v>
      </c>
      <c r="AD6" s="10">
        <v>1.07</v>
      </c>
      <c r="AE6" s="10">
        <v>1.07</v>
      </c>
      <c r="AF6" s="10">
        <v>1.07</v>
      </c>
      <c r="AG6" s="10">
        <v>1.07</v>
      </c>
      <c r="AH6" s="10">
        <v>1.07</v>
      </c>
      <c r="AI6" s="10">
        <v>1.07</v>
      </c>
      <c r="AJ6" s="10">
        <v>1.07</v>
      </c>
      <c r="AK6" s="257">
        <v>1.07</v>
      </c>
      <c r="AL6" s="5">
        <v>2960</v>
      </c>
      <c r="AM6" s="118">
        <f t="shared" si="13"/>
        <v>3167.2000000000003</v>
      </c>
      <c r="AN6" s="5">
        <v>1440</v>
      </c>
      <c r="AO6" s="118">
        <f t="shared" si="2"/>
        <v>1540.8000000000002</v>
      </c>
      <c r="AP6" s="5">
        <v>480</v>
      </c>
      <c r="AQ6" s="127">
        <f t="shared" si="3"/>
        <v>513.6</v>
      </c>
      <c r="AR6" s="5">
        <v>320</v>
      </c>
      <c r="AS6" s="118">
        <f t="shared" si="4"/>
        <v>342.40000000000003</v>
      </c>
      <c r="AT6" s="5">
        <v>2240</v>
      </c>
      <c r="AU6" s="118">
        <f t="shared" si="5"/>
        <v>2396.8000000000002</v>
      </c>
      <c r="AV6" s="5">
        <v>0</v>
      </c>
      <c r="AW6" s="127">
        <f t="shared" si="6"/>
        <v>0</v>
      </c>
      <c r="AX6" s="105">
        <v>0</v>
      </c>
      <c r="AY6" s="118">
        <f t="shared" si="7"/>
        <v>0</v>
      </c>
      <c r="AZ6" s="105">
        <v>0</v>
      </c>
      <c r="BA6" s="118">
        <f t="shared" si="8"/>
        <v>0</v>
      </c>
      <c r="BB6" s="5">
        <v>0</v>
      </c>
      <c r="BC6" s="127">
        <f t="shared" si="9"/>
        <v>0</v>
      </c>
      <c r="BD6" s="105">
        <v>0</v>
      </c>
      <c r="BE6" s="118">
        <f t="shared" si="10"/>
        <v>0</v>
      </c>
      <c r="BF6" s="5">
        <v>0</v>
      </c>
      <c r="BG6" s="118">
        <f t="shared" si="11"/>
        <v>0</v>
      </c>
      <c r="BH6" s="5">
        <v>0</v>
      </c>
      <c r="BI6" s="127">
        <f t="shared" si="12"/>
        <v>0</v>
      </c>
      <c r="BJ6" s="220" t="s">
        <v>460</v>
      </c>
      <c r="BL6" s="1" t="s">
        <v>455</v>
      </c>
      <c r="BM6" s="1" t="s">
        <v>459</v>
      </c>
      <c r="BN6" s="233"/>
      <c r="BO6" s="234"/>
    </row>
    <row r="7" spans="1:67">
      <c r="A7" s="219" t="s">
        <v>823</v>
      </c>
      <c r="B7" s="106" t="s">
        <v>354</v>
      </c>
      <c r="C7" s="66" t="s">
        <v>175</v>
      </c>
      <c r="D7" s="284"/>
      <c r="E7" s="136" t="s">
        <v>176</v>
      </c>
      <c r="F7" s="295"/>
      <c r="G7" s="86" t="s">
        <v>178</v>
      </c>
      <c r="H7" s="85" t="s">
        <v>356</v>
      </c>
      <c r="I7" s="85" t="s">
        <v>184</v>
      </c>
      <c r="J7" s="86">
        <v>13</v>
      </c>
      <c r="K7" s="85" t="s">
        <v>181</v>
      </c>
      <c r="L7" s="84" t="s">
        <v>185</v>
      </c>
      <c r="M7" s="83" t="s">
        <v>453</v>
      </c>
      <c r="N7" s="10">
        <v>9.1199999999999992</v>
      </c>
      <c r="O7" s="10">
        <v>9.1199999999999992</v>
      </c>
      <c r="P7" s="10">
        <v>9.1199999999999992</v>
      </c>
      <c r="Q7" s="10">
        <v>9.1199999999999992</v>
      </c>
      <c r="R7" s="10">
        <v>9.1199999999999992</v>
      </c>
      <c r="S7" s="10">
        <v>9.1199999999999992</v>
      </c>
      <c r="T7" s="10">
        <v>9.1199999999999992</v>
      </c>
      <c r="U7" s="10">
        <v>9.1199999999999992</v>
      </c>
      <c r="V7" s="10">
        <v>9.1199999999999992</v>
      </c>
      <c r="W7" s="10">
        <v>9.1199999999999992</v>
      </c>
      <c r="X7" s="10">
        <v>9.1199999999999992</v>
      </c>
      <c r="Y7" s="257">
        <v>9.1199999999999992</v>
      </c>
      <c r="Z7" s="10">
        <v>1.07</v>
      </c>
      <c r="AA7" s="10">
        <v>1.07</v>
      </c>
      <c r="AB7" s="10">
        <v>1.07</v>
      </c>
      <c r="AC7" s="10">
        <v>1.07</v>
      </c>
      <c r="AD7" s="10">
        <v>1.07</v>
      </c>
      <c r="AE7" s="10">
        <v>1.07</v>
      </c>
      <c r="AF7" s="10">
        <v>1.07</v>
      </c>
      <c r="AG7" s="10">
        <v>1.07</v>
      </c>
      <c r="AH7" s="10">
        <v>1.07</v>
      </c>
      <c r="AI7" s="10">
        <v>1.07</v>
      </c>
      <c r="AJ7" s="10">
        <v>1.07</v>
      </c>
      <c r="AK7" s="257">
        <v>1.07</v>
      </c>
      <c r="AL7" s="5">
        <v>0</v>
      </c>
      <c r="AM7" s="118">
        <f t="shared" si="13"/>
        <v>0</v>
      </c>
      <c r="AN7" s="5">
        <v>0</v>
      </c>
      <c r="AO7" s="118">
        <f t="shared" si="2"/>
        <v>0</v>
      </c>
      <c r="AP7" s="5">
        <v>0</v>
      </c>
      <c r="AQ7" s="127">
        <f t="shared" si="3"/>
        <v>0</v>
      </c>
      <c r="AR7" s="5">
        <v>0</v>
      </c>
      <c r="AS7" s="118">
        <f t="shared" si="4"/>
        <v>0</v>
      </c>
      <c r="AT7" s="5">
        <v>40</v>
      </c>
      <c r="AU7" s="118">
        <f t="shared" si="5"/>
        <v>42.800000000000004</v>
      </c>
      <c r="AV7" s="5">
        <v>0</v>
      </c>
      <c r="AW7" s="127">
        <f t="shared" si="6"/>
        <v>0</v>
      </c>
      <c r="AX7" s="105">
        <v>0</v>
      </c>
      <c r="AY7" s="118">
        <f t="shared" si="7"/>
        <v>0</v>
      </c>
      <c r="AZ7" s="105">
        <v>0</v>
      </c>
      <c r="BA7" s="118">
        <f t="shared" si="8"/>
        <v>0</v>
      </c>
      <c r="BB7" s="5">
        <v>0</v>
      </c>
      <c r="BC7" s="127">
        <f t="shared" si="9"/>
        <v>0</v>
      </c>
      <c r="BD7" s="105">
        <v>0</v>
      </c>
      <c r="BE7" s="118">
        <f t="shared" si="10"/>
        <v>0</v>
      </c>
      <c r="BF7" s="5">
        <v>0</v>
      </c>
      <c r="BG7" s="118">
        <f t="shared" si="11"/>
        <v>0</v>
      </c>
      <c r="BH7" s="5">
        <v>0</v>
      </c>
      <c r="BI7" s="127">
        <f t="shared" si="12"/>
        <v>0</v>
      </c>
      <c r="BJ7" s="220" t="s">
        <v>461</v>
      </c>
      <c r="BL7" s="1" t="s">
        <v>455</v>
      </c>
      <c r="BM7" s="1" t="s">
        <v>462</v>
      </c>
      <c r="BN7" s="233"/>
      <c r="BO7" s="234"/>
    </row>
    <row r="8" spans="1:67">
      <c r="A8" s="219" t="s">
        <v>823</v>
      </c>
      <c r="B8" s="106" t="s">
        <v>354</v>
      </c>
      <c r="C8" s="66" t="s">
        <v>175</v>
      </c>
      <c r="D8" s="284"/>
      <c r="E8" s="136" t="s">
        <v>176</v>
      </c>
      <c r="F8" s="295"/>
      <c r="G8" s="86" t="s">
        <v>178</v>
      </c>
      <c r="H8" s="85" t="s">
        <v>356</v>
      </c>
      <c r="I8" s="85" t="s">
        <v>184</v>
      </c>
      <c r="J8" s="86">
        <v>13</v>
      </c>
      <c r="K8" s="85" t="s">
        <v>181</v>
      </c>
      <c r="L8" s="84" t="s">
        <v>185</v>
      </c>
      <c r="M8" s="83" t="s">
        <v>453</v>
      </c>
      <c r="N8" s="10">
        <v>9.1199999999999992</v>
      </c>
      <c r="O8" s="10">
        <v>9.1199999999999992</v>
      </c>
      <c r="P8" s="10">
        <v>9.1199999999999992</v>
      </c>
      <c r="Q8" s="10">
        <v>9.1199999999999992</v>
      </c>
      <c r="R8" s="10">
        <v>9.1199999999999992</v>
      </c>
      <c r="S8" s="10">
        <v>9.1199999999999992</v>
      </c>
      <c r="T8" s="10">
        <v>9.1199999999999992</v>
      </c>
      <c r="U8" s="10">
        <v>9.1199999999999992</v>
      </c>
      <c r="V8" s="10">
        <v>9.1199999999999992</v>
      </c>
      <c r="W8" s="10">
        <v>9.1199999999999992</v>
      </c>
      <c r="X8" s="10">
        <v>9.1199999999999992</v>
      </c>
      <c r="Y8" s="257">
        <v>9.1199999999999992</v>
      </c>
      <c r="Z8" s="10">
        <v>1.07</v>
      </c>
      <c r="AA8" s="10">
        <v>1.07</v>
      </c>
      <c r="AB8" s="10">
        <v>1.07</v>
      </c>
      <c r="AC8" s="10">
        <v>1.07</v>
      </c>
      <c r="AD8" s="10">
        <v>1.07</v>
      </c>
      <c r="AE8" s="10">
        <v>1.07</v>
      </c>
      <c r="AF8" s="10">
        <v>1.07</v>
      </c>
      <c r="AG8" s="10">
        <v>1.07</v>
      </c>
      <c r="AH8" s="10">
        <v>1.07</v>
      </c>
      <c r="AI8" s="10">
        <v>1.07</v>
      </c>
      <c r="AJ8" s="10">
        <v>1.07</v>
      </c>
      <c r="AK8" s="257">
        <v>1.07</v>
      </c>
      <c r="AL8" s="5">
        <v>560</v>
      </c>
      <c r="AM8" s="118">
        <f t="shared" si="13"/>
        <v>599.20000000000005</v>
      </c>
      <c r="AN8" s="5">
        <v>360</v>
      </c>
      <c r="AO8" s="118">
        <f t="shared" si="2"/>
        <v>385.20000000000005</v>
      </c>
      <c r="AP8" s="5">
        <v>480</v>
      </c>
      <c r="AQ8" s="127">
        <f t="shared" si="3"/>
        <v>513.6</v>
      </c>
      <c r="AR8" s="5">
        <v>40</v>
      </c>
      <c r="AS8" s="118">
        <f t="shared" si="4"/>
        <v>42.800000000000004</v>
      </c>
      <c r="AT8" s="5">
        <v>120</v>
      </c>
      <c r="AU8" s="118">
        <f t="shared" si="5"/>
        <v>128.4</v>
      </c>
      <c r="AV8" s="5">
        <v>0</v>
      </c>
      <c r="AW8" s="127">
        <f t="shared" si="6"/>
        <v>0</v>
      </c>
      <c r="AX8" s="105">
        <v>0</v>
      </c>
      <c r="AY8" s="118">
        <f t="shared" si="7"/>
        <v>0</v>
      </c>
      <c r="AZ8" s="105">
        <v>0</v>
      </c>
      <c r="BA8" s="118">
        <f t="shared" si="8"/>
        <v>0</v>
      </c>
      <c r="BB8" s="5">
        <v>0</v>
      </c>
      <c r="BC8" s="127">
        <f t="shared" si="9"/>
        <v>0</v>
      </c>
      <c r="BD8" s="105">
        <v>0</v>
      </c>
      <c r="BE8" s="118">
        <f t="shared" si="10"/>
        <v>0</v>
      </c>
      <c r="BF8" s="5">
        <v>0</v>
      </c>
      <c r="BG8" s="118">
        <f t="shared" si="11"/>
        <v>0</v>
      </c>
      <c r="BH8" s="5">
        <v>0</v>
      </c>
      <c r="BI8" s="127">
        <f t="shared" si="12"/>
        <v>0</v>
      </c>
      <c r="BJ8" s="220" t="s">
        <v>463</v>
      </c>
      <c r="BL8" s="1" t="s">
        <v>455</v>
      </c>
      <c r="BM8" s="1" t="s">
        <v>462</v>
      </c>
      <c r="BN8" s="233"/>
      <c r="BO8" s="234"/>
    </row>
    <row r="9" spans="1:67">
      <c r="A9" s="219" t="s">
        <v>823</v>
      </c>
      <c r="B9" s="106" t="s">
        <v>357</v>
      </c>
      <c r="C9" s="66" t="s">
        <v>175</v>
      </c>
      <c r="D9" s="284"/>
      <c r="E9" s="136" t="s">
        <v>176</v>
      </c>
      <c r="F9" s="295"/>
      <c r="G9" s="86" t="s">
        <v>187</v>
      </c>
      <c r="H9" s="85" t="s">
        <v>464</v>
      </c>
      <c r="I9" s="85" t="s">
        <v>180</v>
      </c>
      <c r="J9" s="86">
        <v>13</v>
      </c>
      <c r="K9" s="85" t="s">
        <v>181</v>
      </c>
      <c r="L9" s="84" t="s">
        <v>185</v>
      </c>
      <c r="M9" s="83" t="s">
        <v>465</v>
      </c>
      <c r="N9" s="10">
        <v>4.07</v>
      </c>
      <c r="O9" s="10">
        <v>4.07</v>
      </c>
      <c r="P9" s="10">
        <v>4.07</v>
      </c>
      <c r="Q9" s="10">
        <v>4.07</v>
      </c>
      <c r="R9" s="10">
        <v>4.07</v>
      </c>
      <c r="S9" s="10">
        <v>4.07</v>
      </c>
      <c r="T9" s="10">
        <v>4.07</v>
      </c>
      <c r="U9" s="10">
        <v>4.07</v>
      </c>
      <c r="V9" s="10">
        <v>4.07</v>
      </c>
      <c r="W9" s="10">
        <v>4.07</v>
      </c>
      <c r="X9" s="10">
        <v>4.07</v>
      </c>
      <c r="Y9" s="257">
        <v>4.07</v>
      </c>
      <c r="Z9" s="10">
        <v>0.83</v>
      </c>
      <c r="AA9" s="10">
        <v>0.83</v>
      </c>
      <c r="AB9" s="10">
        <v>0.83</v>
      </c>
      <c r="AC9" s="10">
        <v>0.83</v>
      </c>
      <c r="AD9" s="10">
        <v>0.83</v>
      </c>
      <c r="AE9" s="10">
        <v>0.83</v>
      </c>
      <c r="AF9" s="10">
        <v>0.83</v>
      </c>
      <c r="AG9" s="10">
        <v>0.83</v>
      </c>
      <c r="AH9" s="10">
        <v>0.83</v>
      </c>
      <c r="AI9" s="10">
        <v>0.83</v>
      </c>
      <c r="AJ9" s="10">
        <v>0.83</v>
      </c>
      <c r="AK9" s="257">
        <v>0.83</v>
      </c>
      <c r="AL9" s="5">
        <v>0</v>
      </c>
      <c r="AM9" s="118">
        <f t="shared" si="13"/>
        <v>0</v>
      </c>
      <c r="AN9" s="5">
        <v>0</v>
      </c>
      <c r="AO9" s="118">
        <f t="shared" si="2"/>
        <v>0</v>
      </c>
      <c r="AP9" s="5">
        <v>0</v>
      </c>
      <c r="AQ9" s="127">
        <f t="shared" si="3"/>
        <v>0</v>
      </c>
      <c r="AR9" s="5">
        <v>0</v>
      </c>
      <c r="AS9" s="118">
        <f t="shared" si="4"/>
        <v>0</v>
      </c>
      <c r="AT9" s="5">
        <v>0</v>
      </c>
      <c r="AU9" s="118">
        <f t="shared" si="5"/>
        <v>0</v>
      </c>
      <c r="AV9" s="5">
        <v>0</v>
      </c>
      <c r="AW9" s="127">
        <f t="shared" si="6"/>
        <v>0</v>
      </c>
      <c r="AX9" s="105">
        <v>0</v>
      </c>
      <c r="AY9" s="118">
        <f t="shared" si="7"/>
        <v>0</v>
      </c>
      <c r="AZ9" s="105">
        <v>0</v>
      </c>
      <c r="BA9" s="118">
        <f t="shared" si="8"/>
        <v>0</v>
      </c>
      <c r="BB9" s="5">
        <v>0</v>
      </c>
      <c r="BC9" s="127">
        <f t="shared" si="9"/>
        <v>0</v>
      </c>
      <c r="BD9" s="105">
        <v>0</v>
      </c>
      <c r="BE9" s="118">
        <f t="shared" si="10"/>
        <v>0</v>
      </c>
      <c r="BF9" s="5">
        <v>0</v>
      </c>
      <c r="BG9" s="118">
        <f t="shared" si="11"/>
        <v>0</v>
      </c>
      <c r="BH9" s="5">
        <v>0</v>
      </c>
      <c r="BI9" s="127">
        <f t="shared" si="12"/>
        <v>0</v>
      </c>
      <c r="BJ9" s="220" t="s">
        <v>466</v>
      </c>
      <c r="BL9" s="1" t="s">
        <v>455</v>
      </c>
      <c r="BM9" s="1" t="s">
        <v>467</v>
      </c>
      <c r="BN9" s="233"/>
      <c r="BO9" s="234"/>
    </row>
    <row r="10" spans="1:67">
      <c r="A10" s="219" t="s">
        <v>823</v>
      </c>
      <c r="B10" s="106" t="s">
        <v>357</v>
      </c>
      <c r="C10" s="66" t="s">
        <v>175</v>
      </c>
      <c r="D10" s="284"/>
      <c r="E10" s="136" t="s">
        <v>176</v>
      </c>
      <c r="F10" s="295"/>
      <c r="G10" s="86" t="s">
        <v>187</v>
      </c>
      <c r="H10" s="85" t="s">
        <v>464</v>
      </c>
      <c r="I10" s="85" t="s">
        <v>180</v>
      </c>
      <c r="J10" s="86">
        <v>13</v>
      </c>
      <c r="K10" s="85" t="s">
        <v>181</v>
      </c>
      <c r="L10" s="84" t="s">
        <v>185</v>
      </c>
      <c r="M10" s="83" t="s">
        <v>465</v>
      </c>
      <c r="N10" s="10">
        <v>4.07</v>
      </c>
      <c r="O10" s="10">
        <v>4.07</v>
      </c>
      <c r="P10" s="10">
        <v>4.07</v>
      </c>
      <c r="Q10" s="10">
        <v>4.07</v>
      </c>
      <c r="R10" s="10">
        <v>4.07</v>
      </c>
      <c r="S10" s="10">
        <v>4.07</v>
      </c>
      <c r="T10" s="10">
        <v>4.07</v>
      </c>
      <c r="U10" s="10">
        <v>4.07</v>
      </c>
      <c r="V10" s="10">
        <v>4.07</v>
      </c>
      <c r="W10" s="10">
        <v>4.07</v>
      </c>
      <c r="X10" s="10">
        <v>4.07</v>
      </c>
      <c r="Y10" s="257">
        <v>4.07</v>
      </c>
      <c r="Z10" s="10">
        <v>0.83</v>
      </c>
      <c r="AA10" s="10">
        <v>0.83</v>
      </c>
      <c r="AB10" s="10">
        <v>0.83</v>
      </c>
      <c r="AC10" s="10">
        <v>0.83</v>
      </c>
      <c r="AD10" s="10">
        <v>0.83</v>
      </c>
      <c r="AE10" s="10">
        <v>0.83</v>
      </c>
      <c r="AF10" s="10">
        <v>0.83</v>
      </c>
      <c r="AG10" s="10">
        <v>0.83</v>
      </c>
      <c r="AH10" s="10">
        <v>0.83</v>
      </c>
      <c r="AI10" s="10">
        <v>0.83</v>
      </c>
      <c r="AJ10" s="10">
        <v>0.83</v>
      </c>
      <c r="AK10" s="257">
        <v>0.83</v>
      </c>
      <c r="AL10" s="5">
        <v>31</v>
      </c>
      <c r="AM10" s="118">
        <f t="shared" si="13"/>
        <v>25.73</v>
      </c>
      <c r="AN10" s="5">
        <v>2160</v>
      </c>
      <c r="AO10" s="118">
        <f t="shared" si="2"/>
        <v>1792.8</v>
      </c>
      <c r="AP10" s="5">
        <v>120</v>
      </c>
      <c r="AQ10" s="127">
        <f t="shared" si="3"/>
        <v>99.6</v>
      </c>
      <c r="AR10" s="5">
        <v>0</v>
      </c>
      <c r="AS10" s="118">
        <f t="shared" si="4"/>
        <v>0</v>
      </c>
      <c r="AT10" s="5">
        <v>0</v>
      </c>
      <c r="AU10" s="118">
        <f t="shared" si="5"/>
        <v>0</v>
      </c>
      <c r="AV10" s="5">
        <v>0</v>
      </c>
      <c r="AW10" s="127">
        <f t="shared" si="6"/>
        <v>0</v>
      </c>
      <c r="AX10" s="105">
        <v>0</v>
      </c>
      <c r="AY10" s="118">
        <f t="shared" si="7"/>
        <v>0</v>
      </c>
      <c r="AZ10" s="105">
        <v>0</v>
      </c>
      <c r="BA10" s="118">
        <f t="shared" si="8"/>
        <v>0</v>
      </c>
      <c r="BB10" s="5">
        <v>0</v>
      </c>
      <c r="BC10" s="127">
        <f t="shared" si="9"/>
        <v>0</v>
      </c>
      <c r="BD10" s="105">
        <v>0</v>
      </c>
      <c r="BE10" s="118">
        <f t="shared" si="10"/>
        <v>0</v>
      </c>
      <c r="BF10" s="5">
        <v>0</v>
      </c>
      <c r="BG10" s="118">
        <f t="shared" si="11"/>
        <v>0</v>
      </c>
      <c r="BH10" s="5">
        <v>0</v>
      </c>
      <c r="BI10" s="127">
        <f t="shared" si="12"/>
        <v>0</v>
      </c>
      <c r="BJ10" s="220" t="s">
        <v>466</v>
      </c>
      <c r="BL10" s="1" t="s">
        <v>455</v>
      </c>
      <c r="BM10" s="1" t="s">
        <v>468</v>
      </c>
      <c r="BN10" s="233"/>
      <c r="BO10" s="234"/>
    </row>
    <row r="11" spans="1:67">
      <c r="A11" s="219" t="s">
        <v>823</v>
      </c>
      <c r="B11" s="106" t="s">
        <v>354</v>
      </c>
      <c r="C11" s="66" t="s">
        <v>175</v>
      </c>
      <c r="D11" s="284"/>
      <c r="E11" s="136" t="s">
        <v>176</v>
      </c>
      <c r="F11" s="295"/>
      <c r="G11" s="86" t="s">
        <v>187</v>
      </c>
      <c r="H11" s="85" t="s">
        <v>464</v>
      </c>
      <c r="I11" s="85" t="s">
        <v>180</v>
      </c>
      <c r="J11" s="86">
        <v>13</v>
      </c>
      <c r="K11" s="85" t="s">
        <v>181</v>
      </c>
      <c r="L11" s="84" t="s">
        <v>185</v>
      </c>
      <c r="M11" s="83" t="s">
        <v>465</v>
      </c>
      <c r="N11" s="10">
        <v>4.07</v>
      </c>
      <c r="O11" s="10">
        <v>4.07</v>
      </c>
      <c r="P11" s="10">
        <v>4.07</v>
      </c>
      <c r="Q11" s="10">
        <v>4.07</v>
      </c>
      <c r="R11" s="10">
        <v>4.07</v>
      </c>
      <c r="S11" s="10">
        <v>4.07</v>
      </c>
      <c r="T11" s="10">
        <v>4.07</v>
      </c>
      <c r="U11" s="10">
        <v>4.07</v>
      </c>
      <c r="V11" s="10">
        <v>4.07</v>
      </c>
      <c r="W11" s="10">
        <v>4.07</v>
      </c>
      <c r="X11" s="10">
        <v>4.07</v>
      </c>
      <c r="Y11" s="257">
        <v>4.07</v>
      </c>
      <c r="Z11" s="10">
        <v>0.83</v>
      </c>
      <c r="AA11" s="10">
        <v>0.83</v>
      </c>
      <c r="AB11" s="10">
        <v>0.83</v>
      </c>
      <c r="AC11" s="10">
        <v>0.83</v>
      </c>
      <c r="AD11" s="10">
        <v>0.83</v>
      </c>
      <c r="AE11" s="10">
        <v>0.83</v>
      </c>
      <c r="AF11" s="10">
        <v>0.83</v>
      </c>
      <c r="AG11" s="10">
        <v>0.83</v>
      </c>
      <c r="AH11" s="10">
        <v>0.83</v>
      </c>
      <c r="AI11" s="10">
        <v>0.83</v>
      </c>
      <c r="AJ11" s="10">
        <v>0.83</v>
      </c>
      <c r="AK11" s="257">
        <v>0.83</v>
      </c>
      <c r="AL11" s="5">
        <v>0</v>
      </c>
      <c r="AM11" s="118">
        <f t="shared" si="13"/>
        <v>0</v>
      </c>
      <c r="AN11" s="5">
        <v>0</v>
      </c>
      <c r="AO11" s="118">
        <f t="shared" si="2"/>
        <v>0</v>
      </c>
      <c r="AP11" s="5">
        <v>0</v>
      </c>
      <c r="AQ11" s="127">
        <f t="shared" si="3"/>
        <v>0</v>
      </c>
      <c r="AR11" s="5">
        <v>40</v>
      </c>
      <c r="AS11" s="118">
        <f t="shared" si="4"/>
        <v>33.199999999999996</v>
      </c>
      <c r="AT11" s="5">
        <v>0</v>
      </c>
      <c r="AU11" s="118">
        <f t="shared" si="5"/>
        <v>0</v>
      </c>
      <c r="AV11" s="5">
        <v>0</v>
      </c>
      <c r="AW11" s="127">
        <f t="shared" si="6"/>
        <v>0</v>
      </c>
      <c r="AX11" s="105">
        <v>0</v>
      </c>
      <c r="AY11" s="118">
        <f t="shared" si="7"/>
        <v>0</v>
      </c>
      <c r="AZ11" s="105">
        <v>0</v>
      </c>
      <c r="BA11" s="118">
        <f t="shared" si="8"/>
        <v>0</v>
      </c>
      <c r="BB11" s="5">
        <v>0</v>
      </c>
      <c r="BC11" s="127">
        <f t="shared" si="9"/>
        <v>0</v>
      </c>
      <c r="BD11" s="105">
        <v>0</v>
      </c>
      <c r="BE11" s="118">
        <f t="shared" si="10"/>
        <v>0</v>
      </c>
      <c r="BF11" s="5">
        <v>0</v>
      </c>
      <c r="BG11" s="118">
        <f t="shared" si="11"/>
        <v>0</v>
      </c>
      <c r="BH11" s="5">
        <v>0</v>
      </c>
      <c r="BI11" s="127">
        <f t="shared" si="12"/>
        <v>0</v>
      </c>
      <c r="BJ11" s="220" t="s">
        <v>469</v>
      </c>
      <c r="BL11" s="1" t="s">
        <v>455</v>
      </c>
      <c r="BM11" s="1" t="s">
        <v>467</v>
      </c>
      <c r="BN11" s="233"/>
      <c r="BO11" s="234"/>
    </row>
    <row r="12" spans="1:67">
      <c r="A12" s="219" t="s">
        <v>823</v>
      </c>
      <c r="B12" s="106" t="s">
        <v>354</v>
      </c>
      <c r="C12" s="66" t="s">
        <v>175</v>
      </c>
      <c r="D12" s="284"/>
      <c r="E12" s="136" t="s">
        <v>176</v>
      </c>
      <c r="F12" s="295"/>
      <c r="G12" s="86" t="s">
        <v>187</v>
      </c>
      <c r="H12" s="85" t="s">
        <v>464</v>
      </c>
      <c r="I12" s="85" t="s">
        <v>180</v>
      </c>
      <c r="J12" s="86">
        <v>13</v>
      </c>
      <c r="K12" s="85" t="s">
        <v>181</v>
      </c>
      <c r="L12" s="84" t="s">
        <v>185</v>
      </c>
      <c r="M12" s="83" t="s">
        <v>465</v>
      </c>
      <c r="N12" s="10">
        <v>4.07</v>
      </c>
      <c r="O12" s="10">
        <v>4.07</v>
      </c>
      <c r="P12" s="10">
        <v>4.07</v>
      </c>
      <c r="Q12" s="10">
        <v>4.07</v>
      </c>
      <c r="R12" s="10">
        <v>4.07</v>
      </c>
      <c r="S12" s="10">
        <v>4.07</v>
      </c>
      <c r="T12" s="10">
        <v>4.07</v>
      </c>
      <c r="U12" s="10">
        <v>4.07</v>
      </c>
      <c r="V12" s="10">
        <v>4.07</v>
      </c>
      <c r="W12" s="10">
        <v>4.07</v>
      </c>
      <c r="X12" s="10">
        <v>4.07</v>
      </c>
      <c r="Y12" s="257">
        <v>4.07</v>
      </c>
      <c r="Z12" s="10">
        <v>0.83</v>
      </c>
      <c r="AA12" s="10">
        <v>0.83</v>
      </c>
      <c r="AB12" s="10">
        <v>0.83</v>
      </c>
      <c r="AC12" s="10">
        <v>0.83</v>
      </c>
      <c r="AD12" s="10">
        <v>0.83</v>
      </c>
      <c r="AE12" s="10">
        <v>0.83</v>
      </c>
      <c r="AF12" s="10">
        <v>0.83</v>
      </c>
      <c r="AG12" s="10">
        <v>0.83</v>
      </c>
      <c r="AH12" s="10">
        <v>0.83</v>
      </c>
      <c r="AI12" s="10">
        <v>0.83</v>
      </c>
      <c r="AJ12" s="10">
        <v>0.83</v>
      </c>
      <c r="AK12" s="257">
        <v>0.83</v>
      </c>
      <c r="AL12" s="5">
        <v>0</v>
      </c>
      <c r="AM12" s="118">
        <f t="shared" si="13"/>
        <v>0</v>
      </c>
      <c r="AN12" s="5">
        <v>80</v>
      </c>
      <c r="AO12" s="118">
        <f t="shared" si="2"/>
        <v>66.399999999999991</v>
      </c>
      <c r="AP12" s="5">
        <v>0</v>
      </c>
      <c r="AQ12" s="127">
        <f t="shared" si="3"/>
        <v>0</v>
      </c>
      <c r="AR12" s="5">
        <v>0</v>
      </c>
      <c r="AS12" s="118">
        <f t="shared" si="4"/>
        <v>0</v>
      </c>
      <c r="AT12" s="5">
        <v>0</v>
      </c>
      <c r="AU12" s="118">
        <f t="shared" si="5"/>
        <v>0</v>
      </c>
      <c r="AV12" s="5">
        <v>0</v>
      </c>
      <c r="AW12" s="127">
        <f t="shared" si="6"/>
        <v>0</v>
      </c>
      <c r="AX12" s="105">
        <v>0</v>
      </c>
      <c r="AY12" s="118">
        <f t="shared" si="7"/>
        <v>0</v>
      </c>
      <c r="AZ12" s="105">
        <v>0</v>
      </c>
      <c r="BA12" s="118">
        <f t="shared" si="8"/>
        <v>0</v>
      </c>
      <c r="BB12" s="5">
        <v>0</v>
      </c>
      <c r="BC12" s="127">
        <f t="shared" si="9"/>
        <v>0</v>
      </c>
      <c r="BD12" s="105">
        <v>0</v>
      </c>
      <c r="BE12" s="118">
        <f t="shared" si="10"/>
        <v>0</v>
      </c>
      <c r="BF12" s="5">
        <v>0</v>
      </c>
      <c r="BG12" s="118">
        <f t="shared" si="11"/>
        <v>0</v>
      </c>
      <c r="BH12" s="5">
        <v>0</v>
      </c>
      <c r="BI12" s="127">
        <f t="shared" si="12"/>
        <v>0</v>
      </c>
      <c r="BJ12" s="220" t="s">
        <v>469</v>
      </c>
      <c r="BL12" s="1" t="s">
        <v>455</v>
      </c>
      <c r="BM12" s="1" t="s">
        <v>468</v>
      </c>
      <c r="BN12" s="233"/>
      <c r="BO12" s="234"/>
    </row>
    <row r="13" spans="1:67">
      <c r="A13" s="219" t="s">
        <v>823</v>
      </c>
      <c r="B13" s="106" t="s">
        <v>354</v>
      </c>
      <c r="C13" s="66" t="s">
        <v>175</v>
      </c>
      <c r="D13" s="284"/>
      <c r="E13" s="136" t="s">
        <v>176</v>
      </c>
      <c r="F13" s="295"/>
      <c r="G13" s="86" t="s">
        <v>187</v>
      </c>
      <c r="H13" s="85" t="s">
        <v>464</v>
      </c>
      <c r="I13" s="85" t="s">
        <v>184</v>
      </c>
      <c r="J13" s="86">
        <v>13</v>
      </c>
      <c r="K13" s="85" t="s">
        <v>181</v>
      </c>
      <c r="L13" s="84" t="s">
        <v>185</v>
      </c>
      <c r="M13" s="83" t="s">
        <v>465</v>
      </c>
      <c r="N13" s="10">
        <v>9.1199999999999992</v>
      </c>
      <c r="O13" s="10">
        <v>9.1199999999999992</v>
      </c>
      <c r="P13" s="10">
        <v>9.1199999999999992</v>
      </c>
      <c r="Q13" s="10">
        <v>9.1199999999999992</v>
      </c>
      <c r="R13" s="10">
        <v>9.1199999999999992</v>
      </c>
      <c r="S13" s="10">
        <v>9.1199999999999992</v>
      </c>
      <c r="T13" s="10">
        <v>9.1199999999999992</v>
      </c>
      <c r="U13" s="10">
        <v>9.1199999999999992</v>
      </c>
      <c r="V13" s="10">
        <v>9.1199999999999992</v>
      </c>
      <c r="W13" s="10">
        <v>9.1199999999999992</v>
      </c>
      <c r="X13" s="10">
        <v>9.1199999999999992</v>
      </c>
      <c r="Y13" s="257">
        <v>9.1199999999999992</v>
      </c>
      <c r="Z13" s="10">
        <v>1.07</v>
      </c>
      <c r="AA13" s="10">
        <v>1.07</v>
      </c>
      <c r="AB13" s="10">
        <v>1.07</v>
      </c>
      <c r="AC13" s="10">
        <v>1.07</v>
      </c>
      <c r="AD13" s="10">
        <v>1.07</v>
      </c>
      <c r="AE13" s="10">
        <v>1.07</v>
      </c>
      <c r="AF13" s="10">
        <v>1.07</v>
      </c>
      <c r="AG13" s="10">
        <v>1.07</v>
      </c>
      <c r="AH13" s="10">
        <v>1.07</v>
      </c>
      <c r="AI13" s="10">
        <v>1.07</v>
      </c>
      <c r="AJ13" s="10">
        <v>1.07</v>
      </c>
      <c r="AK13" s="257">
        <v>1.07</v>
      </c>
      <c r="AL13" s="5">
        <v>0</v>
      </c>
      <c r="AM13" s="118">
        <f t="shared" si="13"/>
        <v>0</v>
      </c>
      <c r="AN13" s="5">
        <v>20</v>
      </c>
      <c r="AO13" s="118">
        <f t="shared" si="2"/>
        <v>21.400000000000002</v>
      </c>
      <c r="AP13" s="5">
        <v>0</v>
      </c>
      <c r="AQ13" s="127">
        <f t="shared" si="3"/>
        <v>0</v>
      </c>
      <c r="AR13" s="5">
        <v>0</v>
      </c>
      <c r="AS13" s="118">
        <f t="shared" si="4"/>
        <v>0</v>
      </c>
      <c r="AT13" s="5">
        <v>0</v>
      </c>
      <c r="AU13" s="118">
        <f t="shared" si="5"/>
        <v>0</v>
      </c>
      <c r="AV13" s="5">
        <v>0</v>
      </c>
      <c r="AW13" s="127">
        <f t="shared" si="6"/>
        <v>0</v>
      </c>
      <c r="AX13" s="105">
        <v>0</v>
      </c>
      <c r="AY13" s="118">
        <f t="shared" si="7"/>
        <v>0</v>
      </c>
      <c r="AZ13" s="105">
        <v>0</v>
      </c>
      <c r="BA13" s="118">
        <f t="shared" si="8"/>
        <v>0</v>
      </c>
      <c r="BB13" s="5">
        <v>0</v>
      </c>
      <c r="BC13" s="127">
        <f t="shared" si="9"/>
        <v>0</v>
      </c>
      <c r="BD13" s="105">
        <v>0</v>
      </c>
      <c r="BE13" s="118">
        <f t="shared" si="10"/>
        <v>0</v>
      </c>
      <c r="BF13" s="5">
        <v>0</v>
      </c>
      <c r="BG13" s="118">
        <f t="shared" si="11"/>
        <v>0</v>
      </c>
      <c r="BH13" s="5">
        <v>0</v>
      </c>
      <c r="BI13" s="127">
        <f t="shared" si="12"/>
        <v>0</v>
      </c>
      <c r="BJ13" s="220" t="s">
        <v>471</v>
      </c>
      <c r="BL13" s="1" t="s">
        <v>455</v>
      </c>
      <c r="BM13" s="1" t="s">
        <v>472</v>
      </c>
      <c r="BN13" s="233"/>
      <c r="BO13" s="234"/>
    </row>
    <row r="14" spans="1:67">
      <c r="A14" s="219" t="s">
        <v>823</v>
      </c>
      <c r="B14" s="106" t="s">
        <v>354</v>
      </c>
      <c r="C14" s="66" t="s">
        <v>175</v>
      </c>
      <c r="D14" s="284"/>
      <c r="E14" s="136" t="s">
        <v>176</v>
      </c>
      <c r="F14" s="295"/>
      <c r="G14" s="86" t="s">
        <v>187</v>
      </c>
      <c r="H14" s="85" t="s">
        <v>464</v>
      </c>
      <c r="I14" s="85" t="s">
        <v>184</v>
      </c>
      <c r="J14" s="86">
        <v>13</v>
      </c>
      <c r="K14" s="85" t="s">
        <v>181</v>
      </c>
      <c r="L14" s="84" t="s">
        <v>185</v>
      </c>
      <c r="M14" s="83" t="s">
        <v>465</v>
      </c>
      <c r="N14" s="10">
        <v>9.1199999999999992</v>
      </c>
      <c r="O14" s="10">
        <v>9.1199999999999992</v>
      </c>
      <c r="P14" s="10">
        <v>9.1199999999999992</v>
      </c>
      <c r="Q14" s="10">
        <v>9.1199999999999992</v>
      </c>
      <c r="R14" s="10">
        <v>9.1199999999999992</v>
      </c>
      <c r="S14" s="10">
        <v>9.1199999999999992</v>
      </c>
      <c r="T14" s="10">
        <v>9.1199999999999992</v>
      </c>
      <c r="U14" s="10">
        <v>9.1199999999999992</v>
      </c>
      <c r="V14" s="10">
        <v>9.1199999999999992</v>
      </c>
      <c r="W14" s="10">
        <v>9.1199999999999992</v>
      </c>
      <c r="X14" s="10">
        <v>9.1199999999999992</v>
      </c>
      <c r="Y14" s="257">
        <v>9.1199999999999992</v>
      </c>
      <c r="Z14" s="10">
        <v>1.07</v>
      </c>
      <c r="AA14" s="10">
        <v>1.07</v>
      </c>
      <c r="AB14" s="10">
        <v>1.07</v>
      </c>
      <c r="AC14" s="10">
        <v>1.07</v>
      </c>
      <c r="AD14" s="10">
        <v>1.07</v>
      </c>
      <c r="AE14" s="10">
        <v>1.07</v>
      </c>
      <c r="AF14" s="10">
        <v>1.07</v>
      </c>
      <c r="AG14" s="10">
        <v>1.07</v>
      </c>
      <c r="AH14" s="10">
        <v>1.07</v>
      </c>
      <c r="AI14" s="10">
        <v>1.07</v>
      </c>
      <c r="AJ14" s="10">
        <v>1.07</v>
      </c>
      <c r="AK14" s="257">
        <v>1.07</v>
      </c>
      <c r="AL14" s="5">
        <v>0</v>
      </c>
      <c r="AM14" s="118">
        <f t="shared" si="13"/>
        <v>0</v>
      </c>
      <c r="AN14" s="5">
        <v>0</v>
      </c>
      <c r="AO14" s="118">
        <f t="shared" si="2"/>
        <v>0</v>
      </c>
      <c r="AP14" s="5">
        <v>37</v>
      </c>
      <c r="AQ14" s="127">
        <f t="shared" si="3"/>
        <v>39.590000000000003</v>
      </c>
      <c r="AR14" s="5">
        <v>0</v>
      </c>
      <c r="AS14" s="118">
        <f t="shared" si="4"/>
        <v>0</v>
      </c>
      <c r="AT14" s="5">
        <v>0</v>
      </c>
      <c r="AU14" s="118">
        <f t="shared" si="5"/>
        <v>0</v>
      </c>
      <c r="AV14" s="5">
        <v>0</v>
      </c>
      <c r="AW14" s="127">
        <f t="shared" si="6"/>
        <v>0</v>
      </c>
      <c r="AX14" s="105">
        <v>0</v>
      </c>
      <c r="AY14" s="118">
        <f t="shared" si="7"/>
        <v>0</v>
      </c>
      <c r="AZ14" s="105">
        <v>0</v>
      </c>
      <c r="BA14" s="118">
        <f t="shared" si="8"/>
        <v>0</v>
      </c>
      <c r="BB14" s="5">
        <v>0</v>
      </c>
      <c r="BC14" s="127">
        <f t="shared" si="9"/>
        <v>0</v>
      </c>
      <c r="BD14" s="105">
        <v>0</v>
      </c>
      <c r="BE14" s="118">
        <f t="shared" si="10"/>
        <v>0</v>
      </c>
      <c r="BF14" s="5">
        <v>0</v>
      </c>
      <c r="BG14" s="118">
        <f t="shared" si="11"/>
        <v>0</v>
      </c>
      <c r="BH14" s="5">
        <v>0</v>
      </c>
      <c r="BI14" s="127">
        <f t="shared" si="12"/>
        <v>0</v>
      </c>
      <c r="BJ14" s="220" t="s">
        <v>471</v>
      </c>
      <c r="BL14" s="1" t="s">
        <v>455</v>
      </c>
      <c r="BM14" s="1" t="s">
        <v>473</v>
      </c>
      <c r="BN14" s="233"/>
      <c r="BO14" s="234"/>
    </row>
    <row r="15" spans="1:67">
      <c r="A15" s="219" t="s">
        <v>823</v>
      </c>
      <c r="B15" s="106" t="s">
        <v>354</v>
      </c>
      <c r="C15" s="66" t="s">
        <v>175</v>
      </c>
      <c r="D15" s="284"/>
      <c r="E15" s="136" t="s">
        <v>176</v>
      </c>
      <c r="F15" s="295"/>
      <c r="G15" s="86" t="s">
        <v>187</v>
      </c>
      <c r="H15" s="85" t="s">
        <v>464</v>
      </c>
      <c r="I15" s="85" t="s">
        <v>184</v>
      </c>
      <c r="J15" s="86">
        <v>13</v>
      </c>
      <c r="K15" s="85" t="s">
        <v>181</v>
      </c>
      <c r="L15" s="84" t="s">
        <v>185</v>
      </c>
      <c r="M15" s="83" t="s">
        <v>465</v>
      </c>
      <c r="N15" s="10">
        <v>9.1199999999999992</v>
      </c>
      <c r="O15" s="10">
        <v>9.1199999999999992</v>
      </c>
      <c r="P15" s="10">
        <v>9.1199999999999992</v>
      </c>
      <c r="Q15" s="10">
        <v>9.1199999999999992</v>
      </c>
      <c r="R15" s="10">
        <v>9.1199999999999992</v>
      </c>
      <c r="S15" s="10">
        <v>9.1199999999999992</v>
      </c>
      <c r="T15" s="10">
        <v>9.1199999999999992</v>
      </c>
      <c r="U15" s="10">
        <v>9.1199999999999992</v>
      </c>
      <c r="V15" s="10">
        <v>9.1199999999999992</v>
      </c>
      <c r="W15" s="10">
        <v>9.1199999999999992</v>
      </c>
      <c r="X15" s="10">
        <v>9.1199999999999992</v>
      </c>
      <c r="Y15" s="257">
        <v>9.1199999999999992</v>
      </c>
      <c r="Z15" s="10">
        <v>1.07</v>
      </c>
      <c r="AA15" s="10">
        <v>1.07</v>
      </c>
      <c r="AB15" s="10">
        <v>1.07</v>
      </c>
      <c r="AC15" s="10">
        <v>1.07</v>
      </c>
      <c r="AD15" s="10">
        <v>1.07</v>
      </c>
      <c r="AE15" s="10">
        <v>1.07</v>
      </c>
      <c r="AF15" s="10">
        <v>1.07</v>
      </c>
      <c r="AG15" s="10">
        <v>1.07</v>
      </c>
      <c r="AH15" s="10">
        <v>1.07</v>
      </c>
      <c r="AI15" s="10">
        <v>1.07</v>
      </c>
      <c r="AJ15" s="10">
        <v>1.07</v>
      </c>
      <c r="AK15" s="257">
        <v>1.07</v>
      </c>
      <c r="AL15" s="5">
        <v>0</v>
      </c>
      <c r="AM15" s="118">
        <f t="shared" si="13"/>
        <v>0</v>
      </c>
      <c r="AN15" s="5">
        <v>0</v>
      </c>
      <c r="AO15" s="118">
        <f t="shared" si="2"/>
        <v>0</v>
      </c>
      <c r="AP15" s="5">
        <v>0</v>
      </c>
      <c r="AQ15" s="127">
        <f t="shared" si="3"/>
        <v>0</v>
      </c>
      <c r="AR15" s="5">
        <v>40</v>
      </c>
      <c r="AS15" s="118">
        <f t="shared" si="4"/>
        <v>42.800000000000004</v>
      </c>
      <c r="AT15" s="5">
        <v>0</v>
      </c>
      <c r="AU15" s="118">
        <f t="shared" si="5"/>
        <v>0</v>
      </c>
      <c r="AV15" s="5">
        <v>0</v>
      </c>
      <c r="AW15" s="127">
        <f t="shared" si="6"/>
        <v>0</v>
      </c>
      <c r="AX15" s="105">
        <v>0</v>
      </c>
      <c r="AY15" s="118">
        <f t="shared" si="7"/>
        <v>0</v>
      </c>
      <c r="AZ15" s="105">
        <v>0</v>
      </c>
      <c r="BA15" s="118">
        <f t="shared" si="8"/>
        <v>0</v>
      </c>
      <c r="BB15" s="5">
        <v>0</v>
      </c>
      <c r="BC15" s="127">
        <f t="shared" si="9"/>
        <v>0</v>
      </c>
      <c r="BD15" s="105">
        <v>0</v>
      </c>
      <c r="BE15" s="118">
        <f t="shared" si="10"/>
        <v>0</v>
      </c>
      <c r="BF15" s="5">
        <v>0</v>
      </c>
      <c r="BG15" s="118">
        <f t="shared" si="11"/>
        <v>0</v>
      </c>
      <c r="BH15" s="5">
        <v>0</v>
      </c>
      <c r="BI15" s="127">
        <f t="shared" si="12"/>
        <v>0</v>
      </c>
      <c r="BJ15" s="220" t="s">
        <v>474</v>
      </c>
      <c r="BL15" s="1" t="s">
        <v>455</v>
      </c>
      <c r="BM15" s="1" t="s">
        <v>472</v>
      </c>
      <c r="BN15" s="233"/>
      <c r="BO15" s="234"/>
    </row>
    <row r="16" spans="1:67">
      <c r="A16" s="219" t="s">
        <v>823</v>
      </c>
      <c r="B16" s="106" t="s">
        <v>354</v>
      </c>
      <c r="C16" s="66" t="s">
        <v>175</v>
      </c>
      <c r="D16" s="284"/>
      <c r="E16" s="136" t="s">
        <v>176</v>
      </c>
      <c r="F16" s="295"/>
      <c r="G16" s="86" t="s">
        <v>187</v>
      </c>
      <c r="H16" s="85" t="s">
        <v>464</v>
      </c>
      <c r="I16" s="85" t="s">
        <v>184</v>
      </c>
      <c r="J16" s="86">
        <v>13</v>
      </c>
      <c r="K16" s="85" t="s">
        <v>181</v>
      </c>
      <c r="L16" s="84" t="s">
        <v>185</v>
      </c>
      <c r="M16" s="83" t="s">
        <v>465</v>
      </c>
      <c r="N16" s="10">
        <v>9.1199999999999992</v>
      </c>
      <c r="O16" s="10">
        <v>9.1199999999999992</v>
      </c>
      <c r="P16" s="10">
        <v>9.1199999999999992</v>
      </c>
      <c r="Q16" s="10">
        <v>9.1199999999999992</v>
      </c>
      <c r="R16" s="10">
        <v>9.1199999999999992</v>
      </c>
      <c r="S16" s="10">
        <v>9.1199999999999992</v>
      </c>
      <c r="T16" s="10">
        <v>9.1199999999999992</v>
      </c>
      <c r="U16" s="10">
        <v>9.1199999999999992</v>
      </c>
      <c r="V16" s="10">
        <v>9.1199999999999992</v>
      </c>
      <c r="W16" s="10">
        <v>9.1199999999999992</v>
      </c>
      <c r="X16" s="10">
        <v>9.1199999999999992</v>
      </c>
      <c r="Y16" s="257">
        <v>9.1199999999999992</v>
      </c>
      <c r="Z16" s="10">
        <v>1.07</v>
      </c>
      <c r="AA16" s="10">
        <v>1.07</v>
      </c>
      <c r="AB16" s="10">
        <v>1.07</v>
      </c>
      <c r="AC16" s="10">
        <v>1.07</v>
      </c>
      <c r="AD16" s="10">
        <v>1.07</v>
      </c>
      <c r="AE16" s="10">
        <v>1.07</v>
      </c>
      <c r="AF16" s="10">
        <v>1.07</v>
      </c>
      <c r="AG16" s="10">
        <v>1.07</v>
      </c>
      <c r="AH16" s="10">
        <v>1.07</v>
      </c>
      <c r="AI16" s="10">
        <v>1.07</v>
      </c>
      <c r="AJ16" s="10">
        <v>1.07</v>
      </c>
      <c r="AK16" s="257">
        <v>1.07</v>
      </c>
      <c r="AL16" s="5">
        <v>360</v>
      </c>
      <c r="AM16" s="118">
        <f t="shared" si="13"/>
        <v>385.20000000000005</v>
      </c>
      <c r="AN16" s="5">
        <v>320</v>
      </c>
      <c r="AO16" s="118">
        <f t="shared" si="2"/>
        <v>342.40000000000003</v>
      </c>
      <c r="AP16" s="5">
        <v>200</v>
      </c>
      <c r="AQ16" s="127">
        <f t="shared" si="3"/>
        <v>214</v>
      </c>
      <c r="AR16" s="5">
        <v>0</v>
      </c>
      <c r="AS16" s="118">
        <f t="shared" si="4"/>
        <v>0</v>
      </c>
      <c r="AT16" s="5">
        <v>0</v>
      </c>
      <c r="AU16" s="118">
        <f t="shared" si="5"/>
        <v>0</v>
      </c>
      <c r="AV16" s="5">
        <v>0</v>
      </c>
      <c r="AW16" s="127">
        <f t="shared" si="6"/>
        <v>0</v>
      </c>
      <c r="AX16" s="105">
        <v>0</v>
      </c>
      <c r="AY16" s="118">
        <f t="shared" si="7"/>
        <v>0</v>
      </c>
      <c r="AZ16" s="105">
        <v>0</v>
      </c>
      <c r="BA16" s="118">
        <f t="shared" si="8"/>
        <v>0</v>
      </c>
      <c r="BB16" s="5">
        <v>0</v>
      </c>
      <c r="BC16" s="127">
        <f t="shared" si="9"/>
        <v>0</v>
      </c>
      <c r="BD16" s="105">
        <v>0</v>
      </c>
      <c r="BE16" s="118">
        <f t="shared" si="10"/>
        <v>0</v>
      </c>
      <c r="BF16" s="5">
        <v>0</v>
      </c>
      <c r="BG16" s="118">
        <f t="shared" si="11"/>
        <v>0</v>
      </c>
      <c r="BH16" s="5">
        <v>0</v>
      </c>
      <c r="BI16" s="127">
        <f t="shared" si="12"/>
        <v>0</v>
      </c>
      <c r="BJ16" s="220" t="s">
        <v>474</v>
      </c>
      <c r="BL16" s="1" t="s">
        <v>455</v>
      </c>
      <c r="BM16" s="1" t="s">
        <v>473</v>
      </c>
      <c r="BN16" s="233"/>
      <c r="BO16" s="234"/>
    </row>
    <row r="17" spans="1:67">
      <c r="A17" s="219" t="s">
        <v>823</v>
      </c>
      <c r="B17" s="106" t="s">
        <v>354</v>
      </c>
      <c r="C17" s="66" t="s">
        <v>175</v>
      </c>
      <c r="D17" s="284"/>
      <c r="E17" s="136" t="s">
        <v>176</v>
      </c>
      <c r="F17" s="295"/>
      <c r="G17" s="86" t="s">
        <v>187</v>
      </c>
      <c r="H17" s="85" t="s">
        <v>464</v>
      </c>
      <c r="I17" s="85" t="s">
        <v>184</v>
      </c>
      <c r="J17" s="86">
        <v>13</v>
      </c>
      <c r="K17" s="85" t="s">
        <v>181</v>
      </c>
      <c r="L17" s="84" t="s">
        <v>185</v>
      </c>
      <c r="M17" s="83" t="s">
        <v>465</v>
      </c>
      <c r="N17" s="10">
        <v>9.1199999999999992</v>
      </c>
      <c r="O17" s="10">
        <v>9.1199999999999992</v>
      </c>
      <c r="P17" s="10">
        <v>9.1199999999999992</v>
      </c>
      <c r="Q17" s="10">
        <v>9.1199999999999992</v>
      </c>
      <c r="R17" s="10">
        <v>9.1199999999999992</v>
      </c>
      <c r="S17" s="10">
        <v>9.1199999999999992</v>
      </c>
      <c r="T17" s="10">
        <v>9.1199999999999992</v>
      </c>
      <c r="U17" s="10">
        <v>9.1199999999999992</v>
      </c>
      <c r="V17" s="10">
        <v>9.1199999999999992</v>
      </c>
      <c r="W17" s="10">
        <v>9.1199999999999992</v>
      </c>
      <c r="X17" s="10">
        <v>9.1199999999999992</v>
      </c>
      <c r="Y17" s="257">
        <v>9.1199999999999992</v>
      </c>
      <c r="Z17" s="10">
        <v>1.07</v>
      </c>
      <c r="AA17" s="10">
        <v>1.07</v>
      </c>
      <c r="AB17" s="10">
        <v>1.07</v>
      </c>
      <c r="AC17" s="10">
        <v>1.07</v>
      </c>
      <c r="AD17" s="10">
        <v>1.07</v>
      </c>
      <c r="AE17" s="10">
        <v>1.07</v>
      </c>
      <c r="AF17" s="10">
        <v>1.07</v>
      </c>
      <c r="AG17" s="10">
        <v>1.07</v>
      </c>
      <c r="AH17" s="10">
        <v>1.07</v>
      </c>
      <c r="AI17" s="10">
        <v>1.07</v>
      </c>
      <c r="AJ17" s="10">
        <v>1.07</v>
      </c>
      <c r="AK17" s="257">
        <v>1.07</v>
      </c>
      <c r="AL17" s="5">
        <v>0</v>
      </c>
      <c r="AM17" s="118">
        <f t="shared" si="13"/>
        <v>0</v>
      </c>
      <c r="AN17" s="5">
        <v>0</v>
      </c>
      <c r="AO17" s="118">
        <f t="shared" si="2"/>
        <v>0</v>
      </c>
      <c r="AP17" s="5">
        <v>0</v>
      </c>
      <c r="AQ17" s="127">
        <f t="shared" si="3"/>
        <v>0</v>
      </c>
      <c r="AR17" s="5">
        <v>0</v>
      </c>
      <c r="AS17" s="118">
        <f t="shared" si="4"/>
        <v>0</v>
      </c>
      <c r="AT17" s="5">
        <v>0</v>
      </c>
      <c r="AU17" s="118">
        <f t="shared" si="5"/>
        <v>0</v>
      </c>
      <c r="AV17" s="5">
        <v>0</v>
      </c>
      <c r="AW17" s="127">
        <f t="shared" si="6"/>
        <v>0</v>
      </c>
      <c r="AX17" s="105">
        <v>0</v>
      </c>
      <c r="AY17" s="118">
        <f t="shared" si="7"/>
        <v>0</v>
      </c>
      <c r="AZ17" s="105">
        <v>0</v>
      </c>
      <c r="BA17" s="118">
        <f t="shared" si="8"/>
        <v>0</v>
      </c>
      <c r="BB17" s="5">
        <v>0</v>
      </c>
      <c r="BC17" s="127">
        <f t="shared" si="9"/>
        <v>0</v>
      </c>
      <c r="BD17" s="105">
        <v>0</v>
      </c>
      <c r="BE17" s="118">
        <f t="shared" si="10"/>
        <v>0</v>
      </c>
      <c r="BF17" s="5">
        <v>0</v>
      </c>
      <c r="BG17" s="118">
        <f t="shared" si="11"/>
        <v>0</v>
      </c>
      <c r="BH17" s="5">
        <v>0</v>
      </c>
      <c r="BI17" s="127">
        <f t="shared" si="12"/>
        <v>0</v>
      </c>
      <c r="BJ17" s="220" t="s">
        <v>475</v>
      </c>
      <c r="BL17" s="1" t="s">
        <v>455</v>
      </c>
      <c r="BM17" s="1" t="s">
        <v>476</v>
      </c>
      <c r="BN17" s="233"/>
      <c r="BO17" s="234"/>
    </row>
    <row r="18" spans="1:67">
      <c r="A18" s="219" t="s">
        <v>823</v>
      </c>
      <c r="B18" s="106" t="s">
        <v>354</v>
      </c>
      <c r="C18" s="66" t="s">
        <v>175</v>
      </c>
      <c r="D18" s="284"/>
      <c r="E18" s="136" t="s">
        <v>176</v>
      </c>
      <c r="F18" s="295"/>
      <c r="G18" s="86" t="s">
        <v>187</v>
      </c>
      <c r="H18" s="85" t="s">
        <v>464</v>
      </c>
      <c r="I18" s="85" t="s">
        <v>184</v>
      </c>
      <c r="J18" s="86">
        <v>13</v>
      </c>
      <c r="K18" s="85" t="s">
        <v>181</v>
      </c>
      <c r="L18" s="84" t="s">
        <v>185</v>
      </c>
      <c r="M18" s="83" t="s">
        <v>465</v>
      </c>
      <c r="N18" s="10">
        <v>9.1199999999999992</v>
      </c>
      <c r="O18" s="10">
        <v>9.1199999999999992</v>
      </c>
      <c r="P18" s="10">
        <v>9.1199999999999992</v>
      </c>
      <c r="Q18" s="10">
        <v>9.1199999999999992</v>
      </c>
      <c r="R18" s="10">
        <v>9.1199999999999992</v>
      </c>
      <c r="S18" s="10">
        <v>9.1199999999999992</v>
      </c>
      <c r="T18" s="10">
        <v>9.1199999999999992</v>
      </c>
      <c r="U18" s="10">
        <v>9.1199999999999992</v>
      </c>
      <c r="V18" s="10">
        <v>9.1199999999999992</v>
      </c>
      <c r="W18" s="10">
        <v>9.1199999999999992</v>
      </c>
      <c r="X18" s="10">
        <v>9.1199999999999992</v>
      </c>
      <c r="Y18" s="257">
        <v>9.1199999999999992</v>
      </c>
      <c r="Z18" s="10">
        <v>1.07</v>
      </c>
      <c r="AA18" s="10">
        <v>1.07</v>
      </c>
      <c r="AB18" s="10">
        <v>1.07</v>
      </c>
      <c r="AC18" s="10">
        <v>1.07</v>
      </c>
      <c r="AD18" s="10">
        <v>1.07</v>
      </c>
      <c r="AE18" s="10">
        <v>1.07</v>
      </c>
      <c r="AF18" s="10">
        <v>1.07</v>
      </c>
      <c r="AG18" s="10">
        <v>1.07</v>
      </c>
      <c r="AH18" s="10">
        <v>1.07</v>
      </c>
      <c r="AI18" s="10">
        <v>1.07</v>
      </c>
      <c r="AJ18" s="10">
        <v>1.07</v>
      </c>
      <c r="AK18" s="257">
        <v>1.07</v>
      </c>
      <c r="AL18" s="5">
        <v>0</v>
      </c>
      <c r="AM18" s="118">
        <f t="shared" si="13"/>
        <v>0</v>
      </c>
      <c r="AN18" s="5">
        <v>0</v>
      </c>
      <c r="AO18" s="118">
        <f t="shared" si="2"/>
        <v>0</v>
      </c>
      <c r="AP18" s="5">
        <v>0</v>
      </c>
      <c r="AQ18" s="127">
        <f t="shared" si="3"/>
        <v>0</v>
      </c>
      <c r="AR18" s="5">
        <v>0</v>
      </c>
      <c r="AS18" s="118">
        <f t="shared" si="4"/>
        <v>0</v>
      </c>
      <c r="AT18" s="5">
        <v>0</v>
      </c>
      <c r="AU18" s="118">
        <f t="shared" si="5"/>
        <v>0</v>
      </c>
      <c r="AV18" s="5">
        <v>0</v>
      </c>
      <c r="AW18" s="127">
        <f t="shared" si="6"/>
        <v>0</v>
      </c>
      <c r="AX18" s="105">
        <v>0</v>
      </c>
      <c r="AY18" s="118">
        <f t="shared" si="7"/>
        <v>0</v>
      </c>
      <c r="AZ18" s="105">
        <v>0</v>
      </c>
      <c r="BA18" s="118">
        <f t="shared" si="8"/>
        <v>0</v>
      </c>
      <c r="BB18" s="5">
        <v>0</v>
      </c>
      <c r="BC18" s="127">
        <f t="shared" si="9"/>
        <v>0</v>
      </c>
      <c r="BD18" s="105">
        <v>0</v>
      </c>
      <c r="BE18" s="118">
        <f t="shared" si="10"/>
        <v>0</v>
      </c>
      <c r="BF18" s="5">
        <v>0</v>
      </c>
      <c r="BG18" s="118">
        <f t="shared" si="11"/>
        <v>0</v>
      </c>
      <c r="BH18" s="5">
        <v>0</v>
      </c>
      <c r="BI18" s="127">
        <f t="shared" si="12"/>
        <v>0</v>
      </c>
      <c r="BJ18" s="220" t="s">
        <v>475</v>
      </c>
      <c r="BL18" s="1" t="s">
        <v>455</v>
      </c>
      <c r="BM18" s="1" t="s">
        <v>477</v>
      </c>
      <c r="BN18" s="233"/>
      <c r="BO18" s="234"/>
    </row>
    <row r="19" spans="1:67">
      <c r="A19" s="219" t="s">
        <v>823</v>
      </c>
      <c r="B19" s="106" t="s">
        <v>354</v>
      </c>
      <c r="C19" s="66" t="s">
        <v>175</v>
      </c>
      <c r="D19" s="284"/>
      <c r="E19" s="136" t="s">
        <v>176</v>
      </c>
      <c r="F19" s="295"/>
      <c r="G19" s="86" t="s">
        <v>187</v>
      </c>
      <c r="H19" s="85" t="s">
        <v>464</v>
      </c>
      <c r="I19" s="85" t="s">
        <v>184</v>
      </c>
      <c r="J19" s="86">
        <v>13</v>
      </c>
      <c r="K19" s="85" t="s">
        <v>181</v>
      </c>
      <c r="L19" s="84" t="s">
        <v>185</v>
      </c>
      <c r="M19" s="83" t="s">
        <v>465</v>
      </c>
      <c r="N19" s="10">
        <v>9.1199999999999992</v>
      </c>
      <c r="O19" s="10">
        <v>9.1199999999999992</v>
      </c>
      <c r="P19" s="10">
        <v>9.1199999999999992</v>
      </c>
      <c r="Q19" s="10">
        <v>9.1199999999999992</v>
      </c>
      <c r="R19" s="10">
        <v>9.1199999999999992</v>
      </c>
      <c r="S19" s="10">
        <v>9.1199999999999992</v>
      </c>
      <c r="T19" s="10">
        <v>9.1199999999999992</v>
      </c>
      <c r="U19" s="10">
        <v>9.1199999999999992</v>
      </c>
      <c r="V19" s="10">
        <v>9.1199999999999992</v>
      </c>
      <c r="W19" s="10">
        <v>9.1199999999999992</v>
      </c>
      <c r="X19" s="10">
        <v>9.1199999999999992</v>
      </c>
      <c r="Y19" s="257">
        <v>9.1199999999999992</v>
      </c>
      <c r="Z19" s="10">
        <v>1.07</v>
      </c>
      <c r="AA19" s="10">
        <v>1.07</v>
      </c>
      <c r="AB19" s="10">
        <v>1.07</v>
      </c>
      <c r="AC19" s="10">
        <v>1.07</v>
      </c>
      <c r="AD19" s="10">
        <v>1.07</v>
      </c>
      <c r="AE19" s="10">
        <v>1.07</v>
      </c>
      <c r="AF19" s="10">
        <v>1.07</v>
      </c>
      <c r="AG19" s="10">
        <v>1.07</v>
      </c>
      <c r="AH19" s="10">
        <v>1.07</v>
      </c>
      <c r="AI19" s="10">
        <v>1.07</v>
      </c>
      <c r="AJ19" s="10">
        <v>1.07</v>
      </c>
      <c r="AK19" s="257">
        <v>1.07</v>
      </c>
      <c r="AL19" s="5">
        <v>0</v>
      </c>
      <c r="AM19" s="118">
        <f t="shared" si="13"/>
        <v>0</v>
      </c>
      <c r="AN19" s="5">
        <v>0</v>
      </c>
      <c r="AO19" s="118">
        <f t="shared" si="2"/>
        <v>0</v>
      </c>
      <c r="AP19" s="5">
        <v>0</v>
      </c>
      <c r="AQ19" s="127">
        <f t="shared" si="3"/>
        <v>0</v>
      </c>
      <c r="AR19" s="5">
        <v>0</v>
      </c>
      <c r="AS19" s="118">
        <f t="shared" si="4"/>
        <v>0</v>
      </c>
      <c r="AT19" s="5">
        <v>0</v>
      </c>
      <c r="AU19" s="118">
        <f t="shared" si="5"/>
        <v>0</v>
      </c>
      <c r="AV19" s="5">
        <v>0</v>
      </c>
      <c r="AW19" s="127">
        <f t="shared" si="6"/>
        <v>0</v>
      </c>
      <c r="AX19" s="105">
        <v>0</v>
      </c>
      <c r="AY19" s="118">
        <f t="shared" si="7"/>
        <v>0</v>
      </c>
      <c r="AZ19" s="105">
        <v>0</v>
      </c>
      <c r="BA19" s="118">
        <f t="shared" si="8"/>
        <v>0</v>
      </c>
      <c r="BB19" s="5">
        <v>0</v>
      </c>
      <c r="BC19" s="127">
        <f t="shared" si="9"/>
        <v>0</v>
      </c>
      <c r="BD19" s="105">
        <v>0</v>
      </c>
      <c r="BE19" s="118">
        <f t="shared" si="10"/>
        <v>0</v>
      </c>
      <c r="BF19" s="5">
        <v>0</v>
      </c>
      <c r="BG19" s="118">
        <f t="shared" si="11"/>
        <v>0</v>
      </c>
      <c r="BH19" s="5">
        <v>0</v>
      </c>
      <c r="BI19" s="127">
        <f t="shared" si="12"/>
        <v>0</v>
      </c>
      <c r="BJ19" s="220" t="s">
        <v>478</v>
      </c>
      <c r="BL19" s="1" t="s">
        <v>455</v>
      </c>
      <c r="BM19" s="1" t="s">
        <v>476</v>
      </c>
      <c r="BN19" s="233"/>
      <c r="BO19" s="234"/>
    </row>
    <row r="20" spans="1:67">
      <c r="A20" s="219" t="s">
        <v>823</v>
      </c>
      <c r="B20" s="106" t="s">
        <v>354</v>
      </c>
      <c r="C20" s="66" t="s">
        <v>175</v>
      </c>
      <c r="D20" s="284"/>
      <c r="E20" s="136" t="s">
        <v>176</v>
      </c>
      <c r="F20" s="295"/>
      <c r="G20" s="86" t="s">
        <v>187</v>
      </c>
      <c r="H20" s="85" t="s">
        <v>479</v>
      </c>
      <c r="I20" s="85" t="s">
        <v>180</v>
      </c>
      <c r="J20" s="86" t="s">
        <v>191</v>
      </c>
      <c r="K20" s="85" t="s">
        <v>181</v>
      </c>
      <c r="L20" s="84" t="s">
        <v>185</v>
      </c>
      <c r="M20" s="83" t="s">
        <v>465</v>
      </c>
      <c r="N20" s="10">
        <v>4.07</v>
      </c>
      <c r="O20" s="10">
        <v>4.07</v>
      </c>
      <c r="P20" s="10">
        <v>4.07</v>
      </c>
      <c r="Q20" s="10">
        <v>4.07</v>
      </c>
      <c r="R20" s="10">
        <v>4.07</v>
      </c>
      <c r="S20" s="10">
        <v>4.07</v>
      </c>
      <c r="T20" s="10">
        <v>4.07</v>
      </c>
      <c r="U20" s="10">
        <v>4.07</v>
      </c>
      <c r="V20" s="10">
        <v>4.07</v>
      </c>
      <c r="W20" s="10">
        <v>4.07</v>
      </c>
      <c r="X20" s="10">
        <v>4.07</v>
      </c>
      <c r="Y20" s="257">
        <v>4.07</v>
      </c>
      <c r="Z20" s="10">
        <v>0.45</v>
      </c>
      <c r="AA20" s="10">
        <v>0.45</v>
      </c>
      <c r="AB20" s="10">
        <v>0.45</v>
      </c>
      <c r="AC20" s="10">
        <v>0.45</v>
      </c>
      <c r="AD20" s="10">
        <v>0.45</v>
      </c>
      <c r="AE20" s="10">
        <v>0.45</v>
      </c>
      <c r="AF20" s="10">
        <v>0.45</v>
      </c>
      <c r="AG20" s="10">
        <v>0.45</v>
      </c>
      <c r="AH20" s="10">
        <v>0.45</v>
      </c>
      <c r="AI20" s="10">
        <v>0.45</v>
      </c>
      <c r="AJ20" s="10">
        <v>0.45</v>
      </c>
      <c r="AK20" s="257">
        <v>0.45</v>
      </c>
      <c r="AL20" s="5">
        <v>0</v>
      </c>
      <c r="AM20" s="118">
        <f t="shared" si="13"/>
        <v>0</v>
      </c>
      <c r="AN20" s="5">
        <v>0</v>
      </c>
      <c r="AO20" s="118">
        <f t="shared" si="2"/>
        <v>0</v>
      </c>
      <c r="AP20" s="5">
        <v>0</v>
      </c>
      <c r="AQ20" s="127">
        <f t="shared" si="3"/>
        <v>0</v>
      </c>
      <c r="AR20" s="5">
        <v>0</v>
      </c>
      <c r="AS20" s="118">
        <f t="shared" si="4"/>
        <v>0</v>
      </c>
      <c r="AT20" s="5">
        <v>320</v>
      </c>
      <c r="AU20" s="118">
        <f t="shared" si="5"/>
        <v>144</v>
      </c>
      <c r="AV20" s="5">
        <v>300</v>
      </c>
      <c r="AW20" s="127">
        <f t="shared" si="6"/>
        <v>135</v>
      </c>
      <c r="AX20" s="105">
        <v>300</v>
      </c>
      <c r="AY20" s="118">
        <f t="shared" si="7"/>
        <v>135</v>
      </c>
      <c r="AZ20" s="105">
        <v>300</v>
      </c>
      <c r="BA20" s="118">
        <f t="shared" si="8"/>
        <v>135</v>
      </c>
      <c r="BB20" s="5">
        <v>200</v>
      </c>
      <c r="BC20" s="127">
        <f t="shared" si="9"/>
        <v>90</v>
      </c>
      <c r="BD20" s="105">
        <v>300</v>
      </c>
      <c r="BE20" s="118">
        <f t="shared" si="10"/>
        <v>135</v>
      </c>
      <c r="BF20" s="5">
        <v>200</v>
      </c>
      <c r="BG20" s="118">
        <f t="shared" si="11"/>
        <v>90</v>
      </c>
      <c r="BH20" s="5">
        <v>300</v>
      </c>
      <c r="BI20" s="127">
        <f t="shared" si="12"/>
        <v>135</v>
      </c>
      <c r="BJ20" s="220" t="s">
        <v>480</v>
      </c>
      <c r="BL20" s="1" t="s">
        <v>455</v>
      </c>
      <c r="BM20" s="1" t="s">
        <v>481</v>
      </c>
      <c r="BN20" s="233"/>
      <c r="BO20" s="234"/>
    </row>
    <row r="21" spans="1:67">
      <c r="A21" s="219" t="s">
        <v>823</v>
      </c>
      <c r="B21" s="106" t="s">
        <v>354</v>
      </c>
      <c r="C21" s="66" t="s">
        <v>175</v>
      </c>
      <c r="D21" s="284"/>
      <c r="E21" s="136" t="s">
        <v>176</v>
      </c>
      <c r="F21" s="295"/>
      <c r="G21" s="86" t="s">
        <v>187</v>
      </c>
      <c r="H21" s="85" t="s">
        <v>479</v>
      </c>
      <c r="I21" s="85" t="s">
        <v>180</v>
      </c>
      <c r="J21" s="86" t="s">
        <v>191</v>
      </c>
      <c r="K21" s="85" t="s">
        <v>181</v>
      </c>
      <c r="L21" s="84" t="s">
        <v>185</v>
      </c>
      <c r="M21" s="83" t="s">
        <v>465</v>
      </c>
      <c r="N21" s="10">
        <v>4.07</v>
      </c>
      <c r="O21" s="10">
        <v>4.07</v>
      </c>
      <c r="P21" s="10">
        <v>4.07</v>
      </c>
      <c r="Q21" s="10">
        <v>4.07</v>
      </c>
      <c r="R21" s="10">
        <v>4.07</v>
      </c>
      <c r="S21" s="10">
        <v>4.07</v>
      </c>
      <c r="T21" s="10">
        <v>4.07</v>
      </c>
      <c r="U21" s="10">
        <v>4.07</v>
      </c>
      <c r="V21" s="10">
        <v>4.07</v>
      </c>
      <c r="W21" s="10">
        <v>4.07</v>
      </c>
      <c r="X21" s="10">
        <v>4.07</v>
      </c>
      <c r="Y21" s="257">
        <v>4.07</v>
      </c>
      <c r="Z21" s="10">
        <v>0.45</v>
      </c>
      <c r="AA21" s="10">
        <v>0.45</v>
      </c>
      <c r="AB21" s="10">
        <v>0.45</v>
      </c>
      <c r="AC21" s="10">
        <v>0.45</v>
      </c>
      <c r="AD21" s="10">
        <v>0.45</v>
      </c>
      <c r="AE21" s="10">
        <v>0.45</v>
      </c>
      <c r="AF21" s="10">
        <v>0.45</v>
      </c>
      <c r="AG21" s="10">
        <v>0.45</v>
      </c>
      <c r="AH21" s="10">
        <v>0.45</v>
      </c>
      <c r="AI21" s="10">
        <v>0.45</v>
      </c>
      <c r="AJ21" s="10">
        <v>0.45</v>
      </c>
      <c r="AK21" s="257">
        <v>0.45</v>
      </c>
      <c r="AL21" s="5">
        <v>0</v>
      </c>
      <c r="AM21" s="118">
        <f t="shared" si="13"/>
        <v>0</v>
      </c>
      <c r="AN21" s="5">
        <v>0</v>
      </c>
      <c r="AO21" s="118">
        <f t="shared" si="2"/>
        <v>0</v>
      </c>
      <c r="AP21" s="5">
        <v>0</v>
      </c>
      <c r="AQ21" s="127">
        <f t="shared" si="3"/>
        <v>0</v>
      </c>
      <c r="AR21" s="5">
        <v>0</v>
      </c>
      <c r="AS21" s="118">
        <f t="shared" si="4"/>
        <v>0</v>
      </c>
      <c r="AT21" s="5">
        <v>0</v>
      </c>
      <c r="AU21" s="118">
        <f t="shared" si="5"/>
        <v>0</v>
      </c>
      <c r="AV21" s="5">
        <v>0</v>
      </c>
      <c r="AW21" s="127">
        <f t="shared" si="6"/>
        <v>0</v>
      </c>
      <c r="AX21" s="105">
        <v>0</v>
      </c>
      <c r="AY21" s="118">
        <f t="shared" si="7"/>
        <v>0</v>
      </c>
      <c r="AZ21" s="105">
        <v>0</v>
      </c>
      <c r="BA21" s="118">
        <f t="shared" si="8"/>
        <v>0</v>
      </c>
      <c r="BB21" s="5">
        <v>0</v>
      </c>
      <c r="BC21" s="127">
        <f t="shared" si="9"/>
        <v>0</v>
      </c>
      <c r="BD21" s="105">
        <v>0</v>
      </c>
      <c r="BE21" s="118">
        <f t="shared" si="10"/>
        <v>0</v>
      </c>
      <c r="BF21" s="5">
        <v>0</v>
      </c>
      <c r="BG21" s="118">
        <f t="shared" si="11"/>
        <v>0</v>
      </c>
      <c r="BH21" s="5">
        <v>0</v>
      </c>
      <c r="BI21" s="127">
        <f t="shared" si="12"/>
        <v>0</v>
      </c>
      <c r="BJ21" s="220" t="s">
        <v>480</v>
      </c>
      <c r="BL21" s="1" t="s">
        <v>455</v>
      </c>
      <c r="BM21" s="1" t="s">
        <v>482</v>
      </c>
      <c r="BN21" s="233"/>
      <c r="BO21" s="234"/>
    </row>
    <row r="22" spans="1:67">
      <c r="A22" s="219" t="s">
        <v>823</v>
      </c>
      <c r="B22" s="106" t="s">
        <v>354</v>
      </c>
      <c r="C22" s="66" t="s">
        <v>175</v>
      </c>
      <c r="D22" s="284"/>
      <c r="E22" s="136" t="s">
        <v>176</v>
      </c>
      <c r="F22" s="295"/>
      <c r="G22" s="86" t="s">
        <v>187</v>
      </c>
      <c r="H22" s="85" t="s">
        <v>479</v>
      </c>
      <c r="I22" s="85" t="s">
        <v>180</v>
      </c>
      <c r="J22" s="86" t="s">
        <v>191</v>
      </c>
      <c r="K22" s="85" t="s">
        <v>181</v>
      </c>
      <c r="L22" s="84" t="s">
        <v>185</v>
      </c>
      <c r="M22" s="83" t="s">
        <v>465</v>
      </c>
      <c r="N22" s="10">
        <v>4.07</v>
      </c>
      <c r="O22" s="10">
        <v>4.07</v>
      </c>
      <c r="P22" s="10">
        <v>4.07</v>
      </c>
      <c r="Q22" s="10">
        <v>4.07</v>
      </c>
      <c r="R22" s="10">
        <v>4.07</v>
      </c>
      <c r="S22" s="10">
        <v>4.07</v>
      </c>
      <c r="T22" s="10">
        <v>4.07</v>
      </c>
      <c r="U22" s="10">
        <v>4.07</v>
      </c>
      <c r="V22" s="10">
        <v>4.07</v>
      </c>
      <c r="W22" s="10">
        <v>4.07</v>
      </c>
      <c r="X22" s="10">
        <v>4.07</v>
      </c>
      <c r="Y22" s="257">
        <v>4.07</v>
      </c>
      <c r="Z22" s="10">
        <v>0.45</v>
      </c>
      <c r="AA22" s="10">
        <v>0.45</v>
      </c>
      <c r="AB22" s="10">
        <v>0.45</v>
      </c>
      <c r="AC22" s="10">
        <v>0.45</v>
      </c>
      <c r="AD22" s="10">
        <v>0.45</v>
      </c>
      <c r="AE22" s="10">
        <v>0.45</v>
      </c>
      <c r="AF22" s="10">
        <v>0.45</v>
      </c>
      <c r="AG22" s="10">
        <v>0.45</v>
      </c>
      <c r="AH22" s="10">
        <v>0.45</v>
      </c>
      <c r="AI22" s="10">
        <v>0.45</v>
      </c>
      <c r="AJ22" s="10">
        <v>0.45</v>
      </c>
      <c r="AK22" s="257">
        <v>0.45</v>
      </c>
      <c r="AL22" s="5">
        <v>0</v>
      </c>
      <c r="AM22" s="118">
        <f t="shared" si="13"/>
        <v>0</v>
      </c>
      <c r="AN22" s="5">
        <v>0</v>
      </c>
      <c r="AO22" s="118">
        <f t="shared" si="2"/>
        <v>0</v>
      </c>
      <c r="AP22" s="5">
        <v>0</v>
      </c>
      <c r="AQ22" s="127">
        <f t="shared" si="3"/>
        <v>0</v>
      </c>
      <c r="AR22" s="5">
        <v>0</v>
      </c>
      <c r="AS22" s="118">
        <f t="shared" si="4"/>
        <v>0</v>
      </c>
      <c r="AT22" s="5">
        <v>0</v>
      </c>
      <c r="AU22" s="118">
        <f t="shared" si="5"/>
        <v>0</v>
      </c>
      <c r="AV22" s="5">
        <v>0</v>
      </c>
      <c r="AW22" s="127">
        <f t="shared" si="6"/>
        <v>0</v>
      </c>
      <c r="AX22" s="105">
        <v>0</v>
      </c>
      <c r="AY22" s="118">
        <f t="shared" si="7"/>
        <v>0</v>
      </c>
      <c r="AZ22" s="105">
        <v>0</v>
      </c>
      <c r="BA22" s="118">
        <f t="shared" si="8"/>
        <v>0</v>
      </c>
      <c r="BB22" s="5">
        <v>0</v>
      </c>
      <c r="BC22" s="127">
        <f t="shared" si="9"/>
        <v>0</v>
      </c>
      <c r="BD22" s="105">
        <v>0</v>
      </c>
      <c r="BE22" s="118">
        <f t="shared" si="10"/>
        <v>0</v>
      </c>
      <c r="BF22" s="5">
        <v>0</v>
      </c>
      <c r="BG22" s="118">
        <f t="shared" si="11"/>
        <v>0</v>
      </c>
      <c r="BH22" s="5">
        <v>0</v>
      </c>
      <c r="BI22" s="127">
        <f t="shared" si="12"/>
        <v>0</v>
      </c>
      <c r="BJ22" s="220" t="s">
        <v>480</v>
      </c>
      <c r="BL22" s="1" t="s">
        <v>455</v>
      </c>
      <c r="BM22" s="1" t="s">
        <v>483</v>
      </c>
      <c r="BN22" s="233"/>
      <c r="BO22" s="234"/>
    </row>
    <row r="23" spans="1:67">
      <c r="A23" s="219" t="s">
        <v>823</v>
      </c>
      <c r="B23" s="106" t="s">
        <v>354</v>
      </c>
      <c r="C23" s="66" t="s">
        <v>175</v>
      </c>
      <c r="D23" s="284"/>
      <c r="E23" s="136" t="s">
        <v>176</v>
      </c>
      <c r="F23" s="295"/>
      <c r="G23" s="86" t="s">
        <v>187</v>
      </c>
      <c r="H23" s="85" t="s">
        <v>479</v>
      </c>
      <c r="I23" s="85" t="s">
        <v>180</v>
      </c>
      <c r="J23" s="86" t="s">
        <v>191</v>
      </c>
      <c r="K23" s="85" t="s">
        <v>181</v>
      </c>
      <c r="L23" s="84" t="s">
        <v>185</v>
      </c>
      <c r="M23" s="83" t="s">
        <v>465</v>
      </c>
      <c r="N23" s="10">
        <v>4.07</v>
      </c>
      <c r="O23" s="10">
        <v>4.07</v>
      </c>
      <c r="P23" s="10">
        <v>4.07</v>
      </c>
      <c r="Q23" s="10">
        <v>4.07</v>
      </c>
      <c r="R23" s="10">
        <v>4.07</v>
      </c>
      <c r="S23" s="10">
        <v>4.07</v>
      </c>
      <c r="T23" s="10">
        <v>4.07</v>
      </c>
      <c r="U23" s="10">
        <v>4.07</v>
      </c>
      <c r="V23" s="10">
        <v>4.07</v>
      </c>
      <c r="W23" s="10">
        <v>4.07</v>
      </c>
      <c r="X23" s="10">
        <v>4.07</v>
      </c>
      <c r="Y23" s="257">
        <v>4.07</v>
      </c>
      <c r="Z23" s="10">
        <v>0.45</v>
      </c>
      <c r="AA23" s="10">
        <v>0.45</v>
      </c>
      <c r="AB23" s="10">
        <v>0.45</v>
      </c>
      <c r="AC23" s="10">
        <v>0.45</v>
      </c>
      <c r="AD23" s="10">
        <v>0.45</v>
      </c>
      <c r="AE23" s="10">
        <v>0.45</v>
      </c>
      <c r="AF23" s="10">
        <v>0.45</v>
      </c>
      <c r="AG23" s="10">
        <v>0.45</v>
      </c>
      <c r="AH23" s="10">
        <v>0.45</v>
      </c>
      <c r="AI23" s="10">
        <v>0.45</v>
      </c>
      <c r="AJ23" s="10">
        <v>0.45</v>
      </c>
      <c r="AK23" s="257">
        <v>0.45</v>
      </c>
      <c r="AL23" s="5">
        <v>200</v>
      </c>
      <c r="AM23" s="118">
        <f t="shared" si="13"/>
        <v>90</v>
      </c>
      <c r="AN23" s="5">
        <v>720</v>
      </c>
      <c r="AO23" s="118">
        <f t="shared" si="2"/>
        <v>324</v>
      </c>
      <c r="AP23" s="5">
        <v>1000</v>
      </c>
      <c r="AQ23" s="127">
        <f t="shared" si="3"/>
        <v>450</v>
      </c>
      <c r="AR23" s="5">
        <v>999</v>
      </c>
      <c r="AS23" s="118">
        <f t="shared" si="4"/>
        <v>449.55</v>
      </c>
      <c r="AT23" s="5">
        <v>0</v>
      </c>
      <c r="AU23" s="118">
        <f t="shared" si="5"/>
        <v>0</v>
      </c>
      <c r="AV23" s="5">
        <v>0</v>
      </c>
      <c r="AW23" s="127">
        <f t="shared" si="6"/>
        <v>0</v>
      </c>
      <c r="AX23" s="105">
        <v>0</v>
      </c>
      <c r="AY23" s="118">
        <f t="shared" si="7"/>
        <v>0</v>
      </c>
      <c r="AZ23" s="105">
        <v>0</v>
      </c>
      <c r="BA23" s="118">
        <f t="shared" si="8"/>
        <v>0</v>
      </c>
      <c r="BB23" s="5">
        <v>0</v>
      </c>
      <c r="BC23" s="127">
        <f t="shared" si="9"/>
        <v>0</v>
      </c>
      <c r="BD23" s="105">
        <v>0</v>
      </c>
      <c r="BE23" s="118">
        <f t="shared" si="10"/>
        <v>0</v>
      </c>
      <c r="BF23" s="5">
        <v>0</v>
      </c>
      <c r="BG23" s="118">
        <f t="shared" si="11"/>
        <v>0</v>
      </c>
      <c r="BH23" s="5">
        <v>0</v>
      </c>
      <c r="BI23" s="127">
        <f t="shared" si="12"/>
        <v>0</v>
      </c>
      <c r="BJ23" s="220" t="s">
        <v>480</v>
      </c>
      <c r="BL23" s="1" t="s">
        <v>455</v>
      </c>
      <c r="BM23" s="1" t="s">
        <v>484</v>
      </c>
      <c r="BN23" s="233"/>
      <c r="BO23" s="234"/>
    </row>
    <row r="24" spans="1:67">
      <c r="A24" s="219" t="s">
        <v>823</v>
      </c>
      <c r="B24" s="106" t="s">
        <v>354</v>
      </c>
      <c r="C24" s="66" t="s">
        <v>175</v>
      </c>
      <c r="D24" s="284"/>
      <c r="E24" s="136" t="s">
        <v>176</v>
      </c>
      <c r="F24" s="295"/>
      <c r="G24" s="86" t="s">
        <v>187</v>
      </c>
      <c r="H24" s="85" t="s">
        <v>479</v>
      </c>
      <c r="I24" s="85" t="s">
        <v>180</v>
      </c>
      <c r="J24" s="86" t="s">
        <v>191</v>
      </c>
      <c r="K24" s="85" t="s">
        <v>181</v>
      </c>
      <c r="L24" s="84" t="s">
        <v>185</v>
      </c>
      <c r="M24" s="83" t="s">
        <v>465</v>
      </c>
      <c r="N24" s="10">
        <v>4.07</v>
      </c>
      <c r="O24" s="10">
        <v>4.07</v>
      </c>
      <c r="P24" s="10">
        <v>4.07</v>
      </c>
      <c r="Q24" s="10">
        <v>4.07</v>
      </c>
      <c r="R24" s="10">
        <v>4.07</v>
      </c>
      <c r="S24" s="10">
        <v>4.07</v>
      </c>
      <c r="T24" s="10">
        <v>4.07</v>
      </c>
      <c r="U24" s="10">
        <v>4.07</v>
      </c>
      <c r="V24" s="10">
        <v>4.07</v>
      </c>
      <c r="W24" s="10">
        <v>4.07</v>
      </c>
      <c r="X24" s="10">
        <v>4.07</v>
      </c>
      <c r="Y24" s="257">
        <v>4.07</v>
      </c>
      <c r="Z24" s="10">
        <v>0.45</v>
      </c>
      <c r="AA24" s="10">
        <v>0.45</v>
      </c>
      <c r="AB24" s="10">
        <v>0.45</v>
      </c>
      <c r="AC24" s="10">
        <v>0.45</v>
      </c>
      <c r="AD24" s="10">
        <v>0.45</v>
      </c>
      <c r="AE24" s="10">
        <v>0.45</v>
      </c>
      <c r="AF24" s="10">
        <v>0.45</v>
      </c>
      <c r="AG24" s="10">
        <v>0.45</v>
      </c>
      <c r="AH24" s="10">
        <v>0.45</v>
      </c>
      <c r="AI24" s="10">
        <v>0.45</v>
      </c>
      <c r="AJ24" s="10">
        <v>0.45</v>
      </c>
      <c r="AK24" s="257">
        <v>0.45</v>
      </c>
      <c r="AL24" s="5">
        <v>0</v>
      </c>
      <c r="AM24" s="118">
        <f t="shared" si="13"/>
        <v>0</v>
      </c>
      <c r="AN24" s="5">
        <v>200</v>
      </c>
      <c r="AO24" s="118">
        <f t="shared" si="2"/>
        <v>90</v>
      </c>
      <c r="AP24" s="5">
        <v>0</v>
      </c>
      <c r="AQ24" s="127">
        <f t="shared" si="3"/>
        <v>0</v>
      </c>
      <c r="AR24" s="5">
        <v>0</v>
      </c>
      <c r="AS24" s="118">
        <f t="shared" si="4"/>
        <v>0</v>
      </c>
      <c r="AT24" s="5">
        <v>0</v>
      </c>
      <c r="AU24" s="118">
        <f t="shared" si="5"/>
        <v>0</v>
      </c>
      <c r="AV24" s="5">
        <v>0</v>
      </c>
      <c r="AW24" s="127">
        <f t="shared" si="6"/>
        <v>0</v>
      </c>
      <c r="AX24" s="105">
        <v>0</v>
      </c>
      <c r="AY24" s="118">
        <f t="shared" si="7"/>
        <v>0</v>
      </c>
      <c r="AZ24" s="105">
        <v>0</v>
      </c>
      <c r="BA24" s="118">
        <f t="shared" si="8"/>
        <v>0</v>
      </c>
      <c r="BB24" s="5">
        <v>0</v>
      </c>
      <c r="BC24" s="127">
        <f t="shared" si="9"/>
        <v>0</v>
      </c>
      <c r="BD24" s="105">
        <v>0</v>
      </c>
      <c r="BE24" s="118">
        <f t="shared" si="10"/>
        <v>0</v>
      </c>
      <c r="BF24" s="5">
        <v>0</v>
      </c>
      <c r="BG24" s="118">
        <f t="shared" si="11"/>
        <v>0</v>
      </c>
      <c r="BH24" s="5">
        <v>0</v>
      </c>
      <c r="BI24" s="127">
        <f t="shared" si="12"/>
        <v>0</v>
      </c>
      <c r="BJ24" s="220" t="s">
        <v>480</v>
      </c>
      <c r="BL24" s="1" t="s">
        <v>455</v>
      </c>
      <c r="BM24" s="220" t="s">
        <v>485</v>
      </c>
      <c r="BN24" s="233"/>
      <c r="BO24" s="234"/>
    </row>
    <row r="25" spans="1:67">
      <c r="A25" s="219" t="s">
        <v>823</v>
      </c>
      <c r="B25" s="106" t="s">
        <v>354</v>
      </c>
      <c r="C25" s="66" t="s">
        <v>175</v>
      </c>
      <c r="D25" s="284"/>
      <c r="E25" s="136" t="s">
        <v>176</v>
      </c>
      <c r="F25" s="295"/>
      <c r="G25" s="86" t="s">
        <v>187</v>
      </c>
      <c r="H25" s="85" t="s">
        <v>479</v>
      </c>
      <c r="I25" s="85" t="s">
        <v>180</v>
      </c>
      <c r="J25" s="86" t="s">
        <v>191</v>
      </c>
      <c r="K25" s="85" t="s">
        <v>181</v>
      </c>
      <c r="L25" s="84" t="s">
        <v>185</v>
      </c>
      <c r="M25" s="83" t="s">
        <v>465</v>
      </c>
      <c r="N25" s="10">
        <v>4.07</v>
      </c>
      <c r="O25" s="10">
        <v>4.07</v>
      </c>
      <c r="P25" s="10">
        <v>4.07</v>
      </c>
      <c r="Q25" s="10">
        <v>4.07</v>
      </c>
      <c r="R25" s="10">
        <v>4.07</v>
      </c>
      <c r="S25" s="10">
        <v>4.07</v>
      </c>
      <c r="T25" s="10">
        <v>4.07</v>
      </c>
      <c r="U25" s="10">
        <v>4.07</v>
      </c>
      <c r="V25" s="10">
        <v>4.07</v>
      </c>
      <c r="W25" s="10">
        <v>4.07</v>
      </c>
      <c r="X25" s="10">
        <v>4.07</v>
      </c>
      <c r="Y25" s="257">
        <v>4.07</v>
      </c>
      <c r="Z25" s="10">
        <v>0.45</v>
      </c>
      <c r="AA25" s="10">
        <v>0.45</v>
      </c>
      <c r="AB25" s="10">
        <v>0.45</v>
      </c>
      <c r="AC25" s="10">
        <v>0.45</v>
      </c>
      <c r="AD25" s="10">
        <v>0.45</v>
      </c>
      <c r="AE25" s="10">
        <v>0.45</v>
      </c>
      <c r="AF25" s="10">
        <v>0.45</v>
      </c>
      <c r="AG25" s="10">
        <v>0.45</v>
      </c>
      <c r="AH25" s="10">
        <v>0.45</v>
      </c>
      <c r="AI25" s="10">
        <v>0.45</v>
      </c>
      <c r="AJ25" s="10">
        <v>0.45</v>
      </c>
      <c r="AK25" s="257">
        <v>0.45</v>
      </c>
      <c r="AL25" s="5">
        <v>0</v>
      </c>
      <c r="AM25" s="118">
        <f t="shared" si="13"/>
        <v>0</v>
      </c>
      <c r="AN25" s="5">
        <v>0</v>
      </c>
      <c r="AO25" s="118">
        <f t="shared" si="2"/>
        <v>0</v>
      </c>
      <c r="AP25" s="5">
        <v>0</v>
      </c>
      <c r="AQ25" s="127">
        <f t="shared" si="3"/>
        <v>0</v>
      </c>
      <c r="AR25" s="5">
        <v>0</v>
      </c>
      <c r="AS25" s="118">
        <f t="shared" si="4"/>
        <v>0</v>
      </c>
      <c r="AT25" s="5">
        <v>0</v>
      </c>
      <c r="AU25" s="118">
        <f t="shared" si="5"/>
        <v>0</v>
      </c>
      <c r="AV25" s="5">
        <v>0</v>
      </c>
      <c r="AW25" s="127">
        <f t="shared" si="6"/>
        <v>0</v>
      </c>
      <c r="AX25" s="105">
        <v>0</v>
      </c>
      <c r="AY25" s="118">
        <f t="shared" si="7"/>
        <v>0</v>
      </c>
      <c r="AZ25" s="105">
        <v>0</v>
      </c>
      <c r="BA25" s="118">
        <f t="shared" si="8"/>
        <v>0</v>
      </c>
      <c r="BB25" s="5">
        <v>0</v>
      </c>
      <c r="BC25" s="127">
        <f t="shared" si="9"/>
        <v>0</v>
      </c>
      <c r="BD25" s="105">
        <v>0</v>
      </c>
      <c r="BE25" s="118">
        <f t="shared" si="10"/>
        <v>0</v>
      </c>
      <c r="BF25" s="5">
        <v>0</v>
      </c>
      <c r="BG25" s="118">
        <f t="shared" si="11"/>
        <v>0</v>
      </c>
      <c r="BH25" s="5">
        <v>0</v>
      </c>
      <c r="BI25" s="127">
        <f t="shared" si="12"/>
        <v>0</v>
      </c>
      <c r="BJ25" s="220" t="s">
        <v>480</v>
      </c>
      <c r="BL25" s="1" t="s">
        <v>455</v>
      </c>
      <c r="BM25" s="220" t="s">
        <v>486</v>
      </c>
      <c r="BN25" s="233"/>
      <c r="BO25" s="234"/>
    </row>
    <row r="26" spans="1:67">
      <c r="A26" s="219" t="s">
        <v>823</v>
      </c>
      <c r="B26" s="106" t="s">
        <v>354</v>
      </c>
      <c r="C26" s="66" t="s">
        <v>175</v>
      </c>
      <c r="D26" s="284"/>
      <c r="E26" s="136" t="s">
        <v>176</v>
      </c>
      <c r="F26" s="295"/>
      <c r="G26" s="86" t="s">
        <v>187</v>
      </c>
      <c r="H26" s="85" t="s">
        <v>479</v>
      </c>
      <c r="I26" s="85" t="s">
        <v>180</v>
      </c>
      <c r="J26" s="86" t="s">
        <v>191</v>
      </c>
      <c r="K26" s="85" t="s">
        <v>181</v>
      </c>
      <c r="L26" s="84" t="s">
        <v>185</v>
      </c>
      <c r="M26" s="83" t="s">
        <v>465</v>
      </c>
      <c r="N26" s="10">
        <v>4.07</v>
      </c>
      <c r="O26" s="10">
        <v>4.07</v>
      </c>
      <c r="P26" s="10">
        <v>4.07</v>
      </c>
      <c r="Q26" s="10">
        <v>4.07</v>
      </c>
      <c r="R26" s="10">
        <v>4.07</v>
      </c>
      <c r="S26" s="10">
        <v>4.07</v>
      </c>
      <c r="T26" s="10">
        <v>4.07</v>
      </c>
      <c r="U26" s="10">
        <v>4.07</v>
      </c>
      <c r="V26" s="10">
        <v>4.07</v>
      </c>
      <c r="W26" s="10">
        <v>4.07</v>
      </c>
      <c r="X26" s="10">
        <v>4.07</v>
      </c>
      <c r="Y26" s="257">
        <v>4.07</v>
      </c>
      <c r="Z26" s="10">
        <v>0.45</v>
      </c>
      <c r="AA26" s="10">
        <v>0.45</v>
      </c>
      <c r="AB26" s="10">
        <v>0.45</v>
      </c>
      <c r="AC26" s="10">
        <v>0.45</v>
      </c>
      <c r="AD26" s="10">
        <v>0.45</v>
      </c>
      <c r="AE26" s="10">
        <v>0.45</v>
      </c>
      <c r="AF26" s="10">
        <v>0.45</v>
      </c>
      <c r="AG26" s="10">
        <v>0.45</v>
      </c>
      <c r="AH26" s="10">
        <v>0.45</v>
      </c>
      <c r="AI26" s="10">
        <v>0.45</v>
      </c>
      <c r="AJ26" s="10">
        <v>0.45</v>
      </c>
      <c r="AK26" s="257">
        <v>0.45</v>
      </c>
      <c r="AL26" s="5">
        <v>0</v>
      </c>
      <c r="AM26" s="118">
        <f t="shared" si="13"/>
        <v>0</v>
      </c>
      <c r="AN26" s="5">
        <v>0</v>
      </c>
      <c r="AO26" s="118">
        <f t="shared" si="2"/>
        <v>0</v>
      </c>
      <c r="AP26" s="5">
        <v>0</v>
      </c>
      <c r="AQ26" s="127">
        <f t="shared" si="3"/>
        <v>0</v>
      </c>
      <c r="AR26" s="5">
        <v>0</v>
      </c>
      <c r="AS26" s="118">
        <f t="shared" si="4"/>
        <v>0</v>
      </c>
      <c r="AT26" s="5">
        <v>0</v>
      </c>
      <c r="AU26" s="118">
        <f t="shared" si="5"/>
        <v>0</v>
      </c>
      <c r="AV26" s="5">
        <v>0</v>
      </c>
      <c r="AW26" s="127">
        <f t="shared" si="6"/>
        <v>0</v>
      </c>
      <c r="AX26" s="105">
        <v>0</v>
      </c>
      <c r="AY26" s="118">
        <f t="shared" si="7"/>
        <v>0</v>
      </c>
      <c r="AZ26" s="105">
        <v>0</v>
      </c>
      <c r="BA26" s="118">
        <f t="shared" si="8"/>
        <v>0</v>
      </c>
      <c r="BB26" s="5">
        <v>0</v>
      </c>
      <c r="BC26" s="127">
        <f t="shared" si="9"/>
        <v>0</v>
      </c>
      <c r="BD26" s="105">
        <v>0</v>
      </c>
      <c r="BE26" s="118">
        <f t="shared" si="10"/>
        <v>0</v>
      </c>
      <c r="BF26" s="5">
        <v>0</v>
      </c>
      <c r="BG26" s="118">
        <f t="shared" si="11"/>
        <v>0</v>
      </c>
      <c r="BH26" s="5">
        <v>0</v>
      </c>
      <c r="BI26" s="127">
        <f t="shared" si="12"/>
        <v>0</v>
      </c>
      <c r="BJ26" s="220" t="s">
        <v>480</v>
      </c>
      <c r="BL26" s="1" t="s">
        <v>455</v>
      </c>
      <c r="BM26" s="220" t="s">
        <v>487</v>
      </c>
      <c r="BN26" s="233"/>
      <c r="BO26" s="234"/>
    </row>
    <row r="27" spans="1:67">
      <c r="A27" s="219" t="s">
        <v>823</v>
      </c>
      <c r="B27" s="106" t="s">
        <v>354</v>
      </c>
      <c r="C27" s="66" t="s">
        <v>175</v>
      </c>
      <c r="D27" s="284"/>
      <c r="E27" s="136" t="s">
        <v>176</v>
      </c>
      <c r="F27" s="295"/>
      <c r="G27" s="86" t="s">
        <v>187</v>
      </c>
      <c r="H27" s="85" t="s">
        <v>479</v>
      </c>
      <c r="I27" s="85" t="s">
        <v>180</v>
      </c>
      <c r="J27" s="86" t="s">
        <v>191</v>
      </c>
      <c r="K27" s="85" t="s">
        <v>181</v>
      </c>
      <c r="L27" s="84" t="s">
        <v>185</v>
      </c>
      <c r="M27" s="83" t="s">
        <v>465</v>
      </c>
      <c r="N27" s="10">
        <v>4.07</v>
      </c>
      <c r="O27" s="10">
        <v>4.07</v>
      </c>
      <c r="P27" s="10">
        <v>4.07</v>
      </c>
      <c r="Q27" s="10">
        <v>4.07</v>
      </c>
      <c r="R27" s="10">
        <v>4.07</v>
      </c>
      <c r="S27" s="10">
        <v>4.07</v>
      </c>
      <c r="T27" s="10">
        <v>4.07</v>
      </c>
      <c r="U27" s="10">
        <v>4.07</v>
      </c>
      <c r="V27" s="10">
        <v>4.07</v>
      </c>
      <c r="W27" s="10">
        <v>4.07</v>
      </c>
      <c r="X27" s="10">
        <v>4.07</v>
      </c>
      <c r="Y27" s="257">
        <v>4.07</v>
      </c>
      <c r="Z27" s="10">
        <v>0.45</v>
      </c>
      <c r="AA27" s="10">
        <v>0.45</v>
      </c>
      <c r="AB27" s="10">
        <v>0.45</v>
      </c>
      <c r="AC27" s="10">
        <v>0.45</v>
      </c>
      <c r="AD27" s="10">
        <v>0.45</v>
      </c>
      <c r="AE27" s="10">
        <v>0.45</v>
      </c>
      <c r="AF27" s="10">
        <v>0.45</v>
      </c>
      <c r="AG27" s="10">
        <v>0.45</v>
      </c>
      <c r="AH27" s="10">
        <v>0.45</v>
      </c>
      <c r="AI27" s="10">
        <v>0.45</v>
      </c>
      <c r="AJ27" s="10">
        <v>0.45</v>
      </c>
      <c r="AK27" s="257">
        <v>0.45</v>
      </c>
      <c r="AL27" s="5">
        <v>0</v>
      </c>
      <c r="AM27" s="118">
        <f t="shared" si="13"/>
        <v>0</v>
      </c>
      <c r="AN27" s="5">
        <v>0</v>
      </c>
      <c r="AO27" s="118">
        <f t="shared" si="2"/>
        <v>0</v>
      </c>
      <c r="AP27" s="5">
        <v>0</v>
      </c>
      <c r="AQ27" s="127">
        <f t="shared" si="3"/>
        <v>0</v>
      </c>
      <c r="AR27" s="5">
        <v>280</v>
      </c>
      <c r="AS27" s="118">
        <f t="shared" si="4"/>
        <v>126</v>
      </c>
      <c r="AT27" s="5">
        <v>0</v>
      </c>
      <c r="AU27" s="118">
        <f t="shared" si="5"/>
        <v>0</v>
      </c>
      <c r="AV27" s="5">
        <v>0</v>
      </c>
      <c r="AW27" s="127">
        <f t="shared" si="6"/>
        <v>0</v>
      </c>
      <c r="AX27" s="105">
        <v>0</v>
      </c>
      <c r="AY27" s="118">
        <f t="shared" si="7"/>
        <v>0</v>
      </c>
      <c r="AZ27" s="105">
        <v>0</v>
      </c>
      <c r="BA27" s="118">
        <f t="shared" si="8"/>
        <v>0</v>
      </c>
      <c r="BB27" s="5">
        <v>0</v>
      </c>
      <c r="BC27" s="127">
        <f t="shared" si="9"/>
        <v>0</v>
      </c>
      <c r="BD27" s="105">
        <v>0</v>
      </c>
      <c r="BE27" s="118">
        <f t="shared" si="10"/>
        <v>0</v>
      </c>
      <c r="BF27" s="5">
        <v>0</v>
      </c>
      <c r="BG27" s="118">
        <f t="shared" si="11"/>
        <v>0</v>
      </c>
      <c r="BH27" s="5">
        <v>0</v>
      </c>
      <c r="BI27" s="127">
        <f t="shared" si="12"/>
        <v>0</v>
      </c>
      <c r="BJ27" s="220" t="s">
        <v>488</v>
      </c>
      <c r="BL27" s="1" t="s">
        <v>455</v>
      </c>
      <c r="BM27" s="1" t="s">
        <v>481</v>
      </c>
      <c r="BN27" s="233"/>
      <c r="BO27" s="234"/>
    </row>
    <row r="28" spans="1:67">
      <c r="A28" s="219" t="s">
        <v>823</v>
      </c>
      <c r="B28" s="106" t="s">
        <v>354</v>
      </c>
      <c r="C28" s="66" t="s">
        <v>175</v>
      </c>
      <c r="D28" s="284"/>
      <c r="E28" s="136" t="s">
        <v>176</v>
      </c>
      <c r="F28" s="295"/>
      <c r="G28" s="86" t="s">
        <v>187</v>
      </c>
      <c r="H28" s="85" t="s">
        <v>479</v>
      </c>
      <c r="I28" s="85" t="s">
        <v>180</v>
      </c>
      <c r="J28" s="86" t="s">
        <v>191</v>
      </c>
      <c r="K28" s="85" t="s">
        <v>181</v>
      </c>
      <c r="L28" s="84" t="s">
        <v>185</v>
      </c>
      <c r="M28" s="83" t="s">
        <v>465</v>
      </c>
      <c r="N28" s="10">
        <v>4.07</v>
      </c>
      <c r="O28" s="10">
        <v>4.07</v>
      </c>
      <c r="P28" s="10">
        <v>4.07</v>
      </c>
      <c r="Q28" s="10">
        <v>4.07</v>
      </c>
      <c r="R28" s="10">
        <v>4.07</v>
      </c>
      <c r="S28" s="10">
        <v>4.07</v>
      </c>
      <c r="T28" s="10">
        <v>4.07</v>
      </c>
      <c r="U28" s="10">
        <v>4.07</v>
      </c>
      <c r="V28" s="10">
        <v>4.07</v>
      </c>
      <c r="W28" s="10">
        <v>4.07</v>
      </c>
      <c r="X28" s="10">
        <v>4.07</v>
      </c>
      <c r="Y28" s="257">
        <v>4.07</v>
      </c>
      <c r="Z28" s="10">
        <v>0.45</v>
      </c>
      <c r="AA28" s="10">
        <v>0.45</v>
      </c>
      <c r="AB28" s="10">
        <v>0.45</v>
      </c>
      <c r="AC28" s="10">
        <v>0.45</v>
      </c>
      <c r="AD28" s="10">
        <v>0.45</v>
      </c>
      <c r="AE28" s="10">
        <v>0.45</v>
      </c>
      <c r="AF28" s="10">
        <v>0.45</v>
      </c>
      <c r="AG28" s="10">
        <v>0.45</v>
      </c>
      <c r="AH28" s="10">
        <v>0.45</v>
      </c>
      <c r="AI28" s="10">
        <v>0.45</v>
      </c>
      <c r="AJ28" s="10">
        <v>0.45</v>
      </c>
      <c r="AK28" s="257">
        <v>0.45</v>
      </c>
      <c r="AL28" s="5">
        <v>0</v>
      </c>
      <c r="AM28" s="118">
        <f t="shared" si="13"/>
        <v>0</v>
      </c>
      <c r="AN28" s="5">
        <v>0</v>
      </c>
      <c r="AO28" s="118">
        <f t="shared" si="2"/>
        <v>0</v>
      </c>
      <c r="AP28" s="5">
        <v>0</v>
      </c>
      <c r="AQ28" s="127">
        <f t="shared" si="3"/>
        <v>0</v>
      </c>
      <c r="AR28" s="5">
        <v>0</v>
      </c>
      <c r="AS28" s="118">
        <f t="shared" si="4"/>
        <v>0</v>
      </c>
      <c r="AT28" s="5">
        <v>0</v>
      </c>
      <c r="AU28" s="118">
        <f t="shared" si="5"/>
        <v>0</v>
      </c>
      <c r="AV28" s="5">
        <v>0</v>
      </c>
      <c r="AW28" s="127">
        <f t="shared" si="6"/>
        <v>0</v>
      </c>
      <c r="AX28" s="105">
        <v>0</v>
      </c>
      <c r="AY28" s="118">
        <f t="shared" si="7"/>
        <v>0</v>
      </c>
      <c r="AZ28" s="105">
        <v>0</v>
      </c>
      <c r="BA28" s="118">
        <f t="shared" si="8"/>
        <v>0</v>
      </c>
      <c r="BB28" s="5">
        <v>0</v>
      </c>
      <c r="BC28" s="127">
        <f t="shared" si="9"/>
        <v>0</v>
      </c>
      <c r="BD28" s="105">
        <v>0</v>
      </c>
      <c r="BE28" s="118">
        <f t="shared" si="10"/>
        <v>0</v>
      </c>
      <c r="BF28" s="5">
        <v>0</v>
      </c>
      <c r="BG28" s="118">
        <f t="shared" si="11"/>
        <v>0</v>
      </c>
      <c r="BH28" s="5">
        <v>0</v>
      </c>
      <c r="BI28" s="127">
        <f t="shared" si="12"/>
        <v>0</v>
      </c>
      <c r="BJ28" s="220" t="s">
        <v>488</v>
      </c>
      <c r="BL28" s="1" t="s">
        <v>455</v>
      </c>
      <c r="BM28" s="1" t="s">
        <v>483</v>
      </c>
      <c r="BN28" s="233"/>
      <c r="BO28" s="234"/>
    </row>
    <row r="29" spans="1:67">
      <c r="A29" s="219" t="s">
        <v>823</v>
      </c>
      <c r="B29" s="106" t="s">
        <v>354</v>
      </c>
      <c r="C29" s="66" t="s">
        <v>175</v>
      </c>
      <c r="D29" s="284"/>
      <c r="E29" s="136" t="s">
        <v>176</v>
      </c>
      <c r="F29" s="295"/>
      <c r="G29" s="86" t="s">
        <v>187</v>
      </c>
      <c r="H29" s="85" t="s">
        <v>479</v>
      </c>
      <c r="I29" s="85" t="s">
        <v>180</v>
      </c>
      <c r="J29" s="86" t="s">
        <v>191</v>
      </c>
      <c r="K29" s="85" t="s">
        <v>181</v>
      </c>
      <c r="L29" s="84" t="s">
        <v>185</v>
      </c>
      <c r="M29" s="83" t="s">
        <v>465</v>
      </c>
      <c r="N29" s="10">
        <v>4.07</v>
      </c>
      <c r="O29" s="10">
        <v>4.07</v>
      </c>
      <c r="P29" s="10">
        <v>4.07</v>
      </c>
      <c r="Q29" s="10">
        <v>4.07</v>
      </c>
      <c r="R29" s="10">
        <v>4.07</v>
      </c>
      <c r="S29" s="10">
        <v>4.07</v>
      </c>
      <c r="T29" s="10">
        <v>4.07</v>
      </c>
      <c r="U29" s="10">
        <v>4.07</v>
      </c>
      <c r="V29" s="10">
        <v>4.07</v>
      </c>
      <c r="W29" s="10">
        <v>4.07</v>
      </c>
      <c r="X29" s="10">
        <v>4.07</v>
      </c>
      <c r="Y29" s="257">
        <v>4.07</v>
      </c>
      <c r="Z29" s="10">
        <v>0.45</v>
      </c>
      <c r="AA29" s="10">
        <v>0.45</v>
      </c>
      <c r="AB29" s="10">
        <v>0.45</v>
      </c>
      <c r="AC29" s="10">
        <v>0.45</v>
      </c>
      <c r="AD29" s="10">
        <v>0.45</v>
      </c>
      <c r="AE29" s="10">
        <v>0.45</v>
      </c>
      <c r="AF29" s="10">
        <v>0.45</v>
      </c>
      <c r="AG29" s="10">
        <v>0.45</v>
      </c>
      <c r="AH29" s="10">
        <v>0.45</v>
      </c>
      <c r="AI29" s="10">
        <v>0.45</v>
      </c>
      <c r="AJ29" s="10">
        <v>0.45</v>
      </c>
      <c r="AK29" s="257">
        <v>0.45</v>
      </c>
      <c r="AL29" s="5">
        <v>320</v>
      </c>
      <c r="AM29" s="118">
        <f t="shared" si="13"/>
        <v>144</v>
      </c>
      <c r="AN29" s="5">
        <v>260</v>
      </c>
      <c r="AO29" s="118">
        <f t="shared" si="2"/>
        <v>117</v>
      </c>
      <c r="AP29" s="5">
        <v>0</v>
      </c>
      <c r="AQ29" s="127">
        <f t="shared" si="3"/>
        <v>0</v>
      </c>
      <c r="AR29" s="5">
        <v>0</v>
      </c>
      <c r="AS29" s="118">
        <f t="shared" si="4"/>
        <v>0</v>
      </c>
      <c r="AT29" s="5">
        <v>0</v>
      </c>
      <c r="AU29" s="118">
        <f t="shared" si="5"/>
        <v>0</v>
      </c>
      <c r="AV29" s="5">
        <v>0</v>
      </c>
      <c r="AW29" s="127">
        <f t="shared" si="6"/>
        <v>0</v>
      </c>
      <c r="AX29" s="105">
        <v>0</v>
      </c>
      <c r="AY29" s="118">
        <f t="shared" si="7"/>
        <v>0</v>
      </c>
      <c r="AZ29" s="105">
        <v>0</v>
      </c>
      <c r="BA29" s="118">
        <f t="shared" si="8"/>
        <v>0</v>
      </c>
      <c r="BB29" s="5">
        <v>0</v>
      </c>
      <c r="BC29" s="127">
        <f t="shared" si="9"/>
        <v>0</v>
      </c>
      <c r="BD29" s="105">
        <v>0</v>
      </c>
      <c r="BE29" s="118">
        <f t="shared" si="10"/>
        <v>0</v>
      </c>
      <c r="BF29" s="5">
        <v>0</v>
      </c>
      <c r="BG29" s="118">
        <f t="shared" si="11"/>
        <v>0</v>
      </c>
      <c r="BH29" s="5">
        <v>0</v>
      </c>
      <c r="BI29" s="127">
        <f t="shared" si="12"/>
        <v>0</v>
      </c>
      <c r="BJ29" s="220" t="s">
        <v>488</v>
      </c>
      <c r="BL29" s="1" t="s">
        <v>455</v>
      </c>
      <c r="BM29" s="1" t="s">
        <v>484</v>
      </c>
      <c r="BN29" s="233"/>
      <c r="BO29" s="234"/>
    </row>
    <row r="30" spans="1:67">
      <c r="A30" s="219" t="s">
        <v>823</v>
      </c>
      <c r="B30" s="106" t="s">
        <v>354</v>
      </c>
      <c r="C30" s="66" t="s">
        <v>175</v>
      </c>
      <c r="D30" s="284"/>
      <c r="E30" s="136" t="s">
        <v>176</v>
      </c>
      <c r="F30" s="295"/>
      <c r="G30" s="86" t="s">
        <v>187</v>
      </c>
      <c r="H30" s="85" t="s">
        <v>479</v>
      </c>
      <c r="I30" s="85" t="s">
        <v>184</v>
      </c>
      <c r="J30" s="86" t="s">
        <v>191</v>
      </c>
      <c r="K30" s="85" t="s">
        <v>181</v>
      </c>
      <c r="L30" s="84" t="s">
        <v>185</v>
      </c>
      <c r="M30" s="83" t="s">
        <v>465</v>
      </c>
      <c r="N30" s="10">
        <v>9.1199999999999992</v>
      </c>
      <c r="O30" s="10">
        <v>9.1199999999999992</v>
      </c>
      <c r="P30" s="10">
        <v>9.1199999999999992</v>
      </c>
      <c r="Q30" s="10">
        <v>9.1199999999999992</v>
      </c>
      <c r="R30" s="10">
        <v>9.1199999999999992</v>
      </c>
      <c r="S30" s="10">
        <v>9.1199999999999992</v>
      </c>
      <c r="T30" s="10">
        <v>9.1199999999999992</v>
      </c>
      <c r="U30" s="10">
        <v>9.1199999999999992</v>
      </c>
      <c r="V30" s="10">
        <v>9.1199999999999992</v>
      </c>
      <c r="W30" s="10">
        <v>9.1199999999999992</v>
      </c>
      <c r="X30" s="10">
        <v>9.1199999999999992</v>
      </c>
      <c r="Y30" s="257">
        <v>9.1199999999999992</v>
      </c>
      <c r="Z30" s="10">
        <v>1.1399999999999999</v>
      </c>
      <c r="AA30" s="10">
        <v>1.1399999999999999</v>
      </c>
      <c r="AB30" s="10">
        <v>1.1399999999999999</v>
      </c>
      <c r="AC30" s="10">
        <v>1.1399999999999999</v>
      </c>
      <c r="AD30" s="10">
        <v>1.1399999999999999</v>
      </c>
      <c r="AE30" s="10">
        <v>1.1399999999999999</v>
      </c>
      <c r="AF30" s="10">
        <v>1.1399999999999999</v>
      </c>
      <c r="AG30" s="10">
        <v>1.1399999999999999</v>
      </c>
      <c r="AH30" s="10">
        <v>1.1399999999999999</v>
      </c>
      <c r="AI30" s="10">
        <v>1.1399999999999999</v>
      </c>
      <c r="AJ30" s="10">
        <v>1.1399999999999999</v>
      </c>
      <c r="AK30" s="257">
        <v>1.1399999999999999</v>
      </c>
      <c r="AL30" s="5">
        <v>0</v>
      </c>
      <c r="AM30" s="118">
        <f t="shared" si="13"/>
        <v>0</v>
      </c>
      <c r="AN30" s="5">
        <v>0</v>
      </c>
      <c r="AO30" s="118">
        <f t="shared" si="2"/>
        <v>0</v>
      </c>
      <c r="AP30" s="5">
        <v>0</v>
      </c>
      <c r="AQ30" s="127">
        <f t="shared" si="3"/>
        <v>0</v>
      </c>
      <c r="AR30" s="5">
        <v>967</v>
      </c>
      <c r="AS30" s="118">
        <f t="shared" si="4"/>
        <v>1102.3799999999999</v>
      </c>
      <c r="AT30" s="5">
        <v>400</v>
      </c>
      <c r="AU30" s="118">
        <f t="shared" si="5"/>
        <v>455.99999999999994</v>
      </c>
      <c r="AV30" s="5">
        <v>0</v>
      </c>
      <c r="AW30" s="127">
        <f t="shared" si="6"/>
        <v>0</v>
      </c>
      <c r="AX30" s="105">
        <v>0</v>
      </c>
      <c r="AY30" s="118">
        <f t="shared" si="7"/>
        <v>0</v>
      </c>
      <c r="AZ30" s="105">
        <v>0</v>
      </c>
      <c r="BA30" s="118">
        <f t="shared" si="8"/>
        <v>0</v>
      </c>
      <c r="BB30" s="5">
        <v>0</v>
      </c>
      <c r="BC30" s="127">
        <f t="shared" si="9"/>
        <v>0</v>
      </c>
      <c r="BD30" s="105">
        <v>0</v>
      </c>
      <c r="BE30" s="118">
        <f t="shared" si="10"/>
        <v>0</v>
      </c>
      <c r="BF30" s="5">
        <v>0</v>
      </c>
      <c r="BG30" s="118">
        <f t="shared" si="11"/>
        <v>0</v>
      </c>
      <c r="BH30" s="5">
        <v>0</v>
      </c>
      <c r="BI30" s="127">
        <f t="shared" si="12"/>
        <v>0</v>
      </c>
      <c r="BJ30" s="220" t="s">
        <v>489</v>
      </c>
      <c r="BL30" s="1" t="s">
        <v>455</v>
      </c>
      <c r="BM30" s="1" t="s">
        <v>490</v>
      </c>
      <c r="BN30" s="233"/>
      <c r="BO30" s="234"/>
    </row>
    <row r="31" spans="1:67">
      <c r="A31" s="219" t="s">
        <v>823</v>
      </c>
      <c r="B31" s="106" t="s">
        <v>354</v>
      </c>
      <c r="C31" s="66" t="s">
        <v>175</v>
      </c>
      <c r="D31" s="284"/>
      <c r="E31" s="136" t="s">
        <v>176</v>
      </c>
      <c r="F31" s="295"/>
      <c r="G31" s="86" t="s">
        <v>187</v>
      </c>
      <c r="H31" s="85" t="s">
        <v>479</v>
      </c>
      <c r="I31" s="85" t="s">
        <v>184</v>
      </c>
      <c r="J31" s="86" t="s">
        <v>191</v>
      </c>
      <c r="K31" s="85" t="s">
        <v>181</v>
      </c>
      <c r="L31" s="84" t="s">
        <v>185</v>
      </c>
      <c r="M31" s="83" t="s">
        <v>465</v>
      </c>
      <c r="N31" s="10">
        <v>9.1199999999999992</v>
      </c>
      <c r="O31" s="10">
        <v>9.1199999999999992</v>
      </c>
      <c r="P31" s="10">
        <v>9.1199999999999992</v>
      </c>
      <c r="Q31" s="10">
        <v>9.1199999999999992</v>
      </c>
      <c r="R31" s="10">
        <v>9.1199999999999992</v>
      </c>
      <c r="S31" s="10">
        <v>9.1199999999999992</v>
      </c>
      <c r="T31" s="10">
        <v>9.1199999999999992</v>
      </c>
      <c r="U31" s="10">
        <v>9.1199999999999992</v>
      </c>
      <c r="V31" s="10">
        <v>9.1199999999999992</v>
      </c>
      <c r="W31" s="10">
        <v>9.1199999999999992</v>
      </c>
      <c r="X31" s="10">
        <v>9.1199999999999992</v>
      </c>
      <c r="Y31" s="257">
        <v>9.1199999999999992</v>
      </c>
      <c r="Z31" s="10">
        <v>1.1399999999999999</v>
      </c>
      <c r="AA31" s="10">
        <v>1.1399999999999999</v>
      </c>
      <c r="AB31" s="10">
        <v>1.1399999999999999</v>
      </c>
      <c r="AC31" s="10">
        <v>1.1399999999999999</v>
      </c>
      <c r="AD31" s="10">
        <v>1.1399999999999999</v>
      </c>
      <c r="AE31" s="10">
        <v>1.1399999999999999</v>
      </c>
      <c r="AF31" s="10">
        <v>1.1399999999999999</v>
      </c>
      <c r="AG31" s="10">
        <v>1.1399999999999999</v>
      </c>
      <c r="AH31" s="10">
        <v>1.1399999999999999</v>
      </c>
      <c r="AI31" s="10">
        <v>1.1399999999999999</v>
      </c>
      <c r="AJ31" s="10">
        <v>1.1399999999999999</v>
      </c>
      <c r="AK31" s="257">
        <v>1.1399999999999999</v>
      </c>
      <c r="AL31" s="5">
        <v>0</v>
      </c>
      <c r="AM31" s="118">
        <f t="shared" si="13"/>
        <v>0</v>
      </c>
      <c r="AN31" s="5">
        <v>0</v>
      </c>
      <c r="AO31" s="118">
        <f t="shared" si="2"/>
        <v>0</v>
      </c>
      <c r="AP31" s="5">
        <v>0</v>
      </c>
      <c r="AQ31" s="127">
        <f t="shared" si="3"/>
        <v>0</v>
      </c>
      <c r="AR31" s="5">
        <v>0</v>
      </c>
      <c r="AS31" s="118">
        <f t="shared" si="4"/>
        <v>0</v>
      </c>
      <c r="AT31" s="5">
        <v>40</v>
      </c>
      <c r="AU31" s="118">
        <f t="shared" si="5"/>
        <v>45.599999999999994</v>
      </c>
      <c r="AV31" s="5">
        <v>0</v>
      </c>
      <c r="AW31" s="127">
        <f t="shared" si="6"/>
        <v>0</v>
      </c>
      <c r="AX31" s="105">
        <v>0</v>
      </c>
      <c r="AY31" s="118">
        <f t="shared" si="7"/>
        <v>0</v>
      </c>
      <c r="AZ31" s="105">
        <v>0</v>
      </c>
      <c r="BA31" s="118">
        <f t="shared" si="8"/>
        <v>0</v>
      </c>
      <c r="BB31" s="5">
        <v>0</v>
      </c>
      <c r="BC31" s="127">
        <f t="shared" si="9"/>
        <v>0</v>
      </c>
      <c r="BD31" s="105">
        <v>0</v>
      </c>
      <c r="BE31" s="118">
        <f t="shared" si="10"/>
        <v>0</v>
      </c>
      <c r="BF31" s="5">
        <v>0</v>
      </c>
      <c r="BG31" s="118">
        <f t="shared" si="11"/>
        <v>0</v>
      </c>
      <c r="BH31" s="5">
        <v>0</v>
      </c>
      <c r="BI31" s="127">
        <f t="shared" si="12"/>
        <v>0</v>
      </c>
      <c r="BJ31" s="220" t="s">
        <v>489</v>
      </c>
      <c r="BL31" s="1" t="s">
        <v>455</v>
      </c>
      <c r="BM31" s="1" t="s">
        <v>481</v>
      </c>
      <c r="BN31" s="233"/>
      <c r="BO31" s="234"/>
    </row>
    <row r="32" spans="1:67">
      <c r="A32" s="219" t="s">
        <v>823</v>
      </c>
      <c r="B32" s="106" t="s">
        <v>354</v>
      </c>
      <c r="C32" s="66" t="s">
        <v>175</v>
      </c>
      <c r="D32" s="284"/>
      <c r="E32" s="136" t="s">
        <v>176</v>
      </c>
      <c r="F32" s="295"/>
      <c r="G32" s="86" t="s">
        <v>187</v>
      </c>
      <c r="H32" s="85" t="s">
        <v>479</v>
      </c>
      <c r="I32" s="85" t="s">
        <v>184</v>
      </c>
      <c r="J32" s="86" t="s">
        <v>191</v>
      </c>
      <c r="K32" s="85" t="s">
        <v>181</v>
      </c>
      <c r="L32" s="84" t="s">
        <v>185</v>
      </c>
      <c r="M32" s="83" t="s">
        <v>465</v>
      </c>
      <c r="N32" s="10">
        <v>9.1199999999999992</v>
      </c>
      <c r="O32" s="10">
        <v>9.1199999999999992</v>
      </c>
      <c r="P32" s="10">
        <v>9.1199999999999992</v>
      </c>
      <c r="Q32" s="10">
        <v>9.1199999999999992</v>
      </c>
      <c r="R32" s="10">
        <v>9.1199999999999992</v>
      </c>
      <c r="S32" s="10">
        <v>9.1199999999999992</v>
      </c>
      <c r="T32" s="10">
        <v>9.1199999999999992</v>
      </c>
      <c r="U32" s="10">
        <v>9.1199999999999992</v>
      </c>
      <c r="V32" s="10">
        <v>9.1199999999999992</v>
      </c>
      <c r="W32" s="10">
        <v>9.1199999999999992</v>
      </c>
      <c r="X32" s="10">
        <v>9.1199999999999992</v>
      </c>
      <c r="Y32" s="257">
        <v>9.1199999999999992</v>
      </c>
      <c r="Z32" s="10">
        <v>1.1399999999999999</v>
      </c>
      <c r="AA32" s="10">
        <v>1.1399999999999999</v>
      </c>
      <c r="AB32" s="10">
        <v>1.1399999999999999</v>
      </c>
      <c r="AC32" s="10">
        <v>1.1399999999999999</v>
      </c>
      <c r="AD32" s="10">
        <v>1.1399999999999999</v>
      </c>
      <c r="AE32" s="10">
        <v>1.1399999999999999</v>
      </c>
      <c r="AF32" s="10">
        <v>1.1399999999999999</v>
      </c>
      <c r="AG32" s="10">
        <v>1.1399999999999999</v>
      </c>
      <c r="AH32" s="10">
        <v>1.1399999999999999</v>
      </c>
      <c r="AI32" s="10">
        <v>1.1399999999999999</v>
      </c>
      <c r="AJ32" s="10">
        <v>1.1399999999999999</v>
      </c>
      <c r="AK32" s="257">
        <v>1.1399999999999999</v>
      </c>
      <c r="AL32" s="5">
        <v>6482</v>
      </c>
      <c r="AM32" s="118">
        <f t="shared" si="13"/>
        <v>7389.48</v>
      </c>
      <c r="AN32" s="5">
        <f>1640+2847</f>
        <v>4487</v>
      </c>
      <c r="AO32" s="118">
        <f t="shared" si="2"/>
        <v>5115.1799999999994</v>
      </c>
      <c r="AP32" s="5">
        <v>8101</v>
      </c>
      <c r="AQ32" s="127">
        <f t="shared" si="3"/>
        <v>9235.14</v>
      </c>
      <c r="AR32" s="5">
        <v>2160</v>
      </c>
      <c r="AS32" s="118">
        <f t="shared" si="4"/>
        <v>2462.3999999999996</v>
      </c>
      <c r="AT32" s="5">
        <v>0</v>
      </c>
      <c r="AU32" s="118">
        <f t="shared" si="5"/>
        <v>0</v>
      </c>
      <c r="AV32" s="5">
        <v>0</v>
      </c>
      <c r="AW32" s="127">
        <f t="shared" si="6"/>
        <v>0</v>
      </c>
      <c r="AX32" s="105">
        <v>0</v>
      </c>
      <c r="AY32" s="118">
        <f t="shared" si="7"/>
        <v>0</v>
      </c>
      <c r="AZ32" s="105">
        <v>0</v>
      </c>
      <c r="BA32" s="118">
        <f t="shared" si="8"/>
        <v>0</v>
      </c>
      <c r="BB32" s="5">
        <v>0</v>
      </c>
      <c r="BC32" s="127">
        <f t="shared" si="9"/>
        <v>0</v>
      </c>
      <c r="BD32" s="105">
        <v>0</v>
      </c>
      <c r="BE32" s="118">
        <f t="shared" si="10"/>
        <v>0</v>
      </c>
      <c r="BF32" s="5">
        <v>0</v>
      </c>
      <c r="BG32" s="118">
        <f t="shared" si="11"/>
        <v>0</v>
      </c>
      <c r="BH32" s="5">
        <v>0</v>
      </c>
      <c r="BI32" s="127">
        <f t="shared" si="12"/>
        <v>0</v>
      </c>
      <c r="BJ32" s="220" t="s">
        <v>489</v>
      </c>
      <c r="BL32" s="1" t="s">
        <v>455</v>
      </c>
      <c r="BM32" s="1" t="s">
        <v>491</v>
      </c>
      <c r="BN32" s="233"/>
      <c r="BO32" s="234"/>
    </row>
    <row r="33" spans="1:67">
      <c r="A33" s="219" t="s">
        <v>823</v>
      </c>
      <c r="B33" s="106" t="s">
        <v>354</v>
      </c>
      <c r="C33" s="66" t="s">
        <v>175</v>
      </c>
      <c r="D33" s="284"/>
      <c r="E33" s="136" t="s">
        <v>176</v>
      </c>
      <c r="F33" s="295"/>
      <c r="G33" s="86" t="s">
        <v>187</v>
      </c>
      <c r="H33" s="85" t="s">
        <v>479</v>
      </c>
      <c r="I33" s="85" t="s">
        <v>184</v>
      </c>
      <c r="J33" s="86" t="s">
        <v>191</v>
      </c>
      <c r="K33" s="85" t="s">
        <v>181</v>
      </c>
      <c r="L33" s="84" t="s">
        <v>185</v>
      </c>
      <c r="M33" s="83" t="s">
        <v>465</v>
      </c>
      <c r="N33" s="10">
        <v>9.1199999999999992</v>
      </c>
      <c r="O33" s="10">
        <v>9.1199999999999992</v>
      </c>
      <c r="P33" s="10">
        <v>9.1199999999999992</v>
      </c>
      <c r="Q33" s="10">
        <v>9.1199999999999992</v>
      </c>
      <c r="R33" s="10">
        <v>9.1199999999999992</v>
      </c>
      <c r="S33" s="10">
        <v>9.1199999999999992</v>
      </c>
      <c r="T33" s="10">
        <v>9.1199999999999992</v>
      </c>
      <c r="U33" s="10">
        <v>9.1199999999999992</v>
      </c>
      <c r="V33" s="10">
        <v>9.1199999999999992</v>
      </c>
      <c r="W33" s="10">
        <v>9.1199999999999992</v>
      </c>
      <c r="X33" s="10">
        <v>9.1199999999999992</v>
      </c>
      <c r="Y33" s="257">
        <v>9.1199999999999992</v>
      </c>
      <c r="Z33" s="10">
        <v>1.1399999999999999</v>
      </c>
      <c r="AA33" s="10">
        <v>1.1399999999999999</v>
      </c>
      <c r="AB33" s="10">
        <v>1.1399999999999999</v>
      </c>
      <c r="AC33" s="10">
        <v>1.1399999999999999</v>
      </c>
      <c r="AD33" s="10">
        <v>1.1399999999999999</v>
      </c>
      <c r="AE33" s="10">
        <v>1.1399999999999999</v>
      </c>
      <c r="AF33" s="10">
        <v>1.1399999999999999</v>
      </c>
      <c r="AG33" s="10">
        <v>1.1399999999999999</v>
      </c>
      <c r="AH33" s="10">
        <v>1.1399999999999999</v>
      </c>
      <c r="AI33" s="10">
        <v>1.1399999999999999</v>
      </c>
      <c r="AJ33" s="10">
        <v>1.1399999999999999</v>
      </c>
      <c r="AK33" s="257">
        <v>1.1399999999999999</v>
      </c>
      <c r="AL33" s="5">
        <v>0</v>
      </c>
      <c r="AM33" s="118">
        <f t="shared" si="13"/>
        <v>0</v>
      </c>
      <c r="AN33" s="5">
        <v>200</v>
      </c>
      <c r="AO33" s="118">
        <f t="shared" si="2"/>
        <v>227.99999999999997</v>
      </c>
      <c r="AP33" s="5">
        <v>40</v>
      </c>
      <c r="AQ33" s="127">
        <f t="shared" si="3"/>
        <v>45.599999999999994</v>
      </c>
      <c r="AR33" s="5">
        <v>0</v>
      </c>
      <c r="AS33" s="118">
        <f t="shared" si="4"/>
        <v>0</v>
      </c>
      <c r="AT33" s="5">
        <v>0</v>
      </c>
      <c r="AU33" s="118">
        <f t="shared" si="5"/>
        <v>0</v>
      </c>
      <c r="AV33" s="5">
        <v>0</v>
      </c>
      <c r="AW33" s="127">
        <f t="shared" si="6"/>
        <v>0</v>
      </c>
      <c r="AX33" s="105">
        <v>0</v>
      </c>
      <c r="AY33" s="118">
        <f t="shared" si="7"/>
        <v>0</v>
      </c>
      <c r="AZ33" s="105">
        <v>0</v>
      </c>
      <c r="BA33" s="118">
        <f t="shared" si="8"/>
        <v>0</v>
      </c>
      <c r="BB33" s="5">
        <v>0</v>
      </c>
      <c r="BC33" s="127">
        <f t="shared" si="9"/>
        <v>0</v>
      </c>
      <c r="BD33" s="105">
        <v>0</v>
      </c>
      <c r="BE33" s="118">
        <f t="shared" si="10"/>
        <v>0</v>
      </c>
      <c r="BF33" s="5">
        <v>0</v>
      </c>
      <c r="BG33" s="118">
        <f t="shared" si="11"/>
        <v>0</v>
      </c>
      <c r="BH33" s="5">
        <v>0</v>
      </c>
      <c r="BI33" s="127">
        <f t="shared" si="12"/>
        <v>0</v>
      </c>
      <c r="BJ33" s="220" t="s">
        <v>489</v>
      </c>
      <c r="BL33" s="1" t="s">
        <v>455</v>
      </c>
      <c r="BM33" s="1" t="s">
        <v>492</v>
      </c>
      <c r="BN33" s="233"/>
      <c r="BO33" s="234"/>
    </row>
    <row r="34" spans="1:67">
      <c r="A34" s="219" t="s">
        <v>823</v>
      </c>
      <c r="B34" s="106" t="s">
        <v>354</v>
      </c>
      <c r="C34" s="66" t="s">
        <v>175</v>
      </c>
      <c r="D34" s="284"/>
      <c r="E34" s="136" t="s">
        <v>176</v>
      </c>
      <c r="F34" s="295"/>
      <c r="G34" s="86" t="s">
        <v>187</v>
      </c>
      <c r="H34" s="85" t="s">
        <v>479</v>
      </c>
      <c r="I34" s="85" t="s">
        <v>184</v>
      </c>
      <c r="J34" s="86" t="s">
        <v>191</v>
      </c>
      <c r="K34" s="85" t="s">
        <v>181</v>
      </c>
      <c r="L34" s="84" t="s">
        <v>185</v>
      </c>
      <c r="M34" s="83" t="s">
        <v>465</v>
      </c>
      <c r="N34" s="10">
        <v>9.1199999999999992</v>
      </c>
      <c r="O34" s="10">
        <v>9.1199999999999992</v>
      </c>
      <c r="P34" s="10">
        <v>9.1199999999999992</v>
      </c>
      <c r="Q34" s="10">
        <v>9.1199999999999992</v>
      </c>
      <c r="R34" s="10">
        <v>9.1199999999999992</v>
      </c>
      <c r="S34" s="10">
        <v>9.1199999999999992</v>
      </c>
      <c r="T34" s="10">
        <v>9.1199999999999992</v>
      </c>
      <c r="U34" s="10">
        <v>9.1199999999999992</v>
      </c>
      <c r="V34" s="10">
        <v>9.1199999999999992</v>
      </c>
      <c r="W34" s="10">
        <v>9.1199999999999992</v>
      </c>
      <c r="X34" s="10">
        <v>9.1199999999999992</v>
      </c>
      <c r="Y34" s="257">
        <v>9.1199999999999992</v>
      </c>
      <c r="Z34" s="10">
        <v>1.1399999999999999</v>
      </c>
      <c r="AA34" s="10">
        <v>1.1399999999999999</v>
      </c>
      <c r="AB34" s="10">
        <v>1.1399999999999999</v>
      </c>
      <c r="AC34" s="10">
        <v>1.1399999999999999</v>
      </c>
      <c r="AD34" s="10">
        <v>1.1399999999999999</v>
      </c>
      <c r="AE34" s="10">
        <v>1.1399999999999999</v>
      </c>
      <c r="AF34" s="10">
        <v>1.1399999999999999</v>
      </c>
      <c r="AG34" s="10">
        <v>1.1399999999999999</v>
      </c>
      <c r="AH34" s="10">
        <v>1.1399999999999999</v>
      </c>
      <c r="AI34" s="10">
        <v>1.1399999999999999</v>
      </c>
      <c r="AJ34" s="10">
        <v>1.1399999999999999</v>
      </c>
      <c r="AK34" s="257">
        <v>1.1399999999999999</v>
      </c>
      <c r="AL34" s="5">
        <v>0</v>
      </c>
      <c r="AM34" s="118">
        <f t="shared" si="13"/>
        <v>0</v>
      </c>
      <c r="AN34" s="5">
        <f>360+40</f>
        <v>400</v>
      </c>
      <c r="AO34" s="118">
        <f t="shared" si="2"/>
        <v>455.99999999999994</v>
      </c>
      <c r="AP34" s="5">
        <v>320</v>
      </c>
      <c r="AQ34" s="127">
        <f t="shared" si="3"/>
        <v>364.79999999999995</v>
      </c>
      <c r="AR34" s="5">
        <v>200</v>
      </c>
      <c r="AS34" s="118">
        <f t="shared" si="4"/>
        <v>227.99999999999997</v>
      </c>
      <c r="AT34" s="5">
        <v>0</v>
      </c>
      <c r="AU34" s="118">
        <f t="shared" si="5"/>
        <v>0</v>
      </c>
      <c r="AV34" s="5">
        <v>0</v>
      </c>
      <c r="AW34" s="127">
        <f t="shared" si="6"/>
        <v>0</v>
      </c>
      <c r="AX34" s="105">
        <v>0</v>
      </c>
      <c r="AY34" s="118">
        <f t="shared" si="7"/>
        <v>0</v>
      </c>
      <c r="AZ34" s="105">
        <v>0</v>
      </c>
      <c r="BA34" s="118">
        <f t="shared" si="8"/>
        <v>0</v>
      </c>
      <c r="BB34" s="5">
        <v>0</v>
      </c>
      <c r="BC34" s="127">
        <f t="shared" si="9"/>
        <v>0</v>
      </c>
      <c r="BD34" s="105">
        <v>0</v>
      </c>
      <c r="BE34" s="118">
        <f t="shared" si="10"/>
        <v>0</v>
      </c>
      <c r="BF34" s="5">
        <v>0</v>
      </c>
      <c r="BG34" s="118">
        <f t="shared" si="11"/>
        <v>0</v>
      </c>
      <c r="BH34" s="5">
        <v>0</v>
      </c>
      <c r="BI34" s="127">
        <f t="shared" si="12"/>
        <v>0</v>
      </c>
      <c r="BJ34" s="220" t="s">
        <v>489</v>
      </c>
      <c r="BL34" s="1" t="s">
        <v>455</v>
      </c>
      <c r="BM34" s="1" t="s">
        <v>493</v>
      </c>
      <c r="BN34" s="233"/>
      <c r="BO34" s="234"/>
    </row>
    <row r="35" spans="1:67">
      <c r="A35" s="219" t="s">
        <v>823</v>
      </c>
      <c r="B35" s="106" t="s">
        <v>354</v>
      </c>
      <c r="C35" s="66" t="s">
        <v>175</v>
      </c>
      <c r="D35" s="284"/>
      <c r="E35" s="136" t="s">
        <v>176</v>
      </c>
      <c r="F35" s="295"/>
      <c r="G35" s="86" t="s">
        <v>187</v>
      </c>
      <c r="H35" s="85" t="s">
        <v>479</v>
      </c>
      <c r="I35" s="85" t="s">
        <v>184</v>
      </c>
      <c r="J35" s="86" t="s">
        <v>191</v>
      </c>
      <c r="K35" s="85" t="s">
        <v>181</v>
      </c>
      <c r="L35" s="84" t="s">
        <v>185</v>
      </c>
      <c r="M35" s="83" t="s">
        <v>465</v>
      </c>
      <c r="N35" s="10">
        <v>9.1199999999999992</v>
      </c>
      <c r="O35" s="10">
        <v>9.1199999999999992</v>
      </c>
      <c r="P35" s="10">
        <v>9.1199999999999992</v>
      </c>
      <c r="Q35" s="10">
        <v>9.1199999999999992</v>
      </c>
      <c r="R35" s="10">
        <v>9.1199999999999992</v>
      </c>
      <c r="S35" s="10">
        <v>9.1199999999999992</v>
      </c>
      <c r="T35" s="10">
        <v>9.1199999999999992</v>
      </c>
      <c r="U35" s="10">
        <v>9.1199999999999992</v>
      </c>
      <c r="V35" s="10">
        <v>9.1199999999999992</v>
      </c>
      <c r="W35" s="10">
        <v>9.1199999999999992</v>
      </c>
      <c r="X35" s="10">
        <v>9.1199999999999992</v>
      </c>
      <c r="Y35" s="257">
        <v>9.1199999999999992</v>
      </c>
      <c r="Z35" s="10">
        <v>1.1399999999999999</v>
      </c>
      <c r="AA35" s="10">
        <v>1.1399999999999999</v>
      </c>
      <c r="AB35" s="10">
        <v>1.1399999999999999</v>
      </c>
      <c r="AC35" s="10">
        <v>1.1399999999999999</v>
      </c>
      <c r="AD35" s="10">
        <v>1.1399999999999999</v>
      </c>
      <c r="AE35" s="10">
        <v>1.1399999999999999</v>
      </c>
      <c r="AF35" s="10">
        <v>1.1399999999999999</v>
      </c>
      <c r="AG35" s="10">
        <v>1.1399999999999999</v>
      </c>
      <c r="AH35" s="10">
        <v>1.1399999999999999</v>
      </c>
      <c r="AI35" s="10">
        <v>1.1399999999999999</v>
      </c>
      <c r="AJ35" s="10">
        <v>1.1399999999999999</v>
      </c>
      <c r="AK35" s="257">
        <v>1.1399999999999999</v>
      </c>
      <c r="AL35" s="5">
        <v>0</v>
      </c>
      <c r="AM35" s="118">
        <f t="shared" si="13"/>
        <v>0</v>
      </c>
      <c r="AN35" s="5">
        <v>0</v>
      </c>
      <c r="AO35" s="118">
        <f t="shared" si="2"/>
        <v>0</v>
      </c>
      <c r="AP35" s="5">
        <v>80</v>
      </c>
      <c r="AQ35" s="127">
        <f t="shared" si="3"/>
        <v>91.199999999999989</v>
      </c>
      <c r="AR35" s="5">
        <v>0</v>
      </c>
      <c r="AS35" s="118">
        <f t="shared" si="4"/>
        <v>0</v>
      </c>
      <c r="AT35" s="5">
        <v>0</v>
      </c>
      <c r="AU35" s="118">
        <f t="shared" si="5"/>
        <v>0</v>
      </c>
      <c r="AV35" s="5">
        <v>0</v>
      </c>
      <c r="AW35" s="127">
        <f t="shared" si="6"/>
        <v>0</v>
      </c>
      <c r="AX35" s="105">
        <v>0</v>
      </c>
      <c r="AY35" s="118">
        <f t="shared" si="7"/>
        <v>0</v>
      </c>
      <c r="AZ35" s="105">
        <v>0</v>
      </c>
      <c r="BA35" s="118">
        <f t="shared" si="8"/>
        <v>0</v>
      </c>
      <c r="BB35" s="5">
        <v>0</v>
      </c>
      <c r="BC35" s="127">
        <f t="shared" si="9"/>
        <v>0</v>
      </c>
      <c r="BD35" s="105">
        <v>0</v>
      </c>
      <c r="BE35" s="118">
        <f t="shared" si="10"/>
        <v>0</v>
      </c>
      <c r="BF35" s="5">
        <v>0</v>
      </c>
      <c r="BG35" s="118">
        <f t="shared" si="11"/>
        <v>0</v>
      </c>
      <c r="BH35" s="5">
        <v>0</v>
      </c>
      <c r="BI35" s="127">
        <f t="shared" si="12"/>
        <v>0</v>
      </c>
      <c r="BJ35" s="220" t="s">
        <v>489</v>
      </c>
      <c r="BL35" s="1" t="s">
        <v>455</v>
      </c>
      <c r="BM35" s="1" t="s">
        <v>486</v>
      </c>
      <c r="BN35" s="233"/>
      <c r="BO35" s="234"/>
    </row>
    <row r="36" spans="1:67">
      <c r="A36" s="219" t="s">
        <v>823</v>
      </c>
      <c r="B36" s="106" t="s">
        <v>354</v>
      </c>
      <c r="C36" s="66" t="s">
        <v>175</v>
      </c>
      <c r="D36" s="284"/>
      <c r="E36" s="136" t="s">
        <v>176</v>
      </c>
      <c r="F36" s="295"/>
      <c r="G36" s="86" t="s">
        <v>187</v>
      </c>
      <c r="H36" s="85" t="s">
        <v>479</v>
      </c>
      <c r="I36" s="85" t="s">
        <v>184</v>
      </c>
      <c r="J36" s="86" t="s">
        <v>191</v>
      </c>
      <c r="K36" s="85" t="s">
        <v>181</v>
      </c>
      <c r="L36" s="84" t="s">
        <v>185</v>
      </c>
      <c r="M36" s="83" t="s">
        <v>465</v>
      </c>
      <c r="N36" s="10">
        <v>9.1199999999999992</v>
      </c>
      <c r="O36" s="10">
        <v>9.1199999999999992</v>
      </c>
      <c r="P36" s="10">
        <v>9.1199999999999992</v>
      </c>
      <c r="Q36" s="10">
        <v>9.1199999999999992</v>
      </c>
      <c r="R36" s="10">
        <v>9.1199999999999992</v>
      </c>
      <c r="S36" s="10">
        <v>9.1199999999999992</v>
      </c>
      <c r="T36" s="10">
        <v>9.1199999999999992</v>
      </c>
      <c r="U36" s="10">
        <v>9.1199999999999992</v>
      </c>
      <c r="V36" s="10">
        <v>9.1199999999999992</v>
      </c>
      <c r="W36" s="10">
        <v>9.1199999999999992</v>
      </c>
      <c r="X36" s="10">
        <v>9.1199999999999992</v>
      </c>
      <c r="Y36" s="257">
        <v>9.1199999999999992</v>
      </c>
      <c r="Z36" s="10">
        <v>1.1399999999999999</v>
      </c>
      <c r="AA36" s="10">
        <v>1.1399999999999999</v>
      </c>
      <c r="AB36" s="10">
        <v>1.1399999999999999</v>
      </c>
      <c r="AC36" s="10">
        <v>1.1399999999999999</v>
      </c>
      <c r="AD36" s="10">
        <v>1.1399999999999999</v>
      </c>
      <c r="AE36" s="10">
        <v>1.1399999999999999</v>
      </c>
      <c r="AF36" s="10">
        <v>1.1399999999999999</v>
      </c>
      <c r="AG36" s="10">
        <v>1.1399999999999999</v>
      </c>
      <c r="AH36" s="10">
        <v>1.1399999999999999</v>
      </c>
      <c r="AI36" s="10">
        <v>1.1399999999999999</v>
      </c>
      <c r="AJ36" s="10">
        <v>1.1399999999999999</v>
      </c>
      <c r="AK36" s="257">
        <v>1.1399999999999999</v>
      </c>
      <c r="AL36" s="5">
        <v>0</v>
      </c>
      <c r="AM36" s="118">
        <f t="shared" si="13"/>
        <v>0</v>
      </c>
      <c r="AN36" s="5">
        <v>0</v>
      </c>
      <c r="AO36" s="118">
        <f t="shared" si="2"/>
        <v>0</v>
      </c>
      <c r="AP36" s="5">
        <v>0</v>
      </c>
      <c r="AQ36" s="127">
        <f t="shared" si="3"/>
        <v>0</v>
      </c>
      <c r="AR36" s="5">
        <v>0</v>
      </c>
      <c r="AS36" s="118">
        <f t="shared" si="4"/>
        <v>0</v>
      </c>
      <c r="AT36" s="5">
        <v>3040</v>
      </c>
      <c r="AU36" s="118">
        <f t="shared" si="5"/>
        <v>3465.6</v>
      </c>
      <c r="AV36" s="5">
        <v>0</v>
      </c>
      <c r="AW36" s="127">
        <f t="shared" si="6"/>
        <v>0</v>
      </c>
      <c r="AX36" s="105">
        <v>0</v>
      </c>
      <c r="AY36" s="118">
        <f t="shared" si="7"/>
        <v>0</v>
      </c>
      <c r="AZ36" s="105">
        <v>0</v>
      </c>
      <c r="BA36" s="118">
        <f t="shared" si="8"/>
        <v>0</v>
      </c>
      <c r="BB36" s="5">
        <v>0</v>
      </c>
      <c r="BC36" s="127">
        <f t="shared" si="9"/>
        <v>0</v>
      </c>
      <c r="BD36" s="105">
        <v>0</v>
      </c>
      <c r="BE36" s="118">
        <f t="shared" si="10"/>
        <v>0</v>
      </c>
      <c r="BF36" s="5">
        <v>0</v>
      </c>
      <c r="BG36" s="118">
        <f t="shared" si="11"/>
        <v>0</v>
      </c>
      <c r="BH36" s="5">
        <v>0</v>
      </c>
      <c r="BI36" s="127">
        <f t="shared" si="12"/>
        <v>0</v>
      </c>
      <c r="BJ36" s="220" t="s">
        <v>494</v>
      </c>
      <c r="BL36" s="1" t="s">
        <v>455</v>
      </c>
      <c r="BM36" s="1" t="s">
        <v>490</v>
      </c>
      <c r="BN36" s="233"/>
      <c r="BO36" s="234"/>
    </row>
    <row r="37" spans="1:67">
      <c r="A37" s="219" t="s">
        <v>823</v>
      </c>
      <c r="B37" s="106" t="s">
        <v>354</v>
      </c>
      <c r="C37" s="66" t="s">
        <v>175</v>
      </c>
      <c r="D37" s="284"/>
      <c r="E37" s="136" t="s">
        <v>176</v>
      </c>
      <c r="F37" s="295"/>
      <c r="G37" s="86" t="s">
        <v>187</v>
      </c>
      <c r="H37" s="85" t="s">
        <v>479</v>
      </c>
      <c r="I37" s="85" t="s">
        <v>184</v>
      </c>
      <c r="J37" s="86" t="s">
        <v>191</v>
      </c>
      <c r="K37" s="85" t="s">
        <v>181</v>
      </c>
      <c r="L37" s="84" t="s">
        <v>185</v>
      </c>
      <c r="M37" s="83" t="s">
        <v>465</v>
      </c>
      <c r="N37" s="10">
        <v>9.1199999999999992</v>
      </c>
      <c r="O37" s="10">
        <v>9.1199999999999992</v>
      </c>
      <c r="P37" s="10">
        <v>9.1199999999999992</v>
      </c>
      <c r="Q37" s="10">
        <v>9.1199999999999992</v>
      </c>
      <c r="R37" s="10">
        <v>9.1199999999999992</v>
      </c>
      <c r="S37" s="10">
        <v>9.1199999999999992</v>
      </c>
      <c r="T37" s="10">
        <v>9.1199999999999992</v>
      </c>
      <c r="U37" s="10">
        <v>9.1199999999999992</v>
      </c>
      <c r="V37" s="10">
        <v>9.1199999999999992</v>
      </c>
      <c r="W37" s="10">
        <v>9.1199999999999992</v>
      </c>
      <c r="X37" s="10">
        <v>9.1199999999999992</v>
      </c>
      <c r="Y37" s="257">
        <v>9.1199999999999992</v>
      </c>
      <c r="Z37" s="10">
        <v>1.1399999999999999</v>
      </c>
      <c r="AA37" s="10">
        <v>1.1399999999999999</v>
      </c>
      <c r="AB37" s="10">
        <v>1.1399999999999999</v>
      </c>
      <c r="AC37" s="10">
        <v>1.1399999999999999</v>
      </c>
      <c r="AD37" s="10">
        <v>1.1399999999999999</v>
      </c>
      <c r="AE37" s="10">
        <v>1.1399999999999999</v>
      </c>
      <c r="AF37" s="10">
        <v>1.1399999999999999</v>
      </c>
      <c r="AG37" s="10">
        <v>1.1399999999999999</v>
      </c>
      <c r="AH37" s="10">
        <v>1.1399999999999999</v>
      </c>
      <c r="AI37" s="10">
        <v>1.1399999999999999</v>
      </c>
      <c r="AJ37" s="10">
        <v>1.1399999999999999</v>
      </c>
      <c r="AK37" s="257">
        <v>1.1399999999999999</v>
      </c>
      <c r="AL37" s="5">
        <v>0</v>
      </c>
      <c r="AM37" s="118">
        <f t="shared" si="13"/>
        <v>0</v>
      </c>
      <c r="AN37" s="5">
        <v>0</v>
      </c>
      <c r="AO37" s="118">
        <f t="shared" si="2"/>
        <v>0</v>
      </c>
      <c r="AP37" s="5">
        <v>0</v>
      </c>
      <c r="AQ37" s="127">
        <f t="shared" si="3"/>
        <v>0</v>
      </c>
      <c r="AR37" s="5">
        <v>0</v>
      </c>
      <c r="AS37" s="118">
        <f t="shared" si="4"/>
        <v>0</v>
      </c>
      <c r="AT37" s="5">
        <v>0</v>
      </c>
      <c r="AU37" s="118">
        <f t="shared" si="5"/>
        <v>0</v>
      </c>
      <c r="AV37" s="5">
        <v>0</v>
      </c>
      <c r="AW37" s="127">
        <f t="shared" si="6"/>
        <v>0</v>
      </c>
      <c r="AX37" s="105">
        <v>0</v>
      </c>
      <c r="AY37" s="118">
        <f t="shared" si="7"/>
        <v>0</v>
      </c>
      <c r="AZ37" s="105">
        <v>0</v>
      </c>
      <c r="BA37" s="118">
        <f t="shared" si="8"/>
        <v>0</v>
      </c>
      <c r="BB37" s="5">
        <v>0</v>
      </c>
      <c r="BC37" s="127">
        <f t="shared" si="9"/>
        <v>0</v>
      </c>
      <c r="BD37" s="105">
        <v>0</v>
      </c>
      <c r="BE37" s="118">
        <f t="shared" si="10"/>
        <v>0</v>
      </c>
      <c r="BF37" s="5">
        <v>0</v>
      </c>
      <c r="BG37" s="118">
        <f t="shared" si="11"/>
        <v>0</v>
      </c>
      <c r="BH37" s="5">
        <v>0</v>
      </c>
      <c r="BI37" s="127">
        <f t="shared" si="12"/>
        <v>0</v>
      </c>
      <c r="BJ37" s="220" t="s">
        <v>494</v>
      </c>
      <c r="BL37" s="1" t="s">
        <v>455</v>
      </c>
      <c r="BM37" s="1" t="s">
        <v>481</v>
      </c>
      <c r="BN37" s="233"/>
      <c r="BO37" s="234"/>
    </row>
    <row r="38" spans="1:67">
      <c r="A38" s="219" t="s">
        <v>823</v>
      </c>
      <c r="B38" s="106" t="s">
        <v>354</v>
      </c>
      <c r="C38" s="66" t="s">
        <v>175</v>
      </c>
      <c r="D38" s="284"/>
      <c r="E38" s="136" t="s">
        <v>176</v>
      </c>
      <c r="F38" s="295"/>
      <c r="G38" s="86" t="s">
        <v>187</v>
      </c>
      <c r="H38" s="85" t="s">
        <v>479</v>
      </c>
      <c r="I38" s="85" t="s">
        <v>184</v>
      </c>
      <c r="J38" s="86" t="s">
        <v>191</v>
      </c>
      <c r="K38" s="85" t="s">
        <v>181</v>
      </c>
      <c r="L38" s="84" t="s">
        <v>185</v>
      </c>
      <c r="M38" s="83" t="s">
        <v>465</v>
      </c>
      <c r="N38" s="10">
        <v>9.1199999999999992</v>
      </c>
      <c r="O38" s="10">
        <v>9.1199999999999992</v>
      </c>
      <c r="P38" s="10">
        <v>9.1199999999999992</v>
      </c>
      <c r="Q38" s="10">
        <v>9.1199999999999992</v>
      </c>
      <c r="R38" s="10">
        <v>9.1199999999999992</v>
      </c>
      <c r="S38" s="10">
        <v>9.1199999999999992</v>
      </c>
      <c r="T38" s="10">
        <v>9.1199999999999992</v>
      </c>
      <c r="U38" s="10">
        <v>9.1199999999999992</v>
      </c>
      <c r="V38" s="10">
        <v>9.1199999999999992</v>
      </c>
      <c r="W38" s="10">
        <v>9.1199999999999992</v>
      </c>
      <c r="X38" s="10">
        <v>9.1199999999999992</v>
      </c>
      <c r="Y38" s="257">
        <v>9.1199999999999992</v>
      </c>
      <c r="Z38" s="10">
        <v>1.1399999999999999</v>
      </c>
      <c r="AA38" s="10">
        <v>1.1399999999999999</v>
      </c>
      <c r="AB38" s="10">
        <v>1.1399999999999999</v>
      </c>
      <c r="AC38" s="10">
        <v>1.1399999999999999</v>
      </c>
      <c r="AD38" s="10">
        <v>1.1399999999999999</v>
      </c>
      <c r="AE38" s="10">
        <v>1.1399999999999999</v>
      </c>
      <c r="AF38" s="10">
        <v>1.1399999999999999</v>
      </c>
      <c r="AG38" s="10">
        <v>1.1399999999999999</v>
      </c>
      <c r="AH38" s="10">
        <v>1.1399999999999999</v>
      </c>
      <c r="AI38" s="10">
        <v>1.1399999999999999</v>
      </c>
      <c r="AJ38" s="10">
        <v>1.1399999999999999</v>
      </c>
      <c r="AK38" s="257">
        <v>1.1399999999999999</v>
      </c>
      <c r="AL38" s="5">
        <v>0</v>
      </c>
      <c r="AM38" s="118">
        <f t="shared" si="13"/>
        <v>0</v>
      </c>
      <c r="AN38" s="5">
        <v>0</v>
      </c>
      <c r="AO38" s="118">
        <f t="shared" si="2"/>
        <v>0</v>
      </c>
      <c r="AP38" s="5">
        <v>0</v>
      </c>
      <c r="AQ38" s="127">
        <f t="shared" si="3"/>
        <v>0</v>
      </c>
      <c r="AR38" s="5">
        <v>0</v>
      </c>
      <c r="AS38" s="118">
        <f t="shared" si="4"/>
        <v>0</v>
      </c>
      <c r="AT38" s="5">
        <v>60</v>
      </c>
      <c r="AU38" s="118">
        <f t="shared" si="5"/>
        <v>68.399999999999991</v>
      </c>
      <c r="AV38" s="5">
        <v>0</v>
      </c>
      <c r="AW38" s="127">
        <f t="shared" si="6"/>
        <v>0</v>
      </c>
      <c r="AX38" s="105">
        <v>0</v>
      </c>
      <c r="AY38" s="118">
        <f t="shared" si="7"/>
        <v>0</v>
      </c>
      <c r="AZ38" s="105">
        <v>0</v>
      </c>
      <c r="BA38" s="118">
        <f t="shared" si="8"/>
        <v>0</v>
      </c>
      <c r="BB38" s="5">
        <v>0</v>
      </c>
      <c r="BC38" s="127">
        <f t="shared" si="9"/>
        <v>0</v>
      </c>
      <c r="BD38" s="105">
        <v>0</v>
      </c>
      <c r="BE38" s="118">
        <f t="shared" si="10"/>
        <v>0</v>
      </c>
      <c r="BF38" s="5">
        <v>0</v>
      </c>
      <c r="BG38" s="118">
        <f t="shared" si="11"/>
        <v>0</v>
      </c>
      <c r="BH38" s="5">
        <v>0</v>
      </c>
      <c r="BI38" s="127">
        <f t="shared" si="12"/>
        <v>0</v>
      </c>
      <c r="BJ38" s="220" t="s">
        <v>495</v>
      </c>
      <c r="BL38" s="1" t="s">
        <v>455</v>
      </c>
      <c r="BM38" s="1" t="s">
        <v>482</v>
      </c>
      <c r="BN38" s="233"/>
      <c r="BO38" s="234"/>
    </row>
    <row r="39" spans="1:67">
      <c r="A39" s="219" t="s">
        <v>823</v>
      </c>
      <c r="B39" s="106" t="s">
        <v>354</v>
      </c>
      <c r="C39" s="66" t="s">
        <v>175</v>
      </c>
      <c r="D39" s="284"/>
      <c r="E39" s="136" t="s">
        <v>176</v>
      </c>
      <c r="F39" s="295"/>
      <c r="G39" s="86" t="s">
        <v>187</v>
      </c>
      <c r="H39" s="85" t="s">
        <v>479</v>
      </c>
      <c r="I39" s="85" t="s">
        <v>184</v>
      </c>
      <c r="J39" s="86" t="s">
        <v>191</v>
      </c>
      <c r="K39" s="85" t="s">
        <v>181</v>
      </c>
      <c r="L39" s="84" t="s">
        <v>185</v>
      </c>
      <c r="M39" s="83" t="s">
        <v>465</v>
      </c>
      <c r="N39" s="10">
        <v>9.1199999999999992</v>
      </c>
      <c r="O39" s="10">
        <v>9.1199999999999992</v>
      </c>
      <c r="P39" s="10">
        <v>9.1199999999999992</v>
      </c>
      <c r="Q39" s="10">
        <v>9.1199999999999992</v>
      </c>
      <c r="R39" s="10">
        <v>9.1199999999999992</v>
      </c>
      <c r="S39" s="10">
        <v>9.1199999999999992</v>
      </c>
      <c r="T39" s="10">
        <v>9.1199999999999992</v>
      </c>
      <c r="U39" s="10">
        <v>9.1199999999999992</v>
      </c>
      <c r="V39" s="10">
        <v>9.1199999999999992</v>
      </c>
      <c r="W39" s="10">
        <v>9.1199999999999992</v>
      </c>
      <c r="X39" s="10">
        <v>9.1199999999999992</v>
      </c>
      <c r="Y39" s="257">
        <v>9.1199999999999992</v>
      </c>
      <c r="Z39" s="10">
        <v>1.1399999999999999</v>
      </c>
      <c r="AA39" s="10">
        <v>1.1399999999999999</v>
      </c>
      <c r="AB39" s="10">
        <v>1.1399999999999999</v>
      </c>
      <c r="AC39" s="10">
        <v>1.1399999999999999</v>
      </c>
      <c r="AD39" s="10">
        <v>1.1399999999999999</v>
      </c>
      <c r="AE39" s="10">
        <v>1.1399999999999999</v>
      </c>
      <c r="AF39" s="10">
        <v>1.1399999999999999</v>
      </c>
      <c r="AG39" s="10">
        <v>1.1399999999999999</v>
      </c>
      <c r="AH39" s="10">
        <v>1.1399999999999999</v>
      </c>
      <c r="AI39" s="10">
        <v>1.1399999999999999</v>
      </c>
      <c r="AJ39" s="10">
        <v>1.1399999999999999</v>
      </c>
      <c r="AK39" s="257">
        <v>1.1399999999999999</v>
      </c>
      <c r="AL39" s="5">
        <v>0</v>
      </c>
      <c r="AM39" s="118">
        <f t="shared" si="13"/>
        <v>0</v>
      </c>
      <c r="AN39" s="5">
        <v>0</v>
      </c>
      <c r="AO39" s="118">
        <f t="shared" si="2"/>
        <v>0</v>
      </c>
      <c r="AP39" s="5">
        <v>0</v>
      </c>
      <c r="AQ39" s="127">
        <f t="shared" si="3"/>
        <v>0</v>
      </c>
      <c r="AR39" s="5">
        <v>0</v>
      </c>
      <c r="AS39" s="118">
        <f t="shared" si="4"/>
        <v>0</v>
      </c>
      <c r="AT39" s="5">
        <v>0</v>
      </c>
      <c r="AU39" s="118">
        <f t="shared" si="5"/>
        <v>0</v>
      </c>
      <c r="AV39" s="5">
        <v>0</v>
      </c>
      <c r="AW39" s="127">
        <f t="shared" si="6"/>
        <v>0</v>
      </c>
      <c r="AX39" s="105">
        <v>0</v>
      </c>
      <c r="AY39" s="118">
        <f t="shared" si="7"/>
        <v>0</v>
      </c>
      <c r="AZ39" s="105">
        <v>0</v>
      </c>
      <c r="BA39" s="118">
        <f t="shared" si="8"/>
        <v>0</v>
      </c>
      <c r="BB39" s="5">
        <v>0</v>
      </c>
      <c r="BC39" s="127">
        <f t="shared" si="9"/>
        <v>0</v>
      </c>
      <c r="BD39" s="105">
        <v>0</v>
      </c>
      <c r="BE39" s="118">
        <f t="shared" si="10"/>
        <v>0</v>
      </c>
      <c r="BF39" s="5">
        <v>0</v>
      </c>
      <c r="BG39" s="118">
        <f t="shared" si="11"/>
        <v>0</v>
      </c>
      <c r="BH39" s="5">
        <v>0</v>
      </c>
      <c r="BI39" s="127">
        <f t="shared" si="12"/>
        <v>0</v>
      </c>
      <c r="BJ39" s="220" t="s">
        <v>495</v>
      </c>
      <c r="BL39" s="1" t="s">
        <v>455</v>
      </c>
      <c r="BM39" s="1" t="s">
        <v>496</v>
      </c>
      <c r="BN39" s="233"/>
      <c r="BO39" s="234"/>
    </row>
    <row r="40" spans="1:67">
      <c r="A40" s="219" t="s">
        <v>823</v>
      </c>
      <c r="B40" s="106" t="s">
        <v>354</v>
      </c>
      <c r="C40" s="66" t="s">
        <v>175</v>
      </c>
      <c r="D40" s="284"/>
      <c r="E40" s="136" t="s">
        <v>176</v>
      </c>
      <c r="F40" s="295"/>
      <c r="G40" s="86" t="s">
        <v>187</v>
      </c>
      <c r="H40" s="85" t="s">
        <v>479</v>
      </c>
      <c r="I40" s="85" t="s">
        <v>184</v>
      </c>
      <c r="J40" s="86" t="s">
        <v>191</v>
      </c>
      <c r="K40" s="85" t="s">
        <v>181</v>
      </c>
      <c r="L40" s="84" t="s">
        <v>185</v>
      </c>
      <c r="M40" s="83" t="s">
        <v>465</v>
      </c>
      <c r="N40" s="10">
        <v>9.1199999999999992</v>
      </c>
      <c r="O40" s="10">
        <v>9.1199999999999992</v>
      </c>
      <c r="P40" s="10">
        <v>9.1199999999999992</v>
      </c>
      <c r="Q40" s="10">
        <v>9.1199999999999992</v>
      </c>
      <c r="R40" s="10">
        <v>9.1199999999999992</v>
      </c>
      <c r="S40" s="10">
        <v>9.1199999999999992</v>
      </c>
      <c r="T40" s="10">
        <v>9.1199999999999992</v>
      </c>
      <c r="U40" s="10">
        <v>9.1199999999999992</v>
      </c>
      <c r="V40" s="10">
        <v>9.1199999999999992</v>
      </c>
      <c r="W40" s="10">
        <v>9.1199999999999992</v>
      </c>
      <c r="X40" s="10">
        <v>9.1199999999999992</v>
      </c>
      <c r="Y40" s="257">
        <v>9.1199999999999992</v>
      </c>
      <c r="Z40" s="10">
        <v>1.1399999999999999</v>
      </c>
      <c r="AA40" s="10">
        <v>1.1399999999999999</v>
      </c>
      <c r="AB40" s="10">
        <v>1.1399999999999999</v>
      </c>
      <c r="AC40" s="10">
        <v>1.1399999999999999</v>
      </c>
      <c r="AD40" s="10">
        <v>1.1399999999999999</v>
      </c>
      <c r="AE40" s="10">
        <v>1.1399999999999999</v>
      </c>
      <c r="AF40" s="10">
        <v>1.1399999999999999</v>
      </c>
      <c r="AG40" s="10">
        <v>1.1399999999999999</v>
      </c>
      <c r="AH40" s="10">
        <v>1.1399999999999999</v>
      </c>
      <c r="AI40" s="10">
        <v>1.1399999999999999</v>
      </c>
      <c r="AJ40" s="10">
        <v>1.1399999999999999</v>
      </c>
      <c r="AK40" s="257">
        <v>1.1399999999999999</v>
      </c>
      <c r="AL40" s="5">
        <v>0</v>
      </c>
      <c r="AM40" s="118">
        <f t="shared" si="13"/>
        <v>0</v>
      </c>
      <c r="AN40" s="5">
        <v>0</v>
      </c>
      <c r="AO40" s="118">
        <f t="shared" si="2"/>
        <v>0</v>
      </c>
      <c r="AP40" s="5">
        <v>0</v>
      </c>
      <c r="AQ40" s="127">
        <f t="shared" si="3"/>
        <v>0</v>
      </c>
      <c r="AR40" s="5">
        <v>0</v>
      </c>
      <c r="AS40" s="118">
        <f t="shared" si="4"/>
        <v>0</v>
      </c>
      <c r="AT40" s="5">
        <v>0</v>
      </c>
      <c r="AU40" s="118">
        <f t="shared" si="5"/>
        <v>0</v>
      </c>
      <c r="AV40" s="5">
        <v>0</v>
      </c>
      <c r="AW40" s="127">
        <f t="shared" si="6"/>
        <v>0</v>
      </c>
      <c r="AX40" s="105">
        <v>0</v>
      </c>
      <c r="AY40" s="118">
        <f t="shared" si="7"/>
        <v>0</v>
      </c>
      <c r="AZ40" s="105">
        <v>0</v>
      </c>
      <c r="BA40" s="118">
        <f t="shared" si="8"/>
        <v>0</v>
      </c>
      <c r="BB40" s="5">
        <v>0</v>
      </c>
      <c r="BC40" s="127">
        <f t="shared" si="9"/>
        <v>0</v>
      </c>
      <c r="BD40" s="105">
        <v>0</v>
      </c>
      <c r="BE40" s="118">
        <f t="shared" si="10"/>
        <v>0</v>
      </c>
      <c r="BF40" s="5">
        <v>0</v>
      </c>
      <c r="BG40" s="118">
        <f t="shared" si="11"/>
        <v>0</v>
      </c>
      <c r="BH40" s="5">
        <v>0</v>
      </c>
      <c r="BI40" s="127">
        <f t="shared" si="12"/>
        <v>0</v>
      </c>
      <c r="BJ40" s="243" t="s">
        <v>497</v>
      </c>
      <c r="BL40" s="1" t="s">
        <v>455</v>
      </c>
      <c r="BM40" s="243" t="s">
        <v>498</v>
      </c>
      <c r="BN40" s="233"/>
      <c r="BO40" s="234"/>
    </row>
    <row r="41" spans="1:67">
      <c r="A41" s="219" t="s">
        <v>823</v>
      </c>
      <c r="B41" s="106" t="s">
        <v>354</v>
      </c>
      <c r="C41" s="66" t="s">
        <v>175</v>
      </c>
      <c r="D41" s="284"/>
      <c r="E41" s="136" t="s">
        <v>176</v>
      </c>
      <c r="F41" s="295"/>
      <c r="G41" s="86" t="s">
        <v>187</v>
      </c>
      <c r="H41" s="85" t="s">
        <v>479</v>
      </c>
      <c r="I41" s="85" t="s">
        <v>184</v>
      </c>
      <c r="J41" s="86" t="s">
        <v>191</v>
      </c>
      <c r="K41" s="85" t="s">
        <v>181</v>
      </c>
      <c r="L41" s="84" t="s">
        <v>185</v>
      </c>
      <c r="M41" s="83" t="s">
        <v>465</v>
      </c>
      <c r="N41" s="10">
        <v>9.1199999999999992</v>
      </c>
      <c r="O41" s="10">
        <v>9.1199999999999992</v>
      </c>
      <c r="P41" s="10">
        <v>9.1199999999999992</v>
      </c>
      <c r="Q41" s="10">
        <v>9.1199999999999992</v>
      </c>
      <c r="R41" s="10">
        <v>9.1199999999999992</v>
      </c>
      <c r="S41" s="10">
        <v>9.1199999999999992</v>
      </c>
      <c r="T41" s="10">
        <v>9.1199999999999992</v>
      </c>
      <c r="U41" s="10">
        <v>9.1199999999999992</v>
      </c>
      <c r="V41" s="10">
        <v>9.1199999999999992</v>
      </c>
      <c r="W41" s="10">
        <v>9.1199999999999992</v>
      </c>
      <c r="X41" s="10">
        <v>9.1199999999999992</v>
      </c>
      <c r="Y41" s="257">
        <v>9.1199999999999992</v>
      </c>
      <c r="Z41" s="10">
        <v>1.1399999999999999</v>
      </c>
      <c r="AA41" s="10">
        <v>1.1399999999999999</v>
      </c>
      <c r="AB41" s="10">
        <v>1.1399999999999999</v>
      </c>
      <c r="AC41" s="10">
        <v>1.1399999999999999</v>
      </c>
      <c r="AD41" s="10">
        <v>1.1399999999999999</v>
      </c>
      <c r="AE41" s="10">
        <v>1.1399999999999999</v>
      </c>
      <c r="AF41" s="10">
        <v>1.1399999999999999</v>
      </c>
      <c r="AG41" s="10">
        <v>1.1399999999999999</v>
      </c>
      <c r="AH41" s="10">
        <v>1.1399999999999999</v>
      </c>
      <c r="AI41" s="10">
        <v>1.1399999999999999</v>
      </c>
      <c r="AJ41" s="10">
        <v>1.1399999999999999</v>
      </c>
      <c r="AK41" s="257">
        <v>1.1399999999999999</v>
      </c>
      <c r="AL41" s="5">
        <v>0</v>
      </c>
      <c r="AM41" s="118">
        <f t="shared" si="13"/>
        <v>0</v>
      </c>
      <c r="AN41" s="5">
        <v>0</v>
      </c>
      <c r="AO41" s="118">
        <f t="shared" si="2"/>
        <v>0</v>
      </c>
      <c r="AP41" s="5">
        <v>0</v>
      </c>
      <c r="AQ41" s="127">
        <f t="shared" si="3"/>
        <v>0</v>
      </c>
      <c r="AR41" s="5">
        <v>0</v>
      </c>
      <c r="AS41" s="118">
        <f t="shared" si="4"/>
        <v>0</v>
      </c>
      <c r="AT41" s="5">
        <v>0</v>
      </c>
      <c r="AU41" s="118">
        <f t="shared" si="5"/>
        <v>0</v>
      </c>
      <c r="AV41" s="5">
        <v>0</v>
      </c>
      <c r="AW41" s="127">
        <f t="shared" si="6"/>
        <v>0</v>
      </c>
      <c r="AX41" s="105">
        <v>0</v>
      </c>
      <c r="AY41" s="118">
        <f t="shared" si="7"/>
        <v>0</v>
      </c>
      <c r="AZ41" s="105">
        <v>0</v>
      </c>
      <c r="BA41" s="118">
        <f t="shared" si="8"/>
        <v>0</v>
      </c>
      <c r="BB41" s="5">
        <v>0</v>
      </c>
      <c r="BC41" s="127">
        <f t="shared" si="9"/>
        <v>0</v>
      </c>
      <c r="BD41" s="105">
        <v>0</v>
      </c>
      <c r="BE41" s="118">
        <f t="shared" si="10"/>
        <v>0</v>
      </c>
      <c r="BF41" s="5">
        <v>0</v>
      </c>
      <c r="BG41" s="118">
        <f t="shared" si="11"/>
        <v>0</v>
      </c>
      <c r="BH41" s="5">
        <v>0</v>
      </c>
      <c r="BI41" s="127">
        <f t="shared" si="12"/>
        <v>0</v>
      </c>
      <c r="BJ41" s="243" t="s">
        <v>499</v>
      </c>
      <c r="BL41" s="1" t="s">
        <v>455</v>
      </c>
      <c r="BM41" s="243" t="s">
        <v>500</v>
      </c>
      <c r="BN41" s="233"/>
      <c r="BO41" s="234"/>
    </row>
    <row r="42" spans="1:67">
      <c r="A42" s="219" t="s">
        <v>823</v>
      </c>
      <c r="B42" s="106" t="s">
        <v>354</v>
      </c>
      <c r="C42" s="66" t="s">
        <v>175</v>
      </c>
      <c r="D42" s="284"/>
      <c r="E42" s="136" t="s">
        <v>176</v>
      </c>
      <c r="F42" s="295"/>
      <c r="G42" s="86" t="s">
        <v>187</v>
      </c>
      <c r="H42" s="85" t="s">
        <v>479</v>
      </c>
      <c r="I42" s="85" t="s">
        <v>184</v>
      </c>
      <c r="J42" s="86" t="s">
        <v>191</v>
      </c>
      <c r="K42" s="85" t="s">
        <v>181</v>
      </c>
      <c r="L42" s="84" t="s">
        <v>185</v>
      </c>
      <c r="M42" s="83" t="s">
        <v>465</v>
      </c>
      <c r="N42" s="10">
        <v>9.1199999999999992</v>
      </c>
      <c r="O42" s="10">
        <v>9.1199999999999992</v>
      </c>
      <c r="P42" s="10">
        <v>9.1199999999999992</v>
      </c>
      <c r="Q42" s="10">
        <v>9.1199999999999992</v>
      </c>
      <c r="R42" s="10">
        <v>9.1199999999999992</v>
      </c>
      <c r="S42" s="10">
        <v>9.1199999999999992</v>
      </c>
      <c r="T42" s="10">
        <v>9.1199999999999992</v>
      </c>
      <c r="U42" s="10">
        <v>9.1199999999999992</v>
      </c>
      <c r="V42" s="10">
        <v>9.1199999999999992</v>
      </c>
      <c r="W42" s="10">
        <v>9.1199999999999992</v>
      </c>
      <c r="X42" s="10">
        <v>9.1199999999999992</v>
      </c>
      <c r="Y42" s="257">
        <v>9.1199999999999992</v>
      </c>
      <c r="Z42" s="10">
        <v>1.1399999999999999</v>
      </c>
      <c r="AA42" s="10">
        <v>1.1399999999999999</v>
      </c>
      <c r="AB42" s="10">
        <v>1.1399999999999999</v>
      </c>
      <c r="AC42" s="10">
        <v>1.1399999999999999</v>
      </c>
      <c r="AD42" s="10">
        <v>1.1399999999999999</v>
      </c>
      <c r="AE42" s="10">
        <v>1.1399999999999999</v>
      </c>
      <c r="AF42" s="10">
        <v>1.1399999999999999</v>
      </c>
      <c r="AG42" s="10">
        <v>1.1399999999999999</v>
      </c>
      <c r="AH42" s="10">
        <v>1.1399999999999999</v>
      </c>
      <c r="AI42" s="10">
        <v>1.1399999999999999</v>
      </c>
      <c r="AJ42" s="10">
        <v>1.1399999999999999</v>
      </c>
      <c r="AK42" s="257">
        <v>1.1399999999999999</v>
      </c>
      <c r="AL42" s="5">
        <v>0</v>
      </c>
      <c r="AM42" s="118">
        <f t="shared" si="13"/>
        <v>0</v>
      </c>
      <c r="AN42" s="5">
        <v>0</v>
      </c>
      <c r="AO42" s="118">
        <f t="shared" si="2"/>
        <v>0</v>
      </c>
      <c r="AP42" s="5">
        <v>0</v>
      </c>
      <c r="AQ42" s="127">
        <f t="shared" si="3"/>
        <v>0</v>
      </c>
      <c r="AR42" s="5">
        <v>0</v>
      </c>
      <c r="AS42" s="118">
        <f t="shared" si="4"/>
        <v>0</v>
      </c>
      <c r="AT42" s="5">
        <v>0</v>
      </c>
      <c r="AU42" s="118">
        <f t="shared" si="5"/>
        <v>0</v>
      </c>
      <c r="AV42" s="5">
        <v>0</v>
      </c>
      <c r="AW42" s="127">
        <f t="shared" si="6"/>
        <v>0</v>
      </c>
      <c r="AX42" s="105">
        <v>0</v>
      </c>
      <c r="AY42" s="118">
        <f t="shared" si="7"/>
        <v>0</v>
      </c>
      <c r="AZ42" s="105">
        <v>0</v>
      </c>
      <c r="BA42" s="118">
        <f t="shared" si="8"/>
        <v>0</v>
      </c>
      <c r="BB42" s="5">
        <v>0</v>
      </c>
      <c r="BC42" s="127">
        <f t="shared" si="9"/>
        <v>0</v>
      </c>
      <c r="BD42" s="105">
        <v>0</v>
      </c>
      <c r="BE42" s="118">
        <f t="shared" si="10"/>
        <v>0</v>
      </c>
      <c r="BF42" s="5">
        <v>0</v>
      </c>
      <c r="BG42" s="118">
        <f t="shared" si="11"/>
        <v>0</v>
      </c>
      <c r="BH42" s="5">
        <v>0</v>
      </c>
      <c r="BI42" s="127">
        <f t="shared" si="12"/>
        <v>0</v>
      </c>
      <c r="BJ42" s="243" t="s">
        <v>501</v>
      </c>
      <c r="BL42" s="1" t="s">
        <v>455</v>
      </c>
      <c r="BM42" s="243" t="s">
        <v>502</v>
      </c>
      <c r="BN42" s="233"/>
      <c r="BO42" s="234"/>
    </row>
    <row r="43" spans="1:67">
      <c r="A43" s="219" t="s">
        <v>823</v>
      </c>
      <c r="B43" s="106" t="s">
        <v>354</v>
      </c>
      <c r="C43" s="66" t="s">
        <v>175</v>
      </c>
      <c r="D43" s="284"/>
      <c r="E43" s="136" t="s">
        <v>176</v>
      </c>
      <c r="F43" s="295"/>
      <c r="G43" s="86" t="s">
        <v>187</v>
      </c>
      <c r="H43" s="85" t="s">
        <v>479</v>
      </c>
      <c r="I43" s="85" t="s">
        <v>184</v>
      </c>
      <c r="J43" s="86" t="s">
        <v>191</v>
      </c>
      <c r="K43" s="85" t="s">
        <v>181</v>
      </c>
      <c r="L43" s="84" t="s">
        <v>185</v>
      </c>
      <c r="M43" s="83" t="s">
        <v>465</v>
      </c>
      <c r="N43" s="10">
        <v>9.1199999999999992</v>
      </c>
      <c r="O43" s="10">
        <v>9.1199999999999992</v>
      </c>
      <c r="P43" s="10">
        <v>9.1199999999999992</v>
      </c>
      <c r="Q43" s="10">
        <v>9.1199999999999992</v>
      </c>
      <c r="R43" s="10">
        <v>9.1199999999999992</v>
      </c>
      <c r="S43" s="10">
        <v>9.1199999999999992</v>
      </c>
      <c r="T43" s="10">
        <v>9.1199999999999992</v>
      </c>
      <c r="U43" s="10">
        <v>9.1199999999999992</v>
      </c>
      <c r="V43" s="10">
        <v>9.1199999999999992</v>
      </c>
      <c r="W43" s="10">
        <v>9.1199999999999992</v>
      </c>
      <c r="X43" s="10">
        <v>9.1199999999999992</v>
      </c>
      <c r="Y43" s="257">
        <v>9.1199999999999992</v>
      </c>
      <c r="Z43" s="10">
        <v>1.1399999999999999</v>
      </c>
      <c r="AA43" s="10">
        <v>1.1399999999999999</v>
      </c>
      <c r="AB43" s="10">
        <v>1.1399999999999999</v>
      </c>
      <c r="AC43" s="10">
        <v>1.1399999999999999</v>
      </c>
      <c r="AD43" s="10">
        <v>1.1399999999999999</v>
      </c>
      <c r="AE43" s="10">
        <v>1.1399999999999999</v>
      </c>
      <c r="AF43" s="10">
        <v>1.1399999999999999</v>
      </c>
      <c r="AG43" s="10">
        <v>1.1399999999999999</v>
      </c>
      <c r="AH43" s="10">
        <v>1.1399999999999999</v>
      </c>
      <c r="AI43" s="10">
        <v>1.1399999999999999</v>
      </c>
      <c r="AJ43" s="10">
        <v>1.1399999999999999</v>
      </c>
      <c r="AK43" s="257">
        <v>1.1399999999999999</v>
      </c>
      <c r="AL43" s="5">
        <v>148</v>
      </c>
      <c r="AM43" s="118">
        <f t="shared" si="13"/>
        <v>168.72</v>
      </c>
      <c r="AN43" s="5">
        <v>200</v>
      </c>
      <c r="AO43" s="118">
        <f t="shared" si="2"/>
        <v>227.99999999999997</v>
      </c>
      <c r="AP43" s="5">
        <v>208</v>
      </c>
      <c r="AQ43" s="127">
        <f t="shared" si="3"/>
        <v>237.11999999999998</v>
      </c>
      <c r="AR43" s="5">
        <v>0</v>
      </c>
      <c r="AS43" s="118">
        <f t="shared" si="4"/>
        <v>0</v>
      </c>
      <c r="AT43" s="5">
        <v>0</v>
      </c>
      <c r="AU43" s="118">
        <f t="shared" si="5"/>
        <v>0</v>
      </c>
      <c r="AV43" s="5">
        <v>0</v>
      </c>
      <c r="AW43" s="127">
        <f t="shared" si="6"/>
        <v>0</v>
      </c>
      <c r="AX43" s="105">
        <v>0</v>
      </c>
      <c r="AY43" s="118">
        <f t="shared" si="7"/>
        <v>0</v>
      </c>
      <c r="AZ43" s="105">
        <v>0</v>
      </c>
      <c r="BA43" s="118">
        <f t="shared" si="8"/>
        <v>0</v>
      </c>
      <c r="BB43" s="5">
        <v>0</v>
      </c>
      <c r="BC43" s="127">
        <f t="shared" si="9"/>
        <v>0</v>
      </c>
      <c r="BD43" s="105">
        <v>0</v>
      </c>
      <c r="BE43" s="118">
        <f t="shared" si="10"/>
        <v>0</v>
      </c>
      <c r="BF43" s="5">
        <v>0</v>
      </c>
      <c r="BG43" s="118">
        <f t="shared" si="11"/>
        <v>0</v>
      </c>
      <c r="BH43" s="5">
        <v>0</v>
      </c>
      <c r="BI43" s="127">
        <f t="shared" si="12"/>
        <v>0</v>
      </c>
      <c r="BJ43" s="220" t="s">
        <v>495</v>
      </c>
      <c r="BL43" s="1" t="s">
        <v>455</v>
      </c>
      <c r="BM43" s="1" t="s">
        <v>503</v>
      </c>
      <c r="BN43" s="233"/>
      <c r="BO43" s="234"/>
    </row>
    <row r="44" spans="1:67">
      <c r="A44" s="219" t="s">
        <v>823</v>
      </c>
      <c r="B44" s="106" t="s">
        <v>354</v>
      </c>
      <c r="C44" s="66" t="s">
        <v>175</v>
      </c>
      <c r="D44" s="284"/>
      <c r="E44" s="136" t="s">
        <v>176</v>
      </c>
      <c r="F44" s="295"/>
      <c r="G44" s="86" t="s">
        <v>187</v>
      </c>
      <c r="H44" s="85" t="s">
        <v>479</v>
      </c>
      <c r="I44" s="85" t="s">
        <v>184</v>
      </c>
      <c r="J44" s="86" t="s">
        <v>191</v>
      </c>
      <c r="K44" s="85" t="s">
        <v>181</v>
      </c>
      <c r="L44" s="84" t="s">
        <v>185</v>
      </c>
      <c r="M44" s="83" t="s">
        <v>465</v>
      </c>
      <c r="N44" s="10">
        <v>9.1199999999999992</v>
      </c>
      <c r="O44" s="10">
        <v>9.1199999999999992</v>
      </c>
      <c r="P44" s="10">
        <v>9.1199999999999992</v>
      </c>
      <c r="Q44" s="10">
        <v>9.1199999999999992</v>
      </c>
      <c r="R44" s="10">
        <v>9.1199999999999992</v>
      </c>
      <c r="S44" s="10">
        <v>9.1199999999999992</v>
      </c>
      <c r="T44" s="10">
        <v>9.1199999999999992</v>
      </c>
      <c r="U44" s="10">
        <v>9.1199999999999992</v>
      </c>
      <c r="V44" s="10">
        <v>9.1199999999999992</v>
      </c>
      <c r="W44" s="10">
        <v>9.1199999999999992</v>
      </c>
      <c r="X44" s="10">
        <v>9.1199999999999992</v>
      </c>
      <c r="Y44" s="257">
        <v>9.1199999999999992</v>
      </c>
      <c r="Z44" s="10">
        <v>1.1399999999999999</v>
      </c>
      <c r="AA44" s="10">
        <v>1.1399999999999999</v>
      </c>
      <c r="AB44" s="10">
        <v>1.1399999999999999</v>
      </c>
      <c r="AC44" s="10">
        <v>1.1399999999999999</v>
      </c>
      <c r="AD44" s="10">
        <v>1.1399999999999999</v>
      </c>
      <c r="AE44" s="10">
        <v>1.1399999999999999</v>
      </c>
      <c r="AF44" s="10">
        <v>1.1399999999999999</v>
      </c>
      <c r="AG44" s="10">
        <v>1.1399999999999999</v>
      </c>
      <c r="AH44" s="10">
        <v>1.1399999999999999</v>
      </c>
      <c r="AI44" s="10">
        <v>1.1399999999999999</v>
      </c>
      <c r="AJ44" s="10">
        <v>1.1399999999999999</v>
      </c>
      <c r="AK44" s="257">
        <v>1.1399999999999999</v>
      </c>
      <c r="AL44" s="5">
        <v>0</v>
      </c>
      <c r="AM44" s="118">
        <f t="shared" si="13"/>
        <v>0</v>
      </c>
      <c r="AN44" s="5">
        <v>0</v>
      </c>
      <c r="AO44" s="118">
        <f t="shared" si="2"/>
        <v>0</v>
      </c>
      <c r="AP44" s="5">
        <v>0</v>
      </c>
      <c r="AQ44" s="127">
        <f t="shared" si="3"/>
        <v>0</v>
      </c>
      <c r="AR44" s="5">
        <v>0</v>
      </c>
      <c r="AS44" s="118">
        <f t="shared" si="4"/>
        <v>0</v>
      </c>
      <c r="AT44" s="5">
        <v>40</v>
      </c>
      <c r="AU44" s="118">
        <f t="shared" si="5"/>
        <v>45.599999999999994</v>
      </c>
      <c r="AV44" s="5">
        <v>0</v>
      </c>
      <c r="AW44" s="127">
        <f t="shared" si="6"/>
        <v>0</v>
      </c>
      <c r="AX44" s="105">
        <v>0</v>
      </c>
      <c r="AY44" s="118">
        <f t="shared" si="7"/>
        <v>0</v>
      </c>
      <c r="AZ44" s="105">
        <v>0</v>
      </c>
      <c r="BA44" s="118">
        <f t="shared" si="8"/>
        <v>0</v>
      </c>
      <c r="BB44" s="5">
        <v>0</v>
      </c>
      <c r="BC44" s="127">
        <f t="shared" si="9"/>
        <v>0</v>
      </c>
      <c r="BD44" s="105">
        <v>0</v>
      </c>
      <c r="BE44" s="118">
        <f t="shared" si="10"/>
        <v>0</v>
      </c>
      <c r="BF44" s="5">
        <v>0</v>
      </c>
      <c r="BG44" s="118">
        <f t="shared" si="11"/>
        <v>0</v>
      </c>
      <c r="BH44" s="5">
        <v>0</v>
      </c>
      <c r="BI44" s="127">
        <f t="shared" si="12"/>
        <v>0</v>
      </c>
      <c r="BJ44" s="220" t="s">
        <v>504</v>
      </c>
      <c r="BL44" s="1" t="s">
        <v>455</v>
      </c>
      <c r="BM44" s="1" t="s">
        <v>482</v>
      </c>
      <c r="BN44" s="233"/>
      <c r="BO44" s="234"/>
    </row>
    <row r="45" spans="1:67">
      <c r="A45" s="219" t="s">
        <v>823</v>
      </c>
      <c r="B45" s="106" t="s">
        <v>354</v>
      </c>
      <c r="C45" s="66" t="s">
        <v>175</v>
      </c>
      <c r="D45" s="284"/>
      <c r="E45" s="136" t="s">
        <v>176</v>
      </c>
      <c r="F45" s="295"/>
      <c r="G45" s="86" t="s">
        <v>187</v>
      </c>
      <c r="H45" s="85" t="s">
        <v>479</v>
      </c>
      <c r="I45" s="85" t="s">
        <v>184</v>
      </c>
      <c r="J45" s="86" t="s">
        <v>191</v>
      </c>
      <c r="K45" s="85" t="s">
        <v>181</v>
      </c>
      <c r="L45" s="84" t="s">
        <v>185</v>
      </c>
      <c r="M45" s="83" t="s">
        <v>465</v>
      </c>
      <c r="N45" s="10">
        <v>9.1199999999999992</v>
      </c>
      <c r="O45" s="10">
        <v>9.1199999999999992</v>
      </c>
      <c r="P45" s="10">
        <v>9.1199999999999992</v>
      </c>
      <c r="Q45" s="10">
        <v>9.1199999999999992</v>
      </c>
      <c r="R45" s="10">
        <v>9.1199999999999992</v>
      </c>
      <c r="S45" s="10">
        <v>9.1199999999999992</v>
      </c>
      <c r="T45" s="10">
        <v>9.1199999999999992</v>
      </c>
      <c r="U45" s="10">
        <v>9.1199999999999992</v>
      </c>
      <c r="V45" s="10">
        <v>9.1199999999999992</v>
      </c>
      <c r="W45" s="10">
        <v>9.1199999999999992</v>
      </c>
      <c r="X45" s="10">
        <v>9.1199999999999992</v>
      </c>
      <c r="Y45" s="257">
        <v>9.1199999999999992</v>
      </c>
      <c r="Z45" s="10">
        <v>1.1399999999999999</v>
      </c>
      <c r="AA45" s="10">
        <v>1.1399999999999999</v>
      </c>
      <c r="AB45" s="10">
        <v>1.1399999999999999</v>
      </c>
      <c r="AC45" s="10">
        <v>1.1399999999999999</v>
      </c>
      <c r="AD45" s="10">
        <v>1.1399999999999999</v>
      </c>
      <c r="AE45" s="10">
        <v>1.1399999999999999</v>
      </c>
      <c r="AF45" s="10">
        <v>1.1399999999999999</v>
      </c>
      <c r="AG45" s="10">
        <v>1.1399999999999999</v>
      </c>
      <c r="AH45" s="10">
        <v>1.1399999999999999</v>
      </c>
      <c r="AI45" s="10">
        <v>1.1399999999999999</v>
      </c>
      <c r="AJ45" s="10">
        <v>1.1399999999999999</v>
      </c>
      <c r="AK45" s="257">
        <v>1.1399999999999999</v>
      </c>
      <c r="AL45" s="5">
        <v>0</v>
      </c>
      <c r="AM45" s="118">
        <f t="shared" si="13"/>
        <v>0</v>
      </c>
      <c r="AN45" s="5">
        <v>0</v>
      </c>
      <c r="AO45" s="118">
        <f t="shared" si="2"/>
        <v>0</v>
      </c>
      <c r="AP45" s="5">
        <v>0</v>
      </c>
      <c r="AQ45" s="127">
        <f t="shared" si="3"/>
        <v>0</v>
      </c>
      <c r="AR45" s="5">
        <v>0</v>
      </c>
      <c r="AS45" s="118">
        <f t="shared" si="4"/>
        <v>0</v>
      </c>
      <c r="AT45" s="5">
        <v>0</v>
      </c>
      <c r="AU45" s="118">
        <f t="shared" si="5"/>
        <v>0</v>
      </c>
      <c r="AV45" s="5">
        <v>0</v>
      </c>
      <c r="AW45" s="127">
        <f t="shared" si="6"/>
        <v>0</v>
      </c>
      <c r="AX45" s="105">
        <v>0</v>
      </c>
      <c r="AY45" s="118">
        <f t="shared" si="7"/>
        <v>0</v>
      </c>
      <c r="AZ45" s="105">
        <v>0</v>
      </c>
      <c r="BA45" s="118">
        <f t="shared" si="8"/>
        <v>0</v>
      </c>
      <c r="BB45" s="5">
        <v>0</v>
      </c>
      <c r="BC45" s="127">
        <f t="shared" si="9"/>
        <v>0</v>
      </c>
      <c r="BD45" s="105">
        <v>0</v>
      </c>
      <c r="BE45" s="118">
        <f t="shared" si="10"/>
        <v>0</v>
      </c>
      <c r="BF45" s="5">
        <v>0</v>
      </c>
      <c r="BG45" s="118">
        <f t="shared" si="11"/>
        <v>0</v>
      </c>
      <c r="BH45" s="5">
        <v>0</v>
      </c>
      <c r="BI45" s="127">
        <f t="shared" si="12"/>
        <v>0</v>
      </c>
      <c r="BJ45" s="243" t="s">
        <v>505</v>
      </c>
      <c r="BL45" s="1" t="s">
        <v>455</v>
      </c>
      <c r="BM45" s="243" t="s">
        <v>506</v>
      </c>
      <c r="BN45" s="233"/>
      <c r="BO45" s="234"/>
    </row>
    <row r="46" spans="1:67">
      <c r="A46" s="219" t="s">
        <v>823</v>
      </c>
      <c r="B46" s="106" t="s">
        <v>354</v>
      </c>
      <c r="C46" s="66" t="s">
        <v>175</v>
      </c>
      <c r="D46" s="284"/>
      <c r="E46" s="136" t="s">
        <v>176</v>
      </c>
      <c r="F46" s="295"/>
      <c r="G46" s="86" t="s">
        <v>187</v>
      </c>
      <c r="H46" s="85" t="s">
        <v>479</v>
      </c>
      <c r="I46" s="85" t="s">
        <v>184</v>
      </c>
      <c r="J46" s="86" t="s">
        <v>191</v>
      </c>
      <c r="K46" s="85" t="s">
        <v>181</v>
      </c>
      <c r="L46" s="84" t="s">
        <v>185</v>
      </c>
      <c r="M46" s="83" t="s">
        <v>465</v>
      </c>
      <c r="N46" s="10">
        <v>9.1199999999999992</v>
      </c>
      <c r="O46" s="10">
        <v>9.1199999999999992</v>
      </c>
      <c r="P46" s="10">
        <v>9.1199999999999992</v>
      </c>
      <c r="Q46" s="10">
        <v>9.1199999999999992</v>
      </c>
      <c r="R46" s="10">
        <v>9.1199999999999992</v>
      </c>
      <c r="S46" s="10">
        <v>9.1199999999999992</v>
      </c>
      <c r="T46" s="10">
        <v>9.1199999999999992</v>
      </c>
      <c r="U46" s="10">
        <v>9.1199999999999992</v>
      </c>
      <c r="V46" s="10">
        <v>9.1199999999999992</v>
      </c>
      <c r="W46" s="10">
        <v>9.1199999999999992</v>
      </c>
      <c r="X46" s="10">
        <v>9.1199999999999992</v>
      </c>
      <c r="Y46" s="257">
        <v>9.1199999999999992</v>
      </c>
      <c r="Z46" s="10">
        <v>1.1399999999999999</v>
      </c>
      <c r="AA46" s="10">
        <v>1.1399999999999999</v>
      </c>
      <c r="AB46" s="10">
        <v>1.1399999999999999</v>
      </c>
      <c r="AC46" s="10">
        <v>1.1399999999999999</v>
      </c>
      <c r="AD46" s="10">
        <v>1.1399999999999999</v>
      </c>
      <c r="AE46" s="10">
        <v>1.1399999999999999</v>
      </c>
      <c r="AF46" s="10">
        <v>1.1399999999999999</v>
      </c>
      <c r="AG46" s="10">
        <v>1.1399999999999999</v>
      </c>
      <c r="AH46" s="10">
        <v>1.1399999999999999</v>
      </c>
      <c r="AI46" s="10">
        <v>1.1399999999999999</v>
      </c>
      <c r="AJ46" s="10">
        <v>1.1399999999999999</v>
      </c>
      <c r="AK46" s="257">
        <v>1.1399999999999999</v>
      </c>
      <c r="AL46" s="5">
        <v>0</v>
      </c>
      <c r="AM46" s="118">
        <f t="shared" si="13"/>
        <v>0</v>
      </c>
      <c r="AN46" s="5">
        <v>0</v>
      </c>
      <c r="AO46" s="118">
        <f t="shared" si="2"/>
        <v>0</v>
      </c>
      <c r="AP46" s="5">
        <v>40</v>
      </c>
      <c r="AQ46" s="127">
        <f t="shared" si="3"/>
        <v>45.599999999999994</v>
      </c>
      <c r="AR46" s="5">
        <v>0</v>
      </c>
      <c r="AS46" s="118">
        <f t="shared" si="4"/>
        <v>0</v>
      </c>
      <c r="AT46" s="5">
        <v>0</v>
      </c>
      <c r="AU46" s="118">
        <f t="shared" si="5"/>
        <v>0</v>
      </c>
      <c r="AV46" s="5">
        <v>0</v>
      </c>
      <c r="AW46" s="127">
        <f t="shared" si="6"/>
        <v>0</v>
      </c>
      <c r="AX46" s="105">
        <v>0</v>
      </c>
      <c r="AY46" s="118">
        <f t="shared" si="7"/>
        <v>0</v>
      </c>
      <c r="AZ46" s="105">
        <v>0</v>
      </c>
      <c r="BA46" s="118">
        <f t="shared" si="8"/>
        <v>0</v>
      </c>
      <c r="BB46" s="5">
        <v>0</v>
      </c>
      <c r="BC46" s="127">
        <f t="shared" si="9"/>
        <v>0</v>
      </c>
      <c r="BD46" s="105">
        <v>0</v>
      </c>
      <c r="BE46" s="118">
        <f t="shared" si="10"/>
        <v>0</v>
      </c>
      <c r="BF46" s="5">
        <v>0</v>
      </c>
      <c r="BG46" s="118">
        <f t="shared" si="11"/>
        <v>0</v>
      </c>
      <c r="BH46" s="5">
        <v>0</v>
      </c>
      <c r="BI46" s="127">
        <f t="shared" si="12"/>
        <v>0</v>
      </c>
      <c r="BJ46" s="220" t="s">
        <v>504</v>
      </c>
      <c r="BL46" s="1" t="s">
        <v>455</v>
      </c>
      <c r="BM46" s="1" t="s">
        <v>503</v>
      </c>
      <c r="BN46" s="233"/>
      <c r="BO46" s="234"/>
    </row>
    <row r="47" spans="1:67">
      <c r="A47" s="219" t="s">
        <v>823</v>
      </c>
      <c r="B47" s="106" t="s">
        <v>354</v>
      </c>
      <c r="C47" s="66" t="s">
        <v>175</v>
      </c>
      <c r="D47" s="284"/>
      <c r="E47" s="136" t="s">
        <v>176</v>
      </c>
      <c r="F47" s="295"/>
      <c r="G47" s="86" t="s">
        <v>187</v>
      </c>
      <c r="H47" s="85" t="s">
        <v>507</v>
      </c>
      <c r="I47" s="85" t="s">
        <v>180</v>
      </c>
      <c r="J47" s="86" t="s">
        <v>193</v>
      </c>
      <c r="K47" s="85" t="s">
        <v>181</v>
      </c>
      <c r="L47" s="84" t="s">
        <v>185</v>
      </c>
      <c r="M47" s="83" t="s">
        <v>465</v>
      </c>
      <c r="N47" s="10">
        <v>4.21</v>
      </c>
      <c r="O47" s="10">
        <v>4.21</v>
      </c>
      <c r="P47" s="10">
        <v>4.21</v>
      </c>
      <c r="Q47" s="10">
        <v>4.21</v>
      </c>
      <c r="R47" s="10">
        <v>4.21</v>
      </c>
      <c r="S47" s="10">
        <v>4.21</v>
      </c>
      <c r="T47" s="10">
        <v>4.21</v>
      </c>
      <c r="U47" s="10">
        <v>4.21</v>
      </c>
      <c r="V47" s="10">
        <v>4.21</v>
      </c>
      <c r="W47" s="10">
        <v>4.21</v>
      </c>
      <c r="X47" s="10">
        <v>4.21</v>
      </c>
      <c r="Y47" s="257">
        <v>4.21</v>
      </c>
      <c r="Z47" s="10">
        <v>0.54</v>
      </c>
      <c r="AA47" s="10">
        <v>0.54</v>
      </c>
      <c r="AB47" s="10">
        <v>0.54</v>
      </c>
      <c r="AC47" s="10">
        <v>0.54</v>
      </c>
      <c r="AD47" s="10">
        <v>0.54</v>
      </c>
      <c r="AE47" s="10">
        <v>0.54</v>
      </c>
      <c r="AF47" s="10">
        <v>0.54</v>
      </c>
      <c r="AG47" s="10">
        <v>0.54</v>
      </c>
      <c r="AH47" s="10">
        <v>0.54</v>
      </c>
      <c r="AI47" s="10">
        <v>0.54</v>
      </c>
      <c r="AJ47" s="10">
        <v>0.54</v>
      </c>
      <c r="AK47" s="257">
        <v>0.54</v>
      </c>
      <c r="AL47" s="5">
        <v>0</v>
      </c>
      <c r="AM47" s="118">
        <f t="shared" si="13"/>
        <v>0</v>
      </c>
      <c r="AN47" s="5">
        <v>0</v>
      </c>
      <c r="AO47" s="118">
        <f t="shared" si="2"/>
        <v>0</v>
      </c>
      <c r="AP47" s="5">
        <v>0</v>
      </c>
      <c r="AQ47" s="127">
        <f t="shared" si="3"/>
        <v>0</v>
      </c>
      <c r="AR47" s="5">
        <v>0</v>
      </c>
      <c r="AS47" s="118">
        <f t="shared" si="4"/>
        <v>0</v>
      </c>
      <c r="AT47" s="5">
        <v>0</v>
      </c>
      <c r="AU47" s="118">
        <f t="shared" si="5"/>
        <v>0</v>
      </c>
      <c r="AV47" s="5">
        <v>0</v>
      </c>
      <c r="AW47" s="127">
        <f t="shared" si="6"/>
        <v>0</v>
      </c>
      <c r="AX47" s="105">
        <v>0</v>
      </c>
      <c r="AY47" s="118">
        <f t="shared" si="7"/>
        <v>0</v>
      </c>
      <c r="AZ47" s="105">
        <v>0</v>
      </c>
      <c r="BA47" s="118">
        <f t="shared" si="8"/>
        <v>0</v>
      </c>
      <c r="BB47" s="5">
        <v>0</v>
      </c>
      <c r="BC47" s="127">
        <f t="shared" si="9"/>
        <v>0</v>
      </c>
      <c r="BD47" s="105">
        <v>0</v>
      </c>
      <c r="BE47" s="118">
        <f t="shared" si="10"/>
        <v>0</v>
      </c>
      <c r="BF47" s="5">
        <v>0</v>
      </c>
      <c r="BG47" s="118">
        <f t="shared" si="11"/>
        <v>0</v>
      </c>
      <c r="BH47" s="5">
        <v>0</v>
      </c>
      <c r="BI47" s="127">
        <f t="shared" si="12"/>
        <v>0</v>
      </c>
      <c r="BJ47" s="220" t="s">
        <v>508</v>
      </c>
      <c r="BL47" s="1" t="s">
        <v>455</v>
      </c>
      <c r="BM47" s="1" t="s">
        <v>496</v>
      </c>
      <c r="BN47" s="233"/>
      <c r="BO47" s="234"/>
    </row>
    <row r="48" spans="1:67">
      <c r="A48" s="219" t="s">
        <v>823</v>
      </c>
      <c r="B48" s="106" t="s">
        <v>354</v>
      </c>
      <c r="C48" s="66" t="s">
        <v>175</v>
      </c>
      <c r="D48" s="284"/>
      <c r="E48" s="136" t="s">
        <v>176</v>
      </c>
      <c r="F48" s="295"/>
      <c r="G48" s="86" t="s">
        <v>187</v>
      </c>
      <c r="H48" s="85" t="s">
        <v>507</v>
      </c>
      <c r="I48" s="85" t="s">
        <v>180</v>
      </c>
      <c r="J48" s="86" t="s">
        <v>193</v>
      </c>
      <c r="K48" s="85" t="s">
        <v>181</v>
      </c>
      <c r="L48" s="84" t="s">
        <v>185</v>
      </c>
      <c r="M48" s="83" t="s">
        <v>465</v>
      </c>
      <c r="N48" s="10">
        <v>4.21</v>
      </c>
      <c r="O48" s="10">
        <v>4.21</v>
      </c>
      <c r="P48" s="10">
        <v>4.21</v>
      </c>
      <c r="Q48" s="10">
        <v>4.21</v>
      </c>
      <c r="R48" s="10">
        <v>4.21</v>
      </c>
      <c r="S48" s="10">
        <v>4.21</v>
      </c>
      <c r="T48" s="10">
        <v>4.21</v>
      </c>
      <c r="U48" s="10">
        <v>4.21</v>
      </c>
      <c r="V48" s="10">
        <v>4.21</v>
      </c>
      <c r="W48" s="10">
        <v>4.21</v>
      </c>
      <c r="X48" s="10">
        <v>4.21</v>
      </c>
      <c r="Y48" s="257">
        <v>4.21</v>
      </c>
      <c r="Z48" s="10">
        <v>0.54</v>
      </c>
      <c r="AA48" s="10">
        <v>0.54</v>
      </c>
      <c r="AB48" s="10">
        <v>0.54</v>
      </c>
      <c r="AC48" s="10">
        <v>0.54</v>
      </c>
      <c r="AD48" s="10">
        <v>0.54</v>
      </c>
      <c r="AE48" s="10">
        <v>0.54</v>
      </c>
      <c r="AF48" s="10">
        <v>0.54</v>
      </c>
      <c r="AG48" s="10">
        <v>0.54</v>
      </c>
      <c r="AH48" s="10">
        <v>0.54</v>
      </c>
      <c r="AI48" s="10">
        <v>0.54</v>
      </c>
      <c r="AJ48" s="10">
        <v>0.54</v>
      </c>
      <c r="AK48" s="257">
        <v>0.54</v>
      </c>
      <c r="AL48" s="5">
        <v>0</v>
      </c>
      <c r="AM48" s="118">
        <f t="shared" si="13"/>
        <v>0</v>
      </c>
      <c r="AN48" s="5">
        <v>0</v>
      </c>
      <c r="AO48" s="118">
        <f t="shared" si="2"/>
        <v>0</v>
      </c>
      <c r="AP48" s="5">
        <v>0</v>
      </c>
      <c r="AQ48" s="127">
        <f t="shared" si="3"/>
        <v>0</v>
      </c>
      <c r="AR48" s="5">
        <v>0</v>
      </c>
      <c r="AS48" s="118">
        <f t="shared" si="4"/>
        <v>0</v>
      </c>
      <c r="AT48" s="5">
        <v>0</v>
      </c>
      <c r="AU48" s="118">
        <f t="shared" si="5"/>
        <v>0</v>
      </c>
      <c r="AV48" s="5">
        <v>0</v>
      </c>
      <c r="AW48" s="127">
        <f t="shared" si="6"/>
        <v>0</v>
      </c>
      <c r="AX48" s="105">
        <v>0</v>
      </c>
      <c r="AY48" s="118">
        <f t="shared" si="7"/>
        <v>0</v>
      </c>
      <c r="AZ48" s="105">
        <v>0</v>
      </c>
      <c r="BA48" s="118">
        <f t="shared" si="8"/>
        <v>0</v>
      </c>
      <c r="BB48" s="5">
        <v>0</v>
      </c>
      <c r="BC48" s="127">
        <f t="shared" si="9"/>
        <v>0</v>
      </c>
      <c r="BD48" s="105">
        <v>0</v>
      </c>
      <c r="BE48" s="118">
        <f t="shared" si="10"/>
        <v>0</v>
      </c>
      <c r="BF48" s="5">
        <v>0</v>
      </c>
      <c r="BG48" s="118">
        <f t="shared" si="11"/>
        <v>0</v>
      </c>
      <c r="BH48" s="5">
        <v>0</v>
      </c>
      <c r="BI48" s="127">
        <f t="shared" si="12"/>
        <v>0</v>
      </c>
      <c r="BJ48" s="242" t="s">
        <v>509</v>
      </c>
      <c r="BL48" s="1" t="s">
        <v>455</v>
      </c>
      <c r="BM48" s="243" t="s">
        <v>510</v>
      </c>
      <c r="BN48" s="233"/>
      <c r="BO48" s="234"/>
    </row>
    <row r="49" spans="1:67">
      <c r="A49" s="219" t="s">
        <v>823</v>
      </c>
      <c r="B49" s="106" t="s">
        <v>354</v>
      </c>
      <c r="C49" s="66" t="s">
        <v>175</v>
      </c>
      <c r="D49" s="284"/>
      <c r="E49" s="136" t="s">
        <v>176</v>
      </c>
      <c r="F49" s="295"/>
      <c r="G49" s="86" t="s">
        <v>187</v>
      </c>
      <c r="H49" s="85" t="s">
        <v>507</v>
      </c>
      <c r="I49" s="85" t="s">
        <v>180</v>
      </c>
      <c r="J49" s="86" t="s">
        <v>193</v>
      </c>
      <c r="K49" s="85" t="s">
        <v>181</v>
      </c>
      <c r="L49" s="84" t="s">
        <v>185</v>
      </c>
      <c r="M49" s="83" t="s">
        <v>465</v>
      </c>
      <c r="N49" s="10">
        <v>4.21</v>
      </c>
      <c r="O49" s="10">
        <v>4.21</v>
      </c>
      <c r="P49" s="10">
        <v>4.21</v>
      </c>
      <c r="Q49" s="10">
        <v>4.21</v>
      </c>
      <c r="R49" s="10">
        <v>4.21</v>
      </c>
      <c r="S49" s="10">
        <v>4.21</v>
      </c>
      <c r="T49" s="10">
        <v>4.21</v>
      </c>
      <c r="U49" s="10">
        <v>4.21</v>
      </c>
      <c r="V49" s="10">
        <v>4.21</v>
      </c>
      <c r="W49" s="10">
        <v>4.21</v>
      </c>
      <c r="X49" s="10">
        <v>4.21</v>
      </c>
      <c r="Y49" s="257">
        <v>4.21</v>
      </c>
      <c r="Z49" s="10">
        <v>0.54</v>
      </c>
      <c r="AA49" s="10">
        <v>0.54</v>
      </c>
      <c r="AB49" s="10">
        <v>0.54</v>
      </c>
      <c r="AC49" s="10">
        <v>0.54</v>
      </c>
      <c r="AD49" s="10">
        <v>0.54</v>
      </c>
      <c r="AE49" s="10">
        <v>0.54</v>
      </c>
      <c r="AF49" s="10">
        <v>0.54</v>
      </c>
      <c r="AG49" s="10">
        <v>0.54</v>
      </c>
      <c r="AH49" s="10">
        <v>0.54</v>
      </c>
      <c r="AI49" s="10">
        <v>0.54</v>
      </c>
      <c r="AJ49" s="10">
        <v>0.54</v>
      </c>
      <c r="AK49" s="257">
        <v>0.54</v>
      </c>
      <c r="AL49" s="5">
        <v>159</v>
      </c>
      <c r="AM49" s="118">
        <f t="shared" si="13"/>
        <v>85.86</v>
      </c>
      <c r="AN49" s="5">
        <v>80</v>
      </c>
      <c r="AO49" s="118">
        <f t="shared" si="2"/>
        <v>43.2</v>
      </c>
      <c r="AP49" s="5">
        <v>0</v>
      </c>
      <c r="AQ49" s="127">
        <f t="shared" si="3"/>
        <v>0</v>
      </c>
      <c r="AR49" s="5">
        <v>0</v>
      </c>
      <c r="AS49" s="118">
        <f t="shared" si="4"/>
        <v>0</v>
      </c>
      <c r="AT49" s="5">
        <v>0</v>
      </c>
      <c r="AU49" s="118">
        <f t="shared" si="5"/>
        <v>0</v>
      </c>
      <c r="AV49" s="5">
        <v>0</v>
      </c>
      <c r="AW49" s="127">
        <f t="shared" si="6"/>
        <v>0</v>
      </c>
      <c r="AX49" s="105">
        <v>0</v>
      </c>
      <c r="AY49" s="118">
        <f t="shared" si="7"/>
        <v>0</v>
      </c>
      <c r="AZ49" s="105">
        <v>0</v>
      </c>
      <c r="BA49" s="118">
        <f t="shared" si="8"/>
        <v>0</v>
      </c>
      <c r="BB49" s="5">
        <v>0</v>
      </c>
      <c r="BC49" s="127">
        <f t="shared" si="9"/>
        <v>0</v>
      </c>
      <c r="BD49" s="105">
        <v>0</v>
      </c>
      <c r="BE49" s="118">
        <f t="shared" si="10"/>
        <v>0</v>
      </c>
      <c r="BF49" s="5">
        <v>0</v>
      </c>
      <c r="BG49" s="118">
        <f t="shared" si="11"/>
        <v>0</v>
      </c>
      <c r="BH49" s="5">
        <v>0</v>
      </c>
      <c r="BI49" s="127">
        <f t="shared" si="12"/>
        <v>0</v>
      </c>
      <c r="BJ49" s="220" t="s">
        <v>508</v>
      </c>
      <c r="BL49" s="1" t="s">
        <v>455</v>
      </c>
      <c r="BM49" s="1" t="s">
        <v>511</v>
      </c>
      <c r="BN49" s="233"/>
      <c r="BO49" s="234"/>
    </row>
    <row r="50" spans="1:67">
      <c r="A50" s="219" t="s">
        <v>823</v>
      </c>
      <c r="B50" s="106" t="s">
        <v>354</v>
      </c>
      <c r="C50" s="66" t="s">
        <v>175</v>
      </c>
      <c r="D50" s="284"/>
      <c r="E50" s="136" t="s">
        <v>176</v>
      </c>
      <c r="F50" s="295"/>
      <c r="G50" s="86" t="s">
        <v>187</v>
      </c>
      <c r="H50" s="85" t="s">
        <v>507</v>
      </c>
      <c r="I50" s="85" t="s">
        <v>180</v>
      </c>
      <c r="J50" s="86" t="s">
        <v>193</v>
      </c>
      <c r="K50" s="85" t="s">
        <v>181</v>
      </c>
      <c r="L50" s="84" t="s">
        <v>185</v>
      </c>
      <c r="M50" s="83" t="s">
        <v>465</v>
      </c>
      <c r="N50" s="10">
        <v>4.21</v>
      </c>
      <c r="O50" s="10">
        <v>4.21</v>
      </c>
      <c r="P50" s="10">
        <v>4.21</v>
      </c>
      <c r="Q50" s="10">
        <v>4.21</v>
      </c>
      <c r="R50" s="10">
        <v>4.21</v>
      </c>
      <c r="S50" s="10">
        <v>4.21</v>
      </c>
      <c r="T50" s="10">
        <v>4.21</v>
      </c>
      <c r="U50" s="10">
        <v>4.21</v>
      </c>
      <c r="V50" s="10">
        <v>4.21</v>
      </c>
      <c r="W50" s="10">
        <v>4.21</v>
      </c>
      <c r="X50" s="10">
        <v>4.21</v>
      </c>
      <c r="Y50" s="257">
        <v>4.21</v>
      </c>
      <c r="Z50" s="10">
        <v>0.54</v>
      </c>
      <c r="AA50" s="10">
        <v>0.54</v>
      </c>
      <c r="AB50" s="10">
        <v>0.54</v>
      </c>
      <c r="AC50" s="10">
        <v>0.54</v>
      </c>
      <c r="AD50" s="10">
        <v>0.54</v>
      </c>
      <c r="AE50" s="10">
        <v>0.54</v>
      </c>
      <c r="AF50" s="10">
        <v>0.54</v>
      </c>
      <c r="AG50" s="10">
        <v>0.54</v>
      </c>
      <c r="AH50" s="10">
        <v>0.54</v>
      </c>
      <c r="AI50" s="10">
        <v>0.54</v>
      </c>
      <c r="AJ50" s="10">
        <v>0.54</v>
      </c>
      <c r="AK50" s="257">
        <v>0.54</v>
      </c>
      <c r="AL50" s="5">
        <v>0</v>
      </c>
      <c r="AM50" s="118">
        <f t="shared" si="13"/>
        <v>0</v>
      </c>
      <c r="AN50" s="5">
        <v>0</v>
      </c>
      <c r="AO50" s="118">
        <f t="shared" si="2"/>
        <v>0</v>
      </c>
      <c r="AP50" s="5">
        <v>0</v>
      </c>
      <c r="AQ50" s="127">
        <f t="shared" si="3"/>
        <v>0</v>
      </c>
      <c r="AR50" s="5">
        <v>0</v>
      </c>
      <c r="AS50" s="118">
        <f t="shared" si="4"/>
        <v>0</v>
      </c>
      <c r="AT50" s="5">
        <v>0</v>
      </c>
      <c r="AU50" s="118">
        <f t="shared" si="5"/>
        <v>0</v>
      </c>
      <c r="AV50" s="5">
        <v>0</v>
      </c>
      <c r="AW50" s="127">
        <f t="shared" si="6"/>
        <v>0</v>
      </c>
      <c r="AX50" s="105">
        <v>0</v>
      </c>
      <c r="AY50" s="118">
        <f t="shared" si="7"/>
        <v>0</v>
      </c>
      <c r="AZ50" s="105">
        <v>0</v>
      </c>
      <c r="BA50" s="118">
        <f t="shared" si="8"/>
        <v>0</v>
      </c>
      <c r="BB50" s="5">
        <v>0</v>
      </c>
      <c r="BC50" s="127">
        <f t="shared" si="9"/>
        <v>0</v>
      </c>
      <c r="BD50" s="105">
        <v>0</v>
      </c>
      <c r="BE50" s="118">
        <f t="shared" si="10"/>
        <v>0</v>
      </c>
      <c r="BF50" s="5">
        <v>0</v>
      </c>
      <c r="BG50" s="118">
        <f t="shared" si="11"/>
        <v>0</v>
      </c>
      <c r="BH50" s="5">
        <v>0</v>
      </c>
      <c r="BI50" s="127">
        <f t="shared" si="12"/>
        <v>0</v>
      </c>
      <c r="BJ50" s="220" t="s">
        <v>508</v>
      </c>
      <c r="BL50" s="1" t="s">
        <v>455</v>
      </c>
      <c r="BM50" s="1" t="s">
        <v>493</v>
      </c>
      <c r="BN50" s="233"/>
      <c r="BO50" s="234"/>
    </row>
    <row r="51" spans="1:67">
      <c r="A51" s="219" t="s">
        <v>823</v>
      </c>
      <c r="B51" s="106" t="s">
        <v>354</v>
      </c>
      <c r="C51" s="66" t="s">
        <v>175</v>
      </c>
      <c r="D51" s="284"/>
      <c r="E51" s="136" t="s">
        <v>176</v>
      </c>
      <c r="F51" s="295"/>
      <c r="G51" s="86" t="s">
        <v>187</v>
      </c>
      <c r="H51" s="85" t="s">
        <v>507</v>
      </c>
      <c r="I51" s="85" t="s">
        <v>180</v>
      </c>
      <c r="J51" s="86" t="s">
        <v>193</v>
      </c>
      <c r="K51" s="85" t="s">
        <v>181</v>
      </c>
      <c r="L51" s="84" t="s">
        <v>185</v>
      </c>
      <c r="M51" s="83" t="s">
        <v>465</v>
      </c>
      <c r="N51" s="10">
        <v>4.21</v>
      </c>
      <c r="O51" s="10">
        <v>4.21</v>
      </c>
      <c r="P51" s="10">
        <v>4.21</v>
      </c>
      <c r="Q51" s="10">
        <v>4.21</v>
      </c>
      <c r="R51" s="10">
        <v>4.21</v>
      </c>
      <c r="S51" s="10">
        <v>4.21</v>
      </c>
      <c r="T51" s="10">
        <v>4.21</v>
      </c>
      <c r="U51" s="10">
        <v>4.21</v>
      </c>
      <c r="V51" s="10">
        <v>4.21</v>
      </c>
      <c r="W51" s="10">
        <v>4.21</v>
      </c>
      <c r="X51" s="10">
        <v>4.21</v>
      </c>
      <c r="Y51" s="257">
        <v>4.21</v>
      </c>
      <c r="Z51" s="10">
        <v>0.54</v>
      </c>
      <c r="AA51" s="10">
        <v>0.54</v>
      </c>
      <c r="AB51" s="10">
        <v>0.54</v>
      </c>
      <c r="AC51" s="10">
        <v>0.54</v>
      </c>
      <c r="AD51" s="10">
        <v>0.54</v>
      </c>
      <c r="AE51" s="10">
        <v>0.54</v>
      </c>
      <c r="AF51" s="10">
        <v>0.54</v>
      </c>
      <c r="AG51" s="10">
        <v>0.54</v>
      </c>
      <c r="AH51" s="10">
        <v>0.54</v>
      </c>
      <c r="AI51" s="10">
        <v>0.54</v>
      </c>
      <c r="AJ51" s="10">
        <v>0.54</v>
      </c>
      <c r="AK51" s="257">
        <v>0.54</v>
      </c>
      <c r="AL51" s="5">
        <v>0</v>
      </c>
      <c r="AM51" s="118">
        <f t="shared" si="13"/>
        <v>0</v>
      </c>
      <c r="AN51" s="5">
        <v>0</v>
      </c>
      <c r="AO51" s="118">
        <f t="shared" si="2"/>
        <v>0</v>
      </c>
      <c r="AP51" s="5">
        <v>0</v>
      </c>
      <c r="AQ51" s="127">
        <f t="shared" si="3"/>
        <v>0</v>
      </c>
      <c r="AR51" s="5">
        <v>0</v>
      </c>
      <c r="AS51" s="118">
        <f t="shared" si="4"/>
        <v>0</v>
      </c>
      <c r="AT51" s="5">
        <v>0</v>
      </c>
      <c r="AU51" s="118">
        <f t="shared" si="5"/>
        <v>0</v>
      </c>
      <c r="AV51" s="5">
        <v>0</v>
      </c>
      <c r="AW51" s="127">
        <f t="shared" si="6"/>
        <v>0</v>
      </c>
      <c r="AX51" s="105">
        <v>0</v>
      </c>
      <c r="AY51" s="118">
        <f t="shared" si="7"/>
        <v>0</v>
      </c>
      <c r="AZ51" s="105">
        <v>0</v>
      </c>
      <c r="BA51" s="118">
        <f t="shared" si="8"/>
        <v>0</v>
      </c>
      <c r="BB51" s="5">
        <v>0</v>
      </c>
      <c r="BC51" s="127">
        <f t="shared" si="9"/>
        <v>0</v>
      </c>
      <c r="BD51" s="105">
        <v>0</v>
      </c>
      <c r="BE51" s="118">
        <f t="shared" si="10"/>
        <v>0</v>
      </c>
      <c r="BF51" s="5">
        <v>0</v>
      </c>
      <c r="BG51" s="118">
        <f t="shared" si="11"/>
        <v>0</v>
      </c>
      <c r="BH51" s="5">
        <v>0</v>
      </c>
      <c r="BI51" s="127">
        <f t="shared" si="12"/>
        <v>0</v>
      </c>
      <c r="BJ51" s="220" t="s">
        <v>508</v>
      </c>
      <c r="BL51" s="1" t="s">
        <v>455</v>
      </c>
      <c r="BM51" s="1" t="s">
        <v>512</v>
      </c>
      <c r="BN51" s="233"/>
      <c r="BO51" s="234"/>
    </row>
    <row r="52" spans="1:67">
      <c r="A52" s="219" t="s">
        <v>823</v>
      </c>
      <c r="B52" s="106" t="s">
        <v>354</v>
      </c>
      <c r="C52" s="66" t="s">
        <v>175</v>
      </c>
      <c r="D52" s="284"/>
      <c r="E52" s="136" t="s">
        <v>176</v>
      </c>
      <c r="F52" s="295"/>
      <c r="G52" s="86" t="s">
        <v>187</v>
      </c>
      <c r="H52" s="85" t="s">
        <v>507</v>
      </c>
      <c r="I52" s="85" t="s">
        <v>180</v>
      </c>
      <c r="J52" s="86" t="s">
        <v>193</v>
      </c>
      <c r="K52" s="85" t="s">
        <v>181</v>
      </c>
      <c r="L52" s="84" t="s">
        <v>185</v>
      </c>
      <c r="M52" s="83" t="s">
        <v>465</v>
      </c>
      <c r="N52" s="10">
        <v>4.21</v>
      </c>
      <c r="O52" s="10">
        <v>4.21</v>
      </c>
      <c r="P52" s="10">
        <v>4.21</v>
      </c>
      <c r="Q52" s="10">
        <v>4.21</v>
      </c>
      <c r="R52" s="10">
        <v>4.21</v>
      </c>
      <c r="S52" s="10">
        <v>4.21</v>
      </c>
      <c r="T52" s="10">
        <v>4.21</v>
      </c>
      <c r="U52" s="10">
        <v>4.21</v>
      </c>
      <c r="V52" s="10">
        <v>4.21</v>
      </c>
      <c r="W52" s="10">
        <v>4.21</v>
      </c>
      <c r="X52" s="10">
        <v>4.21</v>
      </c>
      <c r="Y52" s="257">
        <v>4.21</v>
      </c>
      <c r="Z52" s="10">
        <v>0.54</v>
      </c>
      <c r="AA52" s="10">
        <v>0.54</v>
      </c>
      <c r="AB52" s="10">
        <v>0.54</v>
      </c>
      <c r="AC52" s="10">
        <v>0.54</v>
      </c>
      <c r="AD52" s="10">
        <v>0.54</v>
      </c>
      <c r="AE52" s="10">
        <v>0.54</v>
      </c>
      <c r="AF52" s="10">
        <v>0.54</v>
      </c>
      <c r="AG52" s="10">
        <v>0.54</v>
      </c>
      <c r="AH52" s="10">
        <v>0.54</v>
      </c>
      <c r="AI52" s="10">
        <v>0.54</v>
      </c>
      <c r="AJ52" s="10">
        <v>0.54</v>
      </c>
      <c r="AK52" s="257">
        <v>0.54</v>
      </c>
      <c r="AL52" s="5">
        <v>0</v>
      </c>
      <c r="AM52" s="118">
        <f t="shared" si="13"/>
        <v>0</v>
      </c>
      <c r="AN52" s="5">
        <v>0</v>
      </c>
      <c r="AO52" s="118">
        <f t="shared" si="2"/>
        <v>0</v>
      </c>
      <c r="AP52" s="5">
        <v>0</v>
      </c>
      <c r="AQ52" s="127">
        <f t="shared" si="3"/>
        <v>0</v>
      </c>
      <c r="AR52" s="5">
        <v>0</v>
      </c>
      <c r="AS52" s="118">
        <f t="shared" si="4"/>
        <v>0</v>
      </c>
      <c r="AT52" s="5">
        <v>0</v>
      </c>
      <c r="AU52" s="118">
        <f t="shared" si="5"/>
        <v>0</v>
      </c>
      <c r="AV52" s="5">
        <v>0</v>
      </c>
      <c r="AW52" s="127">
        <f t="shared" si="6"/>
        <v>0</v>
      </c>
      <c r="AX52" s="105">
        <v>0</v>
      </c>
      <c r="AY52" s="118">
        <f t="shared" si="7"/>
        <v>0</v>
      </c>
      <c r="AZ52" s="105">
        <v>0</v>
      </c>
      <c r="BA52" s="118">
        <f t="shared" si="8"/>
        <v>0</v>
      </c>
      <c r="BB52" s="5">
        <v>0</v>
      </c>
      <c r="BC52" s="127">
        <f t="shared" si="9"/>
        <v>0</v>
      </c>
      <c r="BD52" s="105">
        <v>0</v>
      </c>
      <c r="BE52" s="118">
        <f t="shared" si="10"/>
        <v>0</v>
      </c>
      <c r="BF52" s="5">
        <v>0</v>
      </c>
      <c r="BG52" s="118">
        <f t="shared" si="11"/>
        <v>0</v>
      </c>
      <c r="BH52" s="5">
        <v>0</v>
      </c>
      <c r="BI52" s="127">
        <f t="shared" si="12"/>
        <v>0</v>
      </c>
      <c r="BJ52" s="220" t="s">
        <v>508</v>
      </c>
      <c r="BL52" s="1" t="s">
        <v>455</v>
      </c>
      <c r="BM52" s="1" t="s">
        <v>513</v>
      </c>
      <c r="BN52" s="233"/>
      <c r="BO52" s="234"/>
    </row>
    <row r="53" spans="1:67">
      <c r="A53" s="219" t="s">
        <v>823</v>
      </c>
      <c r="B53" s="106" t="s">
        <v>354</v>
      </c>
      <c r="C53" s="66" t="s">
        <v>175</v>
      </c>
      <c r="D53" s="284"/>
      <c r="E53" s="136" t="s">
        <v>176</v>
      </c>
      <c r="F53" s="295"/>
      <c r="G53" s="86" t="s">
        <v>187</v>
      </c>
      <c r="H53" s="85" t="s">
        <v>507</v>
      </c>
      <c r="I53" s="85" t="s">
        <v>180</v>
      </c>
      <c r="J53" s="86" t="s">
        <v>193</v>
      </c>
      <c r="K53" s="85" t="s">
        <v>181</v>
      </c>
      <c r="L53" s="84" t="s">
        <v>185</v>
      </c>
      <c r="M53" s="83" t="s">
        <v>465</v>
      </c>
      <c r="N53" s="10">
        <v>4.21</v>
      </c>
      <c r="O53" s="10">
        <v>4.21</v>
      </c>
      <c r="P53" s="10">
        <v>4.21</v>
      </c>
      <c r="Q53" s="10">
        <v>4.21</v>
      </c>
      <c r="R53" s="10">
        <v>4.21</v>
      </c>
      <c r="S53" s="10">
        <v>4.21</v>
      </c>
      <c r="T53" s="10">
        <v>4.21</v>
      </c>
      <c r="U53" s="10">
        <v>4.21</v>
      </c>
      <c r="V53" s="10">
        <v>4.21</v>
      </c>
      <c r="W53" s="10">
        <v>4.21</v>
      </c>
      <c r="X53" s="10">
        <v>4.21</v>
      </c>
      <c r="Y53" s="257">
        <v>4.21</v>
      </c>
      <c r="Z53" s="10">
        <v>0.54</v>
      </c>
      <c r="AA53" s="10">
        <v>0.54</v>
      </c>
      <c r="AB53" s="10">
        <v>0.54</v>
      </c>
      <c r="AC53" s="10">
        <v>0.54</v>
      </c>
      <c r="AD53" s="10">
        <v>0.54</v>
      </c>
      <c r="AE53" s="10">
        <v>0.54</v>
      </c>
      <c r="AF53" s="10">
        <v>0.54</v>
      </c>
      <c r="AG53" s="10">
        <v>0.54</v>
      </c>
      <c r="AH53" s="10">
        <v>0.54</v>
      </c>
      <c r="AI53" s="10">
        <v>0.54</v>
      </c>
      <c r="AJ53" s="10">
        <v>0.54</v>
      </c>
      <c r="AK53" s="257">
        <v>0.54</v>
      </c>
      <c r="AL53" s="5">
        <v>40</v>
      </c>
      <c r="AM53" s="118">
        <f t="shared" si="13"/>
        <v>21.6</v>
      </c>
      <c r="AN53" s="5">
        <v>0</v>
      </c>
      <c r="AO53" s="118">
        <f t="shared" si="2"/>
        <v>0</v>
      </c>
      <c r="AP53" s="5">
        <v>0</v>
      </c>
      <c r="AQ53" s="127">
        <f t="shared" si="3"/>
        <v>0</v>
      </c>
      <c r="AR53" s="5">
        <v>0</v>
      </c>
      <c r="AS53" s="118">
        <f t="shared" si="4"/>
        <v>0</v>
      </c>
      <c r="AT53" s="5">
        <v>0</v>
      </c>
      <c r="AU53" s="118">
        <f t="shared" si="5"/>
        <v>0</v>
      </c>
      <c r="AV53" s="5">
        <v>0</v>
      </c>
      <c r="AW53" s="127">
        <f t="shared" si="6"/>
        <v>0</v>
      </c>
      <c r="AX53" s="105">
        <v>0</v>
      </c>
      <c r="AY53" s="118">
        <f t="shared" si="7"/>
        <v>0</v>
      </c>
      <c r="AZ53" s="105">
        <v>0</v>
      </c>
      <c r="BA53" s="118">
        <f t="shared" si="8"/>
        <v>0</v>
      </c>
      <c r="BB53" s="5">
        <v>0</v>
      </c>
      <c r="BC53" s="127">
        <f t="shared" si="9"/>
        <v>0</v>
      </c>
      <c r="BD53" s="105">
        <v>0</v>
      </c>
      <c r="BE53" s="118">
        <f t="shared" si="10"/>
        <v>0</v>
      </c>
      <c r="BF53" s="5">
        <v>0</v>
      </c>
      <c r="BG53" s="118">
        <f t="shared" si="11"/>
        <v>0</v>
      </c>
      <c r="BH53" s="5">
        <v>0</v>
      </c>
      <c r="BI53" s="127">
        <f t="shared" si="12"/>
        <v>0</v>
      </c>
      <c r="BJ53" s="220" t="s">
        <v>514</v>
      </c>
      <c r="BL53" s="1" t="s">
        <v>455</v>
      </c>
      <c r="BM53" s="1" t="s">
        <v>511</v>
      </c>
      <c r="BN53" s="233"/>
      <c r="BO53" s="234"/>
    </row>
    <row r="54" spans="1:67">
      <c r="A54" s="219" t="s">
        <v>823</v>
      </c>
      <c r="B54" s="106" t="s">
        <v>354</v>
      </c>
      <c r="C54" s="66" t="s">
        <v>175</v>
      </c>
      <c r="D54" s="284"/>
      <c r="E54" s="136" t="s">
        <v>176</v>
      </c>
      <c r="F54" s="295"/>
      <c r="G54" s="86" t="s">
        <v>187</v>
      </c>
      <c r="H54" s="85" t="s">
        <v>507</v>
      </c>
      <c r="I54" s="85" t="s">
        <v>180</v>
      </c>
      <c r="J54" s="86" t="s">
        <v>193</v>
      </c>
      <c r="K54" s="85" t="s">
        <v>181</v>
      </c>
      <c r="L54" s="84" t="s">
        <v>185</v>
      </c>
      <c r="M54" s="83" t="s">
        <v>465</v>
      </c>
      <c r="N54" s="10">
        <v>4.21</v>
      </c>
      <c r="O54" s="10">
        <v>4.21</v>
      </c>
      <c r="P54" s="10">
        <v>4.21</v>
      </c>
      <c r="Q54" s="10">
        <v>4.21</v>
      </c>
      <c r="R54" s="10">
        <v>4.21</v>
      </c>
      <c r="S54" s="10">
        <v>4.21</v>
      </c>
      <c r="T54" s="10">
        <v>4.21</v>
      </c>
      <c r="U54" s="10">
        <v>4.21</v>
      </c>
      <c r="V54" s="10">
        <v>4.21</v>
      </c>
      <c r="W54" s="10">
        <v>4.21</v>
      </c>
      <c r="X54" s="10">
        <v>4.21</v>
      </c>
      <c r="Y54" s="257">
        <v>4.21</v>
      </c>
      <c r="Z54" s="10">
        <v>0.54</v>
      </c>
      <c r="AA54" s="10">
        <v>0.54</v>
      </c>
      <c r="AB54" s="10">
        <v>0.54</v>
      </c>
      <c r="AC54" s="10">
        <v>0.54</v>
      </c>
      <c r="AD54" s="10">
        <v>0.54</v>
      </c>
      <c r="AE54" s="10">
        <v>0.54</v>
      </c>
      <c r="AF54" s="10">
        <v>0.54</v>
      </c>
      <c r="AG54" s="10">
        <v>0.54</v>
      </c>
      <c r="AH54" s="10">
        <v>0.54</v>
      </c>
      <c r="AI54" s="10">
        <v>0.54</v>
      </c>
      <c r="AJ54" s="10">
        <v>0.54</v>
      </c>
      <c r="AK54" s="257">
        <v>0.54</v>
      </c>
      <c r="AL54" s="5">
        <v>0</v>
      </c>
      <c r="AM54" s="118">
        <f t="shared" si="13"/>
        <v>0</v>
      </c>
      <c r="AN54" s="5">
        <v>0</v>
      </c>
      <c r="AO54" s="118">
        <f t="shared" si="2"/>
        <v>0</v>
      </c>
      <c r="AP54" s="5">
        <v>40</v>
      </c>
      <c r="AQ54" s="127">
        <f t="shared" si="3"/>
        <v>21.6</v>
      </c>
      <c r="AR54" s="5">
        <v>0</v>
      </c>
      <c r="AS54" s="118">
        <f t="shared" si="4"/>
        <v>0</v>
      </c>
      <c r="AT54" s="5">
        <v>0</v>
      </c>
      <c r="AU54" s="118">
        <f t="shared" si="5"/>
        <v>0</v>
      </c>
      <c r="AV54" s="5">
        <v>0</v>
      </c>
      <c r="AW54" s="127">
        <f t="shared" si="6"/>
        <v>0</v>
      </c>
      <c r="AX54" s="105">
        <v>0</v>
      </c>
      <c r="AY54" s="118">
        <f t="shared" si="7"/>
        <v>0</v>
      </c>
      <c r="AZ54" s="105">
        <v>0</v>
      </c>
      <c r="BA54" s="118">
        <f t="shared" si="8"/>
        <v>0</v>
      </c>
      <c r="BB54" s="5">
        <v>0</v>
      </c>
      <c r="BC54" s="127">
        <f t="shared" si="9"/>
        <v>0</v>
      </c>
      <c r="BD54" s="105">
        <v>0</v>
      </c>
      <c r="BE54" s="118">
        <f t="shared" si="10"/>
        <v>0</v>
      </c>
      <c r="BF54" s="5">
        <v>0</v>
      </c>
      <c r="BG54" s="118">
        <f t="shared" si="11"/>
        <v>0</v>
      </c>
      <c r="BH54" s="5">
        <v>0</v>
      </c>
      <c r="BI54" s="127">
        <f t="shared" si="12"/>
        <v>0</v>
      </c>
      <c r="BJ54" s="220" t="s">
        <v>514</v>
      </c>
      <c r="BL54" s="1" t="s">
        <v>455</v>
      </c>
      <c r="BM54" s="1" t="s">
        <v>512</v>
      </c>
      <c r="BN54" s="233"/>
      <c r="BO54" s="234"/>
    </row>
    <row r="55" spans="1:67">
      <c r="A55" s="219" t="s">
        <v>823</v>
      </c>
      <c r="B55" s="106" t="s">
        <v>354</v>
      </c>
      <c r="C55" s="66" t="s">
        <v>175</v>
      </c>
      <c r="D55" s="284"/>
      <c r="E55" s="136" t="s">
        <v>176</v>
      </c>
      <c r="F55" s="295"/>
      <c r="G55" s="86" t="s">
        <v>187</v>
      </c>
      <c r="H55" s="85" t="s">
        <v>507</v>
      </c>
      <c r="I55" s="85" t="s">
        <v>180</v>
      </c>
      <c r="J55" s="86" t="s">
        <v>193</v>
      </c>
      <c r="K55" s="85" t="s">
        <v>181</v>
      </c>
      <c r="L55" s="84" t="s">
        <v>185</v>
      </c>
      <c r="M55" s="83" t="s">
        <v>465</v>
      </c>
      <c r="N55" s="10">
        <v>4.21</v>
      </c>
      <c r="O55" s="10">
        <v>4.21</v>
      </c>
      <c r="P55" s="10">
        <v>4.21</v>
      </c>
      <c r="Q55" s="10">
        <v>4.21</v>
      </c>
      <c r="R55" s="10">
        <v>4.21</v>
      </c>
      <c r="S55" s="10">
        <v>4.21</v>
      </c>
      <c r="T55" s="10">
        <v>4.21</v>
      </c>
      <c r="U55" s="10">
        <v>4.21</v>
      </c>
      <c r="V55" s="10">
        <v>4.21</v>
      </c>
      <c r="W55" s="10">
        <v>4.21</v>
      </c>
      <c r="X55" s="10">
        <v>4.21</v>
      </c>
      <c r="Y55" s="257">
        <v>4.21</v>
      </c>
      <c r="Z55" s="10">
        <v>0.54</v>
      </c>
      <c r="AA55" s="10">
        <v>0.54</v>
      </c>
      <c r="AB55" s="10">
        <v>0.54</v>
      </c>
      <c r="AC55" s="10">
        <v>0.54</v>
      </c>
      <c r="AD55" s="10">
        <v>0.54</v>
      </c>
      <c r="AE55" s="10">
        <v>0.54</v>
      </c>
      <c r="AF55" s="10">
        <v>0.54</v>
      </c>
      <c r="AG55" s="10">
        <v>0.54</v>
      </c>
      <c r="AH55" s="10">
        <v>0.54</v>
      </c>
      <c r="AI55" s="10">
        <v>0.54</v>
      </c>
      <c r="AJ55" s="10">
        <v>0.54</v>
      </c>
      <c r="AK55" s="257">
        <v>0.54</v>
      </c>
      <c r="AL55" s="5">
        <v>0</v>
      </c>
      <c r="AM55" s="118">
        <f t="shared" si="13"/>
        <v>0</v>
      </c>
      <c r="AN55" s="5">
        <v>0</v>
      </c>
      <c r="AO55" s="118">
        <f t="shared" si="2"/>
        <v>0</v>
      </c>
      <c r="AP55" s="5">
        <v>0</v>
      </c>
      <c r="AQ55" s="127">
        <f t="shared" si="3"/>
        <v>0</v>
      </c>
      <c r="AR55" s="5">
        <v>0</v>
      </c>
      <c r="AS55" s="118">
        <f t="shared" si="4"/>
        <v>0</v>
      </c>
      <c r="AT55" s="5">
        <v>0</v>
      </c>
      <c r="AU55" s="118">
        <f t="shared" si="5"/>
        <v>0</v>
      </c>
      <c r="AV55" s="5">
        <v>0</v>
      </c>
      <c r="AW55" s="127">
        <f t="shared" si="6"/>
        <v>0</v>
      </c>
      <c r="AX55" s="105">
        <v>0</v>
      </c>
      <c r="AY55" s="118">
        <f t="shared" si="7"/>
        <v>0</v>
      </c>
      <c r="AZ55" s="105">
        <v>0</v>
      </c>
      <c r="BA55" s="118">
        <f t="shared" si="8"/>
        <v>0</v>
      </c>
      <c r="BB55" s="5">
        <v>0</v>
      </c>
      <c r="BC55" s="127">
        <f t="shared" si="9"/>
        <v>0</v>
      </c>
      <c r="BD55" s="105">
        <v>0</v>
      </c>
      <c r="BE55" s="118">
        <f t="shared" si="10"/>
        <v>0</v>
      </c>
      <c r="BF55" s="5">
        <v>0</v>
      </c>
      <c r="BG55" s="118">
        <f t="shared" si="11"/>
        <v>0</v>
      </c>
      <c r="BH55" s="5">
        <v>0</v>
      </c>
      <c r="BI55" s="127">
        <f t="shared" si="12"/>
        <v>0</v>
      </c>
      <c r="BJ55" s="220" t="s">
        <v>514</v>
      </c>
      <c r="BL55" s="1" t="s">
        <v>455</v>
      </c>
      <c r="BM55" s="1" t="s">
        <v>496</v>
      </c>
      <c r="BN55" s="233"/>
      <c r="BO55" s="234"/>
    </row>
    <row r="56" spans="1:67">
      <c r="A56" s="219" t="s">
        <v>823</v>
      </c>
      <c r="B56" s="106" t="s">
        <v>354</v>
      </c>
      <c r="C56" s="66" t="s">
        <v>175</v>
      </c>
      <c r="D56" s="284"/>
      <c r="E56" s="136" t="s">
        <v>176</v>
      </c>
      <c r="F56" s="295"/>
      <c r="G56" s="86" t="s">
        <v>187</v>
      </c>
      <c r="H56" s="85" t="s">
        <v>507</v>
      </c>
      <c r="I56" s="85" t="s">
        <v>180</v>
      </c>
      <c r="J56" s="86" t="s">
        <v>193</v>
      </c>
      <c r="K56" s="85" t="s">
        <v>181</v>
      </c>
      <c r="L56" s="84" t="s">
        <v>185</v>
      </c>
      <c r="M56" s="83" t="s">
        <v>465</v>
      </c>
      <c r="N56" s="10">
        <v>4.21</v>
      </c>
      <c r="O56" s="10">
        <v>4.21</v>
      </c>
      <c r="P56" s="10">
        <v>4.21</v>
      </c>
      <c r="Q56" s="10">
        <v>4.21</v>
      </c>
      <c r="R56" s="10">
        <v>4.21</v>
      </c>
      <c r="S56" s="10">
        <v>4.21</v>
      </c>
      <c r="T56" s="10">
        <v>4.21</v>
      </c>
      <c r="U56" s="10">
        <v>4.21</v>
      </c>
      <c r="V56" s="10">
        <v>4.21</v>
      </c>
      <c r="W56" s="10">
        <v>4.21</v>
      </c>
      <c r="X56" s="10">
        <v>4.21</v>
      </c>
      <c r="Y56" s="257">
        <v>4.21</v>
      </c>
      <c r="Z56" s="10">
        <v>0.54</v>
      </c>
      <c r="AA56" s="10">
        <v>0.54</v>
      </c>
      <c r="AB56" s="10">
        <v>0.54</v>
      </c>
      <c r="AC56" s="10">
        <v>0.54</v>
      </c>
      <c r="AD56" s="10">
        <v>0.54</v>
      </c>
      <c r="AE56" s="10">
        <v>0.54</v>
      </c>
      <c r="AF56" s="10">
        <v>0.54</v>
      </c>
      <c r="AG56" s="10">
        <v>0.54</v>
      </c>
      <c r="AH56" s="10">
        <v>0.54</v>
      </c>
      <c r="AI56" s="10">
        <v>0.54</v>
      </c>
      <c r="AJ56" s="10">
        <v>0.54</v>
      </c>
      <c r="AK56" s="257">
        <v>0.54</v>
      </c>
      <c r="AL56" s="5">
        <v>0</v>
      </c>
      <c r="AM56" s="118">
        <f t="shared" si="13"/>
        <v>0</v>
      </c>
      <c r="AN56" s="5">
        <v>0</v>
      </c>
      <c r="AO56" s="118">
        <f t="shared" si="2"/>
        <v>0</v>
      </c>
      <c r="AP56" s="5">
        <v>0</v>
      </c>
      <c r="AQ56" s="127">
        <f t="shared" si="3"/>
        <v>0</v>
      </c>
      <c r="AR56" s="5">
        <v>0</v>
      </c>
      <c r="AS56" s="118">
        <f t="shared" si="4"/>
        <v>0</v>
      </c>
      <c r="AT56" s="5">
        <v>0</v>
      </c>
      <c r="AU56" s="118">
        <f t="shared" si="5"/>
        <v>0</v>
      </c>
      <c r="AV56" s="5">
        <v>0</v>
      </c>
      <c r="AW56" s="127">
        <f t="shared" si="6"/>
        <v>0</v>
      </c>
      <c r="AX56" s="105">
        <v>0</v>
      </c>
      <c r="AY56" s="118">
        <f t="shared" si="7"/>
        <v>0</v>
      </c>
      <c r="AZ56" s="105">
        <v>0</v>
      </c>
      <c r="BA56" s="118">
        <f t="shared" si="8"/>
        <v>0</v>
      </c>
      <c r="BB56" s="5">
        <v>0</v>
      </c>
      <c r="BC56" s="127">
        <f t="shared" si="9"/>
        <v>0</v>
      </c>
      <c r="BD56" s="105">
        <v>0</v>
      </c>
      <c r="BE56" s="118">
        <f t="shared" si="10"/>
        <v>0</v>
      </c>
      <c r="BF56" s="5">
        <v>0</v>
      </c>
      <c r="BG56" s="118">
        <f t="shared" si="11"/>
        <v>0</v>
      </c>
      <c r="BH56" s="5">
        <v>0</v>
      </c>
      <c r="BI56" s="127">
        <f t="shared" si="12"/>
        <v>0</v>
      </c>
      <c r="BJ56" s="242" t="s">
        <v>515</v>
      </c>
      <c r="BL56" s="1" t="s">
        <v>455</v>
      </c>
      <c r="BM56" s="243" t="s">
        <v>516</v>
      </c>
      <c r="BN56" s="233"/>
      <c r="BO56" s="234"/>
    </row>
    <row r="57" spans="1:67">
      <c r="A57" s="219" t="s">
        <v>823</v>
      </c>
      <c r="B57" s="106" t="s">
        <v>354</v>
      </c>
      <c r="C57" s="66" t="s">
        <v>175</v>
      </c>
      <c r="D57" s="284"/>
      <c r="E57" s="136" t="s">
        <v>176</v>
      </c>
      <c r="F57" s="295"/>
      <c r="G57" s="86" t="s">
        <v>187</v>
      </c>
      <c r="H57" s="85" t="s">
        <v>507</v>
      </c>
      <c r="I57" s="85" t="s">
        <v>184</v>
      </c>
      <c r="J57" s="86" t="s">
        <v>193</v>
      </c>
      <c r="K57" s="85" t="s">
        <v>181</v>
      </c>
      <c r="L57" s="84" t="s">
        <v>185</v>
      </c>
      <c r="M57" s="83" t="s">
        <v>465</v>
      </c>
      <c r="N57" s="10">
        <v>9.6300000000000008</v>
      </c>
      <c r="O57" s="10">
        <v>9.6300000000000008</v>
      </c>
      <c r="P57" s="10">
        <v>9.6300000000000008</v>
      </c>
      <c r="Q57" s="10">
        <v>9.6300000000000008</v>
      </c>
      <c r="R57" s="10">
        <v>9.6300000000000008</v>
      </c>
      <c r="S57" s="10">
        <v>9.6300000000000008</v>
      </c>
      <c r="T57" s="10">
        <v>9.6300000000000008</v>
      </c>
      <c r="U57" s="10">
        <v>9.6300000000000008</v>
      </c>
      <c r="V57" s="10">
        <v>9.6300000000000008</v>
      </c>
      <c r="W57" s="10">
        <v>9.6300000000000008</v>
      </c>
      <c r="X57" s="10">
        <v>9.6300000000000008</v>
      </c>
      <c r="Y57" s="257">
        <v>9.6300000000000008</v>
      </c>
      <c r="Z57" s="10">
        <v>1.42</v>
      </c>
      <c r="AA57" s="10">
        <v>1.42</v>
      </c>
      <c r="AB57" s="10">
        <v>1.42</v>
      </c>
      <c r="AC57" s="10">
        <v>1.42</v>
      </c>
      <c r="AD57" s="10">
        <v>1.42</v>
      </c>
      <c r="AE57" s="10">
        <v>1.42</v>
      </c>
      <c r="AF57" s="10">
        <v>1.42</v>
      </c>
      <c r="AG57" s="10">
        <v>1.42</v>
      </c>
      <c r="AH57" s="10">
        <v>1.42</v>
      </c>
      <c r="AI57" s="10">
        <v>1.42</v>
      </c>
      <c r="AJ57" s="10">
        <v>1.42</v>
      </c>
      <c r="AK57" s="257">
        <v>1.42</v>
      </c>
      <c r="AL57" s="5">
        <v>0</v>
      </c>
      <c r="AM57" s="118">
        <f t="shared" si="13"/>
        <v>0</v>
      </c>
      <c r="AN57" s="5">
        <v>0</v>
      </c>
      <c r="AO57" s="118">
        <f t="shared" si="2"/>
        <v>0</v>
      </c>
      <c r="AP57" s="5">
        <v>0</v>
      </c>
      <c r="AQ57" s="127">
        <f t="shared" si="3"/>
        <v>0</v>
      </c>
      <c r="AR57" s="5">
        <v>0</v>
      </c>
      <c r="AS57" s="118">
        <f t="shared" si="4"/>
        <v>0</v>
      </c>
      <c r="AT57" s="5">
        <v>0</v>
      </c>
      <c r="AU57" s="118">
        <f t="shared" si="5"/>
        <v>0</v>
      </c>
      <c r="AV57" s="5">
        <v>0</v>
      </c>
      <c r="AW57" s="127">
        <f t="shared" si="6"/>
        <v>0</v>
      </c>
      <c r="AX57" s="105">
        <v>0</v>
      </c>
      <c r="AY57" s="118">
        <f t="shared" si="7"/>
        <v>0</v>
      </c>
      <c r="AZ57" s="105">
        <v>0</v>
      </c>
      <c r="BA57" s="118">
        <f t="shared" si="8"/>
        <v>0</v>
      </c>
      <c r="BB57" s="5">
        <v>0</v>
      </c>
      <c r="BC57" s="127">
        <f t="shared" si="9"/>
        <v>0</v>
      </c>
      <c r="BD57" s="105">
        <v>0</v>
      </c>
      <c r="BE57" s="118">
        <f t="shared" si="10"/>
        <v>0</v>
      </c>
      <c r="BF57" s="5">
        <v>0</v>
      </c>
      <c r="BG57" s="118">
        <f t="shared" si="11"/>
        <v>0</v>
      </c>
      <c r="BH57" s="5">
        <v>0</v>
      </c>
      <c r="BI57" s="127">
        <f t="shared" si="12"/>
        <v>0</v>
      </c>
      <c r="BJ57" s="220" t="s">
        <v>517</v>
      </c>
      <c r="BL57" s="1" t="s">
        <v>455</v>
      </c>
      <c r="BM57" s="1" t="s">
        <v>483</v>
      </c>
      <c r="BN57" s="233"/>
      <c r="BO57" s="234"/>
    </row>
    <row r="58" spans="1:67">
      <c r="A58" s="219" t="s">
        <v>823</v>
      </c>
      <c r="B58" s="106" t="s">
        <v>354</v>
      </c>
      <c r="C58" s="66" t="s">
        <v>175</v>
      </c>
      <c r="D58" s="284"/>
      <c r="E58" s="136" t="s">
        <v>176</v>
      </c>
      <c r="F58" s="295"/>
      <c r="G58" s="86" t="s">
        <v>187</v>
      </c>
      <c r="H58" s="85" t="s">
        <v>507</v>
      </c>
      <c r="I58" s="85" t="s">
        <v>184</v>
      </c>
      <c r="J58" s="86" t="s">
        <v>193</v>
      </c>
      <c r="K58" s="85" t="s">
        <v>181</v>
      </c>
      <c r="L58" s="84" t="s">
        <v>185</v>
      </c>
      <c r="M58" s="83" t="s">
        <v>465</v>
      </c>
      <c r="N58" s="10">
        <v>9.6300000000000008</v>
      </c>
      <c r="O58" s="10">
        <v>9.6300000000000008</v>
      </c>
      <c r="P58" s="10">
        <v>9.6300000000000008</v>
      </c>
      <c r="Q58" s="10">
        <v>9.6300000000000008</v>
      </c>
      <c r="R58" s="10">
        <v>9.6300000000000008</v>
      </c>
      <c r="S58" s="10">
        <v>9.6300000000000008</v>
      </c>
      <c r="T58" s="10">
        <v>9.6300000000000008</v>
      </c>
      <c r="U58" s="10">
        <v>9.6300000000000008</v>
      </c>
      <c r="V58" s="10">
        <v>9.6300000000000008</v>
      </c>
      <c r="W58" s="10">
        <v>9.6300000000000008</v>
      </c>
      <c r="X58" s="10">
        <v>9.6300000000000008</v>
      </c>
      <c r="Y58" s="257">
        <v>9.6300000000000008</v>
      </c>
      <c r="Z58" s="10">
        <v>1.42</v>
      </c>
      <c r="AA58" s="10">
        <v>1.42</v>
      </c>
      <c r="AB58" s="10">
        <v>1.42</v>
      </c>
      <c r="AC58" s="10">
        <v>1.42</v>
      </c>
      <c r="AD58" s="10">
        <v>1.42</v>
      </c>
      <c r="AE58" s="10">
        <v>1.42</v>
      </c>
      <c r="AF58" s="10">
        <v>1.42</v>
      </c>
      <c r="AG58" s="10">
        <v>1.42</v>
      </c>
      <c r="AH58" s="10">
        <v>1.42</v>
      </c>
      <c r="AI58" s="10">
        <v>1.42</v>
      </c>
      <c r="AJ58" s="10">
        <v>1.42</v>
      </c>
      <c r="AK58" s="257">
        <v>1.42</v>
      </c>
      <c r="AL58" s="5">
        <v>0</v>
      </c>
      <c r="AM58" s="118">
        <f t="shared" si="13"/>
        <v>0</v>
      </c>
      <c r="AN58" s="5">
        <v>0</v>
      </c>
      <c r="AO58" s="118">
        <f t="shared" si="2"/>
        <v>0</v>
      </c>
      <c r="AP58" s="5">
        <v>0</v>
      </c>
      <c r="AQ58" s="127">
        <f t="shared" si="3"/>
        <v>0</v>
      </c>
      <c r="AR58" s="5">
        <v>0</v>
      </c>
      <c r="AS58" s="118">
        <f t="shared" si="4"/>
        <v>0</v>
      </c>
      <c r="AT58" s="5">
        <v>0</v>
      </c>
      <c r="AU58" s="118">
        <f t="shared" si="5"/>
        <v>0</v>
      </c>
      <c r="AV58" s="5">
        <v>0</v>
      </c>
      <c r="AW58" s="127">
        <f t="shared" si="6"/>
        <v>0</v>
      </c>
      <c r="AX58" s="105">
        <v>0</v>
      </c>
      <c r="AY58" s="118">
        <f t="shared" si="7"/>
        <v>0</v>
      </c>
      <c r="AZ58" s="105">
        <v>0</v>
      </c>
      <c r="BA58" s="118">
        <f t="shared" si="8"/>
        <v>0</v>
      </c>
      <c r="BB58" s="5">
        <v>0</v>
      </c>
      <c r="BC58" s="127">
        <f t="shared" si="9"/>
        <v>0</v>
      </c>
      <c r="BD58" s="105">
        <v>0</v>
      </c>
      <c r="BE58" s="118">
        <f t="shared" si="10"/>
        <v>0</v>
      </c>
      <c r="BF58" s="5">
        <v>0</v>
      </c>
      <c r="BG58" s="118">
        <f t="shared" si="11"/>
        <v>0</v>
      </c>
      <c r="BH58" s="5">
        <v>0</v>
      </c>
      <c r="BI58" s="127">
        <f t="shared" si="12"/>
        <v>0</v>
      </c>
      <c r="BJ58" s="242" t="s">
        <v>518</v>
      </c>
      <c r="BL58" s="1" t="s">
        <v>455</v>
      </c>
      <c r="BM58" s="243" t="s">
        <v>519</v>
      </c>
      <c r="BN58" s="233"/>
      <c r="BO58" s="234"/>
    </row>
    <row r="59" spans="1:67">
      <c r="A59" s="219" t="s">
        <v>823</v>
      </c>
      <c r="B59" s="106" t="s">
        <v>354</v>
      </c>
      <c r="C59" s="66" t="s">
        <v>175</v>
      </c>
      <c r="D59" s="284"/>
      <c r="E59" s="136" t="s">
        <v>176</v>
      </c>
      <c r="F59" s="295"/>
      <c r="G59" s="86" t="s">
        <v>187</v>
      </c>
      <c r="H59" s="85" t="s">
        <v>507</v>
      </c>
      <c r="I59" s="85" t="s">
        <v>184</v>
      </c>
      <c r="J59" s="86" t="s">
        <v>193</v>
      </c>
      <c r="K59" s="85" t="s">
        <v>181</v>
      </c>
      <c r="L59" s="84" t="s">
        <v>185</v>
      </c>
      <c r="M59" s="83" t="s">
        <v>465</v>
      </c>
      <c r="N59" s="10">
        <v>9.6300000000000008</v>
      </c>
      <c r="O59" s="10">
        <v>9.6300000000000008</v>
      </c>
      <c r="P59" s="10">
        <v>9.6300000000000008</v>
      </c>
      <c r="Q59" s="10">
        <v>9.6300000000000008</v>
      </c>
      <c r="R59" s="10">
        <v>9.6300000000000008</v>
      </c>
      <c r="S59" s="10">
        <v>9.6300000000000008</v>
      </c>
      <c r="T59" s="10">
        <v>9.6300000000000008</v>
      </c>
      <c r="U59" s="10">
        <v>9.6300000000000008</v>
      </c>
      <c r="V59" s="10">
        <v>9.6300000000000008</v>
      </c>
      <c r="W59" s="10">
        <v>9.6300000000000008</v>
      </c>
      <c r="X59" s="10">
        <v>9.6300000000000008</v>
      </c>
      <c r="Y59" s="257">
        <v>9.6300000000000008</v>
      </c>
      <c r="Z59" s="10">
        <v>1.42</v>
      </c>
      <c r="AA59" s="10">
        <v>1.42</v>
      </c>
      <c r="AB59" s="10">
        <v>1.42</v>
      </c>
      <c r="AC59" s="10">
        <v>1.42</v>
      </c>
      <c r="AD59" s="10">
        <v>1.42</v>
      </c>
      <c r="AE59" s="10">
        <v>1.42</v>
      </c>
      <c r="AF59" s="10">
        <v>1.42</v>
      </c>
      <c r="AG59" s="10">
        <v>1.42</v>
      </c>
      <c r="AH59" s="10">
        <v>1.42</v>
      </c>
      <c r="AI59" s="10">
        <v>1.42</v>
      </c>
      <c r="AJ59" s="10">
        <v>1.42</v>
      </c>
      <c r="AK59" s="257">
        <v>1.42</v>
      </c>
      <c r="AL59" s="5">
        <v>1120</v>
      </c>
      <c r="AM59" s="118">
        <f t="shared" si="13"/>
        <v>1590.3999999999999</v>
      </c>
      <c r="AN59" s="5">
        <v>759</v>
      </c>
      <c r="AO59" s="118">
        <f t="shared" si="2"/>
        <v>1077.78</v>
      </c>
      <c r="AP59" s="5">
        <v>1120</v>
      </c>
      <c r="AQ59" s="127">
        <f t="shared" si="3"/>
        <v>1590.3999999999999</v>
      </c>
      <c r="AR59" s="5">
        <v>0</v>
      </c>
      <c r="AS59" s="118">
        <f t="shared" si="4"/>
        <v>0</v>
      </c>
      <c r="AT59" s="5">
        <v>0</v>
      </c>
      <c r="AU59" s="118">
        <f t="shared" si="5"/>
        <v>0</v>
      </c>
      <c r="AV59" s="5">
        <v>0</v>
      </c>
      <c r="AW59" s="127">
        <f t="shared" si="6"/>
        <v>0</v>
      </c>
      <c r="AX59" s="105">
        <v>0</v>
      </c>
      <c r="AY59" s="118">
        <f t="shared" si="7"/>
        <v>0</v>
      </c>
      <c r="AZ59" s="105">
        <v>0</v>
      </c>
      <c r="BA59" s="118">
        <f t="shared" si="8"/>
        <v>0</v>
      </c>
      <c r="BB59" s="5">
        <v>0</v>
      </c>
      <c r="BC59" s="127">
        <f t="shared" si="9"/>
        <v>0</v>
      </c>
      <c r="BD59" s="105">
        <v>0</v>
      </c>
      <c r="BE59" s="118">
        <f t="shared" si="10"/>
        <v>0</v>
      </c>
      <c r="BF59" s="5">
        <v>0</v>
      </c>
      <c r="BG59" s="118">
        <f t="shared" si="11"/>
        <v>0</v>
      </c>
      <c r="BH59" s="5">
        <v>0</v>
      </c>
      <c r="BI59" s="127">
        <f t="shared" si="12"/>
        <v>0</v>
      </c>
      <c r="BJ59" s="220" t="s">
        <v>517</v>
      </c>
      <c r="BL59" s="1" t="s">
        <v>455</v>
      </c>
      <c r="BM59" s="1" t="s">
        <v>520</v>
      </c>
      <c r="BN59" s="233"/>
      <c r="BO59" s="234"/>
    </row>
    <row r="60" spans="1:67">
      <c r="A60" s="219" t="s">
        <v>823</v>
      </c>
      <c r="B60" s="106" t="s">
        <v>354</v>
      </c>
      <c r="C60" s="66" t="s">
        <v>175</v>
      </c>
      <c r="D60" s="284"/>
      <c r="E60" s="136" t="s">
        <v>176</v>
      </c>
      <c r="F60" s="295"/>
      <c r="G60" s="86" t="s">
        <v>187</v>
      </c>
      <c r="H60" s="85" t="s">
        <v>507</v>
      </c>
      <c r="I60" s="85" t="s">
        <v>184</v>
      </c>
      <c r="J60" s="86" t="s">
        <v>193</v>
      </c>
      <c r="K60" s="85" t="s">
        <v>181</v>
      </c>
      <c r="L60" s="84" t="s">
        <v>185</v>
      </c>
      <c r="M60" s="83" t="s">
        <v>465</v>
      </c>
      <c r="N60" s="10">
        <v>9.6300000000000008</v>
      </c>
      <c r="O60" s="10">
        <v>9.6300000000000008</v>
      </c>
      <c r="P60" s="10">
        <v>9.6300000000000008</v>
      </c>
      <c r="Q60" s="10">
        <v>9.6300000000000008</v>
      </c>
      <c r="R60" s="10">
        <v>9.6300000000000008</v>
      </c>
      <c r="S60" s="10">
        <v>9.6300000000000008</v>
      </c>
      <c r="T60" s="10">
        <v>9.6300000000000008</v>
      </c>
      <c r="U60" s="10">
        <v>9.6300000000000008</v>
      </c>
      <c r="V60" s="10">
        <v>9.6300000000000008</v>
      </c>
      <c r="W60" s="10">
        <v>9.6300000000000008</v>
      </c>
      <c r="X60" s="10">
        <v>9.6300000000000008</v>
      </c>
      <c r="Y60" s="257">
        <v>9.6300000000000008</v>
      </c>
      <c r="Z60" s="10">
        <v>1.42</v>
      </c>
      <c r="AA60" s="10">
        <v>1.42</v>
      </c>
      <c r="AB60" s="10">
        <v>1.42</v>
      </c>
      <c r="AC60" s="10">
        <v>1.42</v>
      </c>
      <c r="AD60" s="10">
        <v>1.42</v>
      </c>
      <c r="AE60" s="10">
        <v>1.42</v>
      </c>
      <c r="AF60" s="10">
        <v>1.42</v>
      </c>
      <c r="AG60" s="10">
        <v>1.42</v>
      </c>
      <c r="AH60" s="10">
        <v>1.42</v>
      </c>
      <c r="AI60" s="10">
        <v>1.42</v>
      </c>
      <c r="AJ60" s="10">
        <v>1.42</v>
      </c>
      <c r="AK60" s="257">
        <v>1.42</v>
      </c>
      <c r="AL60" s="5">
        <v>0</v>
      </c>
      <c r="AM60" s="118">
        <f t="shared" si="13"/>
        <v>0</v>
      </c>
      <c r="AN60" s="5">
        <v>0</v>
      </c>
      <c r="AO60" s="118">
        <f t="shared" si="2"/>
        <v>0</v>
      </c>
      <c r="AP60" s="5">
        <v>0</v>
      </c>
      <c r="AQ60" s="127">
        <f t="shared" si="3"/>
        <v>0</v>
      </c>
      <c r="AR60" s="5">
        <v>0</v>
      </c>
      <c r="AS60" s="118">
        <f t="shared" si="4"/>
        <v>0</v>
      </c>
      <c r="AT60" s="5">
        <v>0</v>
      </c>
      <c r="AU60" s="118">
        <f t="shared" si="5"/>
        <v>0</v>
      </c>
      <c r="AV60" s="5">
        <v>0</v>
      </c>
      <c r="AW60" s="127">
        <f t="shared" si="6"/>
        <v>0</v>
      </c>
      <c r="AX60" s="105">
        <v>0</v>
      </c>
      <c r="AY60" s="118">
        <f t="shared" si="7"/>
        <v>0</v>
      </c>
      <c r="AZ60" s="105">
        <v>0</v>
      </c>
      <c r="BA60" s="118">
        <f t="shared" si="8"/>
        <v>0</v>
      </c>
      <c r="BB60" s="5">
        <v>0</v>
      </c>
      <c r="BC60" s="127">
        <f t="shared" si="9"/>
        <v>0</v>
      </c>
      <c r="BD60" s="105">
        <v>0</v>
      </c>
      <c r="BE60" s="118">
        <f t="shared" si="10"/>
        <v>0</v>
      </c>
      <c r="BF60" s="5">
        <v>0</v>
      </c>
      <c r="BG60" s="118">
        <f t="shared" si="11"/>
        <v>0</v>
      </c>
      <c r="BH60" s="5">
        <v>0</v>
      </c>
      <c r="BI60" s="127">
        <f t="shared" si="12"/>
        <v>0</v>
      </c>
      <c r="BJ60" s="242" t="s">
        <v>521</v>
      </c>
      <c r="BL60" s="1" t="s">
        <v>455</v>
      </c>
      <c r="BM60" s="242" t="s">
        <v>522</v>
      </c>
      <c r="BN60" s="233"/>
      <c r="BO60" s="234"/>
    </row>
    <row r="61" spans="1:67">
      <c r="A61" s="219" t="s">
        <v>823</v>
      </c>
      <c r="B61" s="106" t="s">
        <v>354</v>
      </c>
      <c r="C61" s="66" t="s">
        <v>175</v>
      </c>
      <c r="D61" s="284"/>
      <c r="E61" s="136" t="s">
        <v>176</v>
      </c>
      <c r="F61" s="295"/>
      <c r="G61" s="86" t="s">
        <v>187</v>
      </c>
      <c r="H61" s="85" t="s">
        <v>507</v>
      </c>
      <c r="I61" s="85" t="s">
        <v>184</v>
      </c>
      <c r="J61" s="86" t="s">
        <v>193</v>
      </c>
      <c r="K61" s="85" t="s">
        <v>181</v>
      </c>
      <c r="L61" s="84" t="s">
        <v>185</v>
      </c>
      <c r="M61" s="83" t="s">
        <v>465</v>
      </c>
      <c r="N61" s="10">
        <v>9.6300000000000008</v>
      </c>
      <c r="O61" s="10">
        <v>9.6300000000000008</v>
      </c>
      <c r="P61" s="10">
        <v>9.6300000000000008</v>
      </c>
      <c r="Q61" s="10">
        <v>9.6300000000000008</v>
      </c>
      <c r="R61" s="10">
        <v>9.6300000000000008</v>
      </c>
      <c r="S61" s="10">
        <v>9.6300000000000008</v>
      </c>
      <c r="T61" s="10">
        <v>9.6300000000000008</v>
      </c>
      <c r="U61" s="10">
        <v>9.6300000000000008</v>
      </c>
      <c r="V61" s="10">
        <v>9.6300000000000008</v>
      </c>
      <c r="W61" s="10">
        <v>9.6300000000000008</v>
      </c>
      <c r="X61" s="10">
        <v>9.6300000000000008</v>
      </c>
      <c r="Y61" s="257">
        <v>9.6300000000000008</v>
      </c>
      <c r="Z61" s="10">
        <v>1.42</v>
      </c>
      <c r="AA61" s="10">
        <v>1.42</v>
      </c>
      <c r="AB61" s="10">
        <v>1.42</v>
      </c>
      <c r="AC61" s="10">
        <v>1.42</v>
      </c>
      <c r="AD61" s="10">
        <v>1.42</v>
      </c>
      <c r="AE61" s="10">
        <v>1.42</v>
      </c>
      <c r="AF61" s="10">
        <v>1.42</v>
      </c>
      <c r="AG61" s="10">
        <v>1.42</v>
      </c>
      <c r="AH61" s="10">
        <v>1.42</v>
      </c>
      <c r="AI61" s="10">
        <v>1.42</v>
      </c>
      <c r="AJ61" s="10">
        <v>1.42</v>
      </c>
      <c r="AK61" s="257">
        <v>1.42</v>
      </c>
      <c r="AL61" s="5">
        <v>0</v>
      </c>
      <c r="AM61" s="118">
        <f t="shared" si="13"/>
        <v>0</v>
      </c>
      <c r="AN61" s="5">
        <v>160</v>
      </c>
      <c r="AO61" s="118">
        <f t="shared" si="2"/>
        <v>227.2</v>
      </c>
      <c r="AP61" s="5">
        <v>80</v>
      </c>
      <c r="AQ61" s="127">
        <f t="shared" si="3"/>
        <v>113.6</v>
      </c>
      <c r="AR61" s="5">
        <v>0</v>
      </c>
      <c r="AS61" s="118">
        <f t="shared" si="4"/>
        <v>0</v>
      </c>
      <c r="AT61" s="5">
        <v>0</v>
      </c>
      <c r="AU61" s="118">
        <f t="shared" si="5"/>
        <v>0</v>
      </c>
      <c r="AV61" s="5">
        <v>0</v>
      </c>
      <c r="AW61" s="127">
        <f t="shared" si="6"/>
        <v>0</v>
      </c>
      <c r="AX61" s="105">
        <v>0</v>
      </c>
      <c r="AY61" s="118">
        <f t="shared" si="7"/>
        <v>0</v>
      </c>
      <c r="AZ61" s="105">
        <v>0</v>
      </c>
      <c r="BA61" s="118">
        <f t="shared" si="8"/>
        <v>0</v>
      </c>
      <c r="BB61" s="5">
        <v>0</v>
      </c>
      <c r="BC61" s="127">
        <f t="shared" si="9"/>
        <v>0</v>
      </c>
      <c r="BD61" s="105">
        <v>0</v>
      </c>
      <c r="BE61" s="118">
        <f t="shared" si="10"/>
        <v>0</v>
      </c>
      <c r="BF61" s="5">
        <v>0</v>
      </c>
      <c r="BG61" s="118">
        <f t="shared" si="11"/>
        <v>0</v>
      </c>
      <c r="BH61" s="5">
        <v>0</v>
      </c>
      <c r="BI61" s="127">
        <f t="shared" si="12"/>
        <v>0</v>
      </c>
      <c r="BJ61" s="220" t="s">
        <v>517</v>
      </c>
      <c r="BL61" s="1" t="s">
        <v>455</v>
      </c>
      <c r="BM61" s="1" t="s">
        <v>523</v>
      </c>
      <c r="BN61" s="233"/>
      <c r="BO61" s="234"/>
    </row>
    <row r="62" spans="1:67">
      <c r="A62" s="219" t="s">
        <v>823</v>
      </c>
      <c r="B62" s="106" t="s">
        <v>354</v>
      </c>
      <c r="C62" s="66" t="s">
        <v>175</v>
      </c>
      <c r="D62" s="284"/>
      <c r="E62" s="136" t="s">
        <v>176</v>
      </c>
      <c r="F62" s="295"/>
      <c r="G62" s="86" t="s">
        <v>187</v>
      </c>
      <c r="H62" s="85" t="s">
        <v>507</v>
      </c>
      <c r="I62" s="85" t="s">
        <v>184</v>
      </c>
      <c r="J62" s="86" t="s">
        <v>193</v>
      </c>
      <c r="K62" s="85" t="s">
        <v>181</v>
      </c>
      <c r="L62" s="84" t="s">
        <v>185</v>
      </c>
      <c r="M62" s="83" t="s">
        <v>465</v>
      </c>
      <c r="N62" s="10">
        <v>9.6300000000000008</v>
      </c>
      <c r="O62" s="10">
        <v>9.6300000000000008</v>
      </c>
      <c r="P62" s="10">
        <v>9.6300000000000008</v>
      </c>
      <c r="Q62" s="10">
        <v>9.6300000000000008</v>
      </c>
      <c r="R62" s="10">
        <v>9.6300000000000008</v>
      </c>
      <c r="S62" s="10">
        <v>9.6300000000000008</v>
      </c>
      <c r="T62" s="10">
        <v>9.6300000000000008</v>
      </c>
      <c r="U62" s="10">
        <v>9.6300000000000008</v>
      </c>
      <c r="V62" s="10">
        <v>9.6300000000000008</v>
      </c>
      <c r="W62" s="10">
        <v>9.6300000000000008</v>
      </c>
      <c r="X62" s="10">
        <v>9.6300000000000008</v>
      </c>
      <c r="Y62" s="257">
        <v>9.6300000000000008</v>
      </c>
      <c r="Z62" s="10">
        <v>1.42</v>
      </c>
      <c r="AA62" s="10">
        <v>1.42</v>
      </c>
      <c r="AB62" s="10">
        <v>1.42</v>
      </c>
      <c r="AC62" s="10">
        <v>1.42</v>
      </c>
      <c r="AD62" s="10">
        <v>1.42</v>
      </c>
      <c r="AE62" s="10">
        <v>1.42</v>
      </c>
      <c r="AF62" s="10">
        <v>1.42</v>
      </c>
      <c r="AG62" s="10">
        <v>1.42</v>
      </c>
      <c r="AH62" s="10">
        <v>1.42</v>
      </c>
      <c r="AI62" s="10">
        <v>1.42</v>
      </c>
      <c r="AJ62" s="10">
        <v>1.42</v>
      </c>
      <c r="AK62" s="257">
        <v>1.42</v>
      </c>
      <c r="AL62" s="5">
        <v>0</v>
      </c>
      <c r="AM62" s="118">
        <f t="shared" si="13"/>
        <v>0</v>
      </c>
      <c r="AN62" s="5">
        <v>40</v>
      </c>
      <c r="AO62" s="118">
        <f t="shared" si="2"/>
        <v>56.8</v>
      </c>
      <c r="AP62" s="5">
        <v>0</v>
      </c>
      <c r="AQ62" s="127">
        <f t="shared" si="3"/>
        <v>0</v>
      </c>
      <c r="AR62" s="5">
        <v>0</v>
      </c>
      <c r="AS62" s="118">
        <f t="shared" si="4"/>
        <v>0</v>
      </c>
      <c r="AT62" s="5">
        <v>0</v>
      </c>
      <c r="AU62" s="118">
        <f t="shared" si="5"/>
        <v>0</v>
      </c>
      <c r="AV62" s="5">
        <v>0</v>
      </c>
      <c r="AW62" s="127">
        <f t="shared" si="6"/>
        <v>0</v>
      </c>
      <c r="AX62" s="105">
        <v>0</v>
      </c>
      <c r="AY62" s="118">
        <f t="shared" si="7"/>
        <v>0</v>
      </c>
      <c r="AZ62" s="105">
        <v>0</v>
      </c>
      <c r="BA62" s="118">
        <f t="shared" si="8"/>
        <v>0</v>
      </c>
      <c r="BB62" s="5">
        <v>0</v>
      </c>
      <c r="BC62" s="127">
        <f t="shared" si="9"/>
        <v>0</v>
      </c>
      <c r="BD62" s="105">
        <v>0</v>
      </c>
      <c r="BE62" s="118">
        <f t="shared" si="10"/>
        <v>0</v>
      </c>
      <c r="BF62" s="5">
        <v>0</v>
      </c>
      <c r="BG62" s="118">
        <f t="shared" si="11"/>
        <v>0</v>
      </c>
      <c r="BH62" s="5">
        <v>0</v>
      </c>
      <c r="BI62" s="127">
        <f t="shared" si="12"/>
        <v>0</v>
      </c>
      <c r="BJ62" s="220" t="s">
        <v>517</v>
      </c>
      <c r="BL62" s="1" t="s">
        <v>455</v>
      </c>
      <c r="BM62" s="1" t="s">
        <v>524</v>
      </c>
      <c r="BN62" s="233"/>
      <c r="BO62" s="234"/>
    </row>
    <row r="63" spans="1:67">
      <c r="A63" s="219" t="s">
        <v>823</v>
      </c>
      <c r="B63" s="106" t="s">
        <v>354</v>
      </c>
      <c r="C63" s="66" t="s">
        <v>175</v>
      </c>
      <c r="D63" s="284"/>
      <c r="E63" s="136" t="s">
        <v>176</v>
      </c>
      <c r="F63" s="295"/>
      <c r="G63" s="86" t="s">
        <v>187</v>
      </c>
      <c r="H63" s="85" t="s">
        <v>507</v>
      </c>
      <c r="I63" s="85" t="s">
        <v>184</v>
      </c>
      <c r="J63" s="86" t="s">
        <v>193</v>
      </c>
      <c r="K63" s="85" t="s">
        <v>181</v>
      </c>
      <c r="L63" s="84" t="s">
        <v>185</v>
      </c>
      <c r="M63" s="83" t="s">
        <v>465</v>
      </c>
      <c r="N63" s="10">
        <v>9.6300000000000008</v>
      </c>
      <c r="O63" s="10">
        <v>9.6300000000000008</v>
      </c>
      <c r="P63" s="10">
        <v>9.6300000000000008</v>
      </c>
      <c r="Q63" s="10">
        <v>9.6300000000000008</v>
      </c>
      <c r="R63" s="10">
        <v>9.6300000000000008</v>
      </c>
      <c r="S63" s="10">
        <v>9.6300000000000008</v>
      </c>
      <c r="T63" s="10">
        <v>9.6300000000000008</v>
      </c>
      <c r="U63" s="10">
        <v>9.6300000000000008</v>
      </c>
      <c r="V63" s="10">
        <v>9.6300000000000008</v>
      </c>
      <c r="W63" s="10">
        <v>9.6300000000000008</v>
      </c>
      <c r="X63" s="10">
        <v>9.6300000000000008</v>
      </c>
      <c r="Y63" s="257">
        <v>9.6300000000000008</v>
      </c>
      <c r="Z63" s="10">
        <v>1.42</v>
      </c>
      <c r="AA63" s="10">
        <v>1.42</v>
      </c>
      <c r="AB63" s="10">
        <v>1.42</v>
      </c>
      <c r="AC63" s="10">
        <v>1.42</v>
      </c>
      <c r="AD63" s="10">
        <v>1.42</v>
      </c>
      <c r="AE63" s="10">
        <v>1.42</v>
      </c>
      <c r="AF63" s="10">
        <v>1.42</v>
      </c>
      <c r="AG63" s="10">
        <v>1.42</v>
      </c>
      <c r="AH63" s="10">
        <v>1.42</v>
      </c>
      <c r="AI63" s="10">
        <v>1.42</v>
      </c>
      <c r="AJ63" s="10">
        <v>1.42</v>
      </c>
      <c r="AK63" s="257">
        <v>1.42</v>
      </c>
      <c r="AL63" s="5">
        <v>0</v>
      </c>
      <c r="AM63" s="118">
        <f t="shared" si="13"/>
        <v>0</v>
      </c>
      <c r="AN63" s="5">
        <v>0</v>
      </c>
      <c r="AO63" s="118">
        <f t="shared" si="2"/>
        <v>0</v>
      </c>
      <c r="AP63" s="5">
        <v>0</v>
      </c>
      <c r="AQ63" s="127">
        <f t="shared" si="3"/>
        <v>0</v>
      </c>
      <c r="AR63" s="5">
        <v>0</v>
      </c>
      <c r="AS63" s="118">
        <f t="shared" si="4"/>
        <v>0</v>
      </c>
      <c r="AT63" s="5">
        <v>0</v>
      </c>
      <c r="AU63" s="118">
        <f t="shared" si="5"/>
        <v>0</v>
      </c>
      <c r="AV63" s="5">
        <v>0</v>
      </c>
      <c r="AW63" s="127">
        <f t="shared" si="6"/>
        <v>0</v>
      </c>
      <c r="AX63" s="105">
        <v>0</v>
      </c>
      <c r="AY63" s="118">
        <f t="shared" si="7"/>
        <v>0</v>
      </c>
      <c r="AZ63" s="105">
        <v>0</v>
      </c>
      <c r="BA63" s="118">
        <f t="shared" si="8"/>
        <v>0</v>
      </c>
      <c r="BB63" s="5">
        <v>0</v>
      </c>
      <c r="BC63" s="127">
        <f t="shared" si="9"/>
        <v>0</v>
      </c>
      <c r="BD63" s="105">
        <v>0</v>
      </c>
      <c r="BE63" s="118">
        <f t="shared" si="10"/>
        <v>0</v>
      </c>
      <c r="BF63" s="5">
        <v>0</v>
      </c>
      <c r="BG63" s="118">
        <f t="shared" si="11"/>
        <v>0</v>
      </c>
      <c r="BH63" s="5">
        <v>0</v>
      </c>
      <c r="BI63" s="127">
        <f t="shared" si="12"/>
        <v>0</v>
      </c>
      <c r="BJ63" s="220" t="s">
        <v>525</v>
      </c>
      <c r="BL63" s="1" t="s">
        <v>455</v>
      </c>
      <c r="BM63" s="1" t="s">
        <v>483</v>
      </c>
      <c r="BN63" s="233"/>
      <c r="BO63" s="234"/>
    </row>
    <row r="64" spans="1:67">
      <c r="A64" s="219" t="s">
        <v>823</v>
      </c>
      <c r="B64" s="106" t="s">
        <v>354</v>
      </c>
      <c r="C64" s="66" t="s">
        <v>175</v>
      </c>
      <c r="D64" s="284"/>
      <c r="E64" s="136" t="s">
        <v>176</v>
      </c>
      <c r="F64" s="295"/>
      <c r="G64" s="86" t="s">
        <v>187</v>
      </c>
      <c r="H64" s="85" t="s">
        <v>507</v>
      </c>
      <c r="I64" s="85" t="s">
        <v>184</v>
      </c>
      <c r="J64" s="86" t="s">
        <v>193</v>
      </c>
      <c r="K64" s="85" t="s">
        <v>181</v>
      </c>
      <c r="L64" s="84" t="s">
        <v>185</v>
      </c>
      <c r="M64" s="83" t="s">
        <v>465</v>
      </c>
      <c r="N64" s="10">
        <v>9.6300000000000008</v>
      </c>
      <c r="O64" s="10">
        <v>9.6300000000000008</v>
      </c>
      <c r="P64" s="10">
        <v>9.6300000000000008</v>
      </c>
      <c r="Q64" s="10">
        <v>9.6300000000000008</v>
      </c>
      <c r="R64" s="10">
        <v>9.6300000000000008</v>
      </c>
      <c r="S64" s="10">
        <v>9.6300000000000008</v>
      </c>
      <c r="T64" s="10">
        <v>9.6300000000000008</v>
      </c>
      <c r="U64" s="10">
        <v>9.6300000000000008</v>
      </c>
      <c r="V64" s="10">
        <v>9.6300000000000008</v>
      </c>
      <c r="W64" s="10">
        <v>9.6300000000000008</v>
      </c>
      <c r="X64" s="10">
        <v>9.6300000000000008</v>
      </c>
      <c r="Y64" s="257">
        <v>9.6300000000000008</v>
      </c>
      <c r="Z64" s="10">
        <v>1.42</v>
      </c>
      <c r="AA64" s="10">
        <v>1.42</v>
      </c>
      <c r="AB64" s="10">
        <v>1.42</v>
      </c>
      <c r="AC64" s="10">
        <v>1.42</v>
      </c>
      <c r="AD64" s="10">
        <v>1.42</v>
      </c>
      <c r="AE64" s="10">
        <v>1.42</v>
      </c>
      <c r="AF64" s="10">
        <v>1.42</v>
      </c>
      <c r="AG64" s="10">
        <v>1.42</v>
      </c>
      <c r="AH64" s="10">
        <v>1.42</v>
      </c>
      <c r="AI64" s="10">
        <v>1.42</v>
      </c>
      <c r="AJ64" s="10">
        <v>1.42</v>
      </c>
      <c r="AK64" s="257">
        <v>1.42</v>
      </c>
      <c r="AL64" s="5">
        <v>0</v>
      </c>
      <c r="AM64" s="118">
        <f t="shared" si="13"/>
        <v>0</v>
      </c>
      <c r="AN64" s="5">
        <v>0</v>
      </c>
      <c r="AO64" s="118">
        <f t="shared" si="2"/>
        <v>0</v>
      </c>
      <c r="AP64" s="5">
        <v>0</v>
      </c>
      <c r="AQ64" s="127">
        <f t="shared" si="3"/>
        <v>0</v>
      </c>
      <c r="AR64" s="5">
        <v>0</v>
      </c>
      <c r="AS64" s="118">
        <f t="shared" si="4"/>
        <v>0</v>
      </c>
      <c r="AT64" s="5">
        <v>0</v>
      </c>
      <c r="AU64" s="118">
        <f t="shared" si="5"/>
        <v>0</v>
      </c>
      <c r="AV64" s="5">
        <v>0</v>
      </c>
      <c r="AW64" s="127">
        <f t="shared" si="6"/>
        <v>0</v>
      </c>
      <c r="AX64" s="105">
        <v>0</v>
      </c>
      <c r="AY64" s="118">
        <f t="shared" si="7"/>
        <v>0</v>
      </c>
      <c r="AZ64" s="105">
        <v>0</v>
      </c>
      <c r="BA64" s="118">
        <f t="shared" si="8"/>
        <v>0</v>
      </c>
      <c r="BB64" s="5">
        <v>0</v>
      </c>
      <c r="BC64" s="127">
        <f t="shared" si="9"/>
        <v>0</v>
      </c>
      <c r="BD64" s="105">
        <v>0</v>
      </c>
      <c r="BE64" s="118">
        <f t="shared" si="10"/>
        <v>0</v>
      </c>
      <c r="BF64" s="5">
        <v>0</v>
      </c>
      <c r="BG64" s="118">
        <f t="shared" si="11"/>
        <v>0</v>
      </c>
      <c r="BH64" s="5">
        <v>0</v>
      </c>
      <c r="BI64" s="127">
        <f t="shared" si="12"/>
        <v>0</v>
      </c>
      <c r="BJ64" s="242" t="s">
        <v>526</v>
      </c>
      <c r="BL64" s="1" t="s">
        <v>455</v>
      </c>
      <c r="BM64" s="243" t="s">
        <v>527</v>
      </c>
      <c r="BN64" s="233"/>
      <c r="BO64" s="234"/>
    </row>
    <row r="65" spans="1:67">
      <c r="A65" s="219" t="s">
        <v>823</v>
      </c>
      <c r="B65" s="106" t="s">
        <v>354</v>
      </c>
      <c r="C65" s="66" t="s">
        <v>175</v>
      </c>
      <c r="D65" s="284"/>
      <c r="E65" s="136" t="s">
        <v>176</v>
      </c>
      <c r="F65" s="295"/>
      <c r="G65" s="86" t="s">
        <v>187</v>
      </c>
      <c r="H65" s="85" t="s">
        <v>507</v>
      </c>
      <c r="I65" s="85" t="s">
        <v>184</v>
      </c>
      <c r="J65" s="86" t="s">
        <v>193</v>
      </c>
      <c r="K65" s="85" t="s">
        <v>181</v>
      </c>
      <c r="L65" s="84" t="s">
        <v>185</v>
      </c>
      <c r="M65" s="83" t="s">
        <v>465</v>
      </c>
      <c r="N65" s="10">
        <v>9.6300000000000008</v>
      </c>
      <c r="O65" s="10">
        <v>9.6300000000000008</v>
      </c>
      <c r="P65" s="10">
        <v>9.6300000000000008</v>
      </c>
      <c r="Q65" s="10">
        <v>9.6300000000000008</v>
      </c>
      <c r="R65" s="10">
        <v>9.6300000000000008</v>
      </c>
      <c r="S65" s="10">
        <v>9.6300000000000008</v>
      </c>
      <c r="T65" s="10">
        <v>9.6300000000000008</v>
      </c>
      <c r="U65" s="10">
        <v>9.6300000000000008</v>
      </c>
      <c r="V65" s="10">
        <v>9.6300000000000008</v>
      </c>
      <c r="W65" s="10">
        <v>9.6300000000000008</v>
      </c>
      <c r="X65" s="10">
        <v>9.6300000000000008</v>
      </c>
      <c r="Y65" s="257">
        <v>9.6300000000000008</v>
      </c>
      <c r="Z65" s="10">
        <v>1.42</v>
      </c>
      <c r="AA65" s="10">
        <v>1.42</v>
      </c>
      <c r="AB65" s="10">
        <v>1.42</v>
      </c>
      <c r="AC65" s="10">
        <v>1.42</v>
      </c>
      <c r="AD65" s="10">
        <v>1.42</v>
      </c>
      <c r="AE65" s="10">
        <v>1.42</v>
      </c>
      <c r="AF65" s="10">
        <v>1.42</v>
      </c>
      <c r="AG65" s="10">
        <v>1.42</v>
      </c>
      <c r="AH65" s="10">
        <v>1.42</v>
      </c>
      <c r="AI65" s="10">
        <v>1.42</v>
      </c>
      <c r="AJ65" s="10">
        <v>1.42</v>
      </c>
      <c r="AK65" s="257">
        <v>1.42</v>
      </c>
      <c r="AL65" s="5">
        <v>37</v>
      </c>
      <c r="AM65" s="118">
        <f t="shared" si="13"/>
        <v>52.54</v>
      </c>
      <c r="AN65" s="5">
        <v>157</v>
      </c>
      <c r="AO65" s="118">
        <f t="shared" si="2"/>
        <v>222.94</v>
      </c>
      <c r="AP65" s="5">
        <v>1356</v>
      </c>
      <c r="AQ65" s="127">
        <f t="shared" si="3"/>
        <v>1925.52</v>
      </c>
      <c r="AR65" s="5">
        <v>0</v>
      </c>
      <c r="AS65" s="118">
        <f t="shared" si="4"/>
        <v>0</v>
      </c>
      <c r="AT65" s="5">
        <v>0</v>
      </c>
      <c r="AU65" s="118">
        <f t="shared" si="5"/>
        <v>0</v>
      </c>
      <c r="AV65" s="5">
        <v>0</v>
      </c>
      <c r="AW65" s="127">
        <f t="shared" si="6"/>
        <v>0</v>
      </c>
      <c r="AX65" s="105">
        <v>0</v>
      </c>
      <c r="AY65" s="118">
        <f t="shared" si="7"/>
        <v>0</v>
      </c>
      <c r="AZ65" s="105">
        <v>0</v>
      </c>
      <c r="BA65" s="118">
        <f t="shared" si="8"/>
        <v>0</v>
      </c>
      <c r="BB65" s="5">
        <v>0</v>
      </c>
      <c r="BC65" s="127">
        <f t="shared" si="9"/>
        <v>0</v>
      </c>
      <c r="BD65" s="105">
        <v>0</v>
      </c>
      <c r="BE65" s="118">
        <f t="shared" si="10"/>
        <v>0</v>
      </c>
      <c r="BF65" s="5">
        <v>0</v>
      </c>
      <c r="BG65" s="118">
        <f t="shared" si="11"/>
        <v>0</v>
      </c>
      <c r="BH65" s="5">
        <v>0</v>
      </c>
      <c r="BI65" s="127">
        <f t="shared" si="12"/>
        <v>0</v>
      </c>
      <c r="BJ65" s="220" t="s">
        <v>525</v>
      </c>
      <c r="BL65" s="1" t="s">
        <v>455</v>
      </c>
      <c r="BM65" s="1" t="s">
        <v>520</v>
      </c>
      <c r="BN65" s="233"/>
      <c r="BO65" s="234"/>
    </row>
    <row r="66" spans="1:67">
      <c r="A66" s="219" t="s">
        <v>823</v>
      </c>
      <c r="B66" s="106" t="s">
        <v>354</v>
      </c>
      <c r="C66" s="66" t="s">
        <v>175</v>
      </c>
      <c r="D66" s="284"/>
      <c r="E66" s="136" t="s">
        <v>176</v>
      </c>
      <c r="F66" s="295"/>
      <c r="G66" s="86" t="s">
        <v>187</v>
      </c>
      <c r="H66" s="85" t="s">
        <v>507</v>
      </c>
      <c r="I66" s="85" t="s">
        <v>184</v>
      </c>
      <c r="J66" s="86" t="s">
        <v>193</v>
      </c>
      <c r="K66" s="85" t="s">
        <v>181</v>
      </c>
      <c r="L66" s="84" t="s">
        <v>185</v>
      </c>
      <c r="M66" s="83" t="s">
        <v>465</v>
      </c>
      <c r="N66" s="10">
        <v>9.6300000000000008</v>
      </c>
      <c r="O66" s="10">
        <v>9.6300000000000008</v>
      </c>
      <c r="P66" s="10">
        <v>9.6300000000000008</v>
      </c>
      <c r="Q66" s="10">
        <v>9.6300000000000008</v>
      </c>
      <c r="R66" s="10">
        <v>9.6300000000000008</v>
      </c>
      <c r="S66" s="10">
        <v>9.6300000000000008</v>
      </c>
      <c r="T66" s="10">
        <v>9.6300000000000008</v>
      </c>
      <c r="U66" s="10">
        <v>9.6300000000000008</v>
      </c>
      <c r="V66" s="10">
        <v>9.6300000000000008</v>
      </c>
      <c r="W66" s="10">
        <v>9.6300000000000008</v>
      </c>
      <c r="X66" s="10">
        <v>9.6300000000000008</v>
      </c>
      <c r="Y66" s="257">
        <v>9.6300000000000008</v>
      </c>
      <c r="Z66" s="10">
        <v>1.42</v>
      </c>
      <c r="AA66" s="10">
        <v>1.42</v>
      </c>
      <c r="AB66" s="10">
        <v>1.42</v>
      </c>
      <c r="AC66" s="10">
        <v>1.42</v>
      </c>
      <c r="AD66" s="10">
        <v>1.42</v>
      </c>
      <c r="AE66" s="10">
        <v>1.42</v>
      </c>
      <c r="AF66" s="10">
        <v>1.42</v>
      </c>
      <c r="AG66" s="10">
        <v>1.42</v>
      </c>
      <c r="AH66" s="10">
        <v>1.42</v>
      </c>
      <c r="AI66" s="10">
        <v>1.42</v>
      </c>
      <c r="AJ66" s="10">
        <v>1.42</v>
      </c>
      <c r="AK66" s="257">
        <v>1.42</v>
      </c>
      <c r="AL66" s="5">
        <v>0</v>
      </c>
      <c r="AM66" s="118">
        <f t="shared" si="13"/>
        <v>0</v>
      </c>
      <c r="AN66" s="5">
        <v>0</v>
      </c>
      <c r="AO66" s="118">
        <f t="shared" si="2"/>
        <v>0</v>
      </c>
      <c r="AP66" s="5">
        <v>0</v>
      </c>
      <c r="AQ66" s="127">
        <f t="shared" si="3"/>
        <v>0</v>
      </c>
      <c r="AR66" s="5">
        <v>0</v>
      </c>
      <c r="AS66" s="118">
        <f t="shared" si="4"/>
        <v>0</v>
      </c>
      <c r="AT66" s="5">
        <v>0</v>
      </c>
      <c r="AU66" s="118">
        <f t="shared" si="5"/>
        <v>0</v>
      </c>
      <c r="AV66" s="5">
        <v>0</v>
      </c>
      <c r="AW66" s="127">
        <f t="shared" si="6"/>
        <v>0</v>
      </c>
      <c r="AX66" s="105">
        <v>0</v>
      </c>
      <c r="AY66" s="118">
        <f t="shared" si="7"/>
        <v>0</v>
      </c>
      <c r="AZ66" s="105">
        <v>0</v>
      </c>
      <c r="BA66" s="118">
        <f t="shared" si="8"/>
        <v>0</v>
      </c>
      <c r="BB66" s="5">
        <v>0</v>
      </c>
      <c r="BC66" s="127">
        <f t="shared" si="9"/>
        <v>0</v>
      </c>
      <c r="BD66" s="105">
        <v>0</v>
      </c>
      <c r="BE66" s="118">
        <f t="shared" si="10"/>
        <v>0</v>
      </c>
      <c r="BF66" s="5">
        <v>0</v>
      </c>
      <c r="BG66" s="118">
        <f t="shared" si="11"/>
        <v>0</v>
      </c>
      <c r="BH66" s="5">
        <v>0</v>
      </c>
      <c r="BI66" s="127">
        <f t="shared" si="12"/>
        <v>0</v>
      </c>
      <c r="BJ66" s="220" t="s">
        <v>525</v>
      </c>
      <c r="BL66" s="1" t="s">
        <v>455</v>
      </c>
      <c r="BM66" s="1" t="s">
        <v>523</v>
      </c>
      <c r="BN66" s="233"/>
      <c r="BO66" s="234"/>
    </row>
    <row r="67" spans="1:67">
      <c r="A67" s="219" t="s">
        <v>823</v>
      </c>
      <c r="B67" s="106" t="s">
        <v>354</v>
      </c>
      <c r="C67" s="66" t="s">
        <v>175</v>
      </c>
      <c r="D67" s="284"/>
      <c r="E67" s="136" t="s">
        <v>176</v>
      </c>
      <c r="F67" s="295"/>
      <c r="G67" s="86" t="s">
        <v>187</v>
      </c>
      <c r="H67" s="85" t="s">
        <v>507</v>
      </c>
      <c r="I67" s="85" t="s">
        <v>184</v>
      </c>
      <c r="J67" s="86" t="s">
        <v>193</v>
      </c>
      <c r="K67" s="85" t="s">
        <v>181</v>
      </c>
      <c r="L67" s="84" t="s">
        <v>185</v>
      </c>
      <c r="M67" s="83" t="s">
        <v>465</v>
      </c>
      <c r="N67" s="10">
        <v>9.6300000000000008</v>
      </c>
      <c r="O67" s="10">
        <v>9.6300000000000008</v>
      </c>
      <c r="P67" s="10">
        <v>9.6300000000000008</v>
      </c>
      <c r="Q67" s="10">
        <v>9.6300000000000008</v>
      </c>
      <c r="R67" s="10">
        <v>9.6300000000000008</v>
      </c>
      <c r="S67" s="10">
        <v>9.6300000000000008</v>
      </c>
      <c r="T67" s="10">
        <v>9.6300000000000008</v>
      </c>
      <c r="U67" s="10">
        <v>9.6300000000000008</v>
      </c>
      <c r="V67" s="10">
        <v>9.6300000000000008</v>
      </c>
      <c r="W67" s="10">
        <v>9.6300000000000008</v>
      </c>
      <c r="X67" s="10">
        <v>9.6300000000000008</v>
      </c>
      <c r="Y67" s="257">
        <v>9.6300000000000008</v>
      </c>
      <c r="Z67" s="10">
        <v>1.42</v>
      </c>
      <c r="AA67" s="10">
        <v>1.42</v>
      </c>
      <c r="AB67" s="10">
        <v>1.42</v>
      </c>
      <c r="AC67" s="10">
        <v>1.42</v>
      </c>
      <c r="AD67" s="10">
        <v>1.42</v>
      </c>
      <c r="AE67" s="10">
        <v>1.42</v>
      </c>
      <c r="AF67" s="10">
        <v>1.42</v>
      </c>
      <c r="AG67" s="10">
        <v>1.42</v>
      </c>
      <c r="AH67" s="10">
        <v>1.42</v>
      </c>
      <c r="AI67" s="10">
        <v>1.42</v>
      </c>
      <c r="AJ67" s="10">
        <v>1.42</v>
      </c>
      <c r="AK67" s="257">
        <v>1.42</v>
      </c>
      <c r="AL67" s="5">
        <v>0</v>
      </c>
      <c r="AM67" s="118">
        <f t="shared" si="13"/>
        <v>0</v>
      </c>
      <c r="AN67" s="5">
        <v>0</v>
      </c>
      <c r="AO67" s="118">
        <f t="shared" si="2"/>
        <v>0</v>
      </c>
      <c r="AP67" s="5">
        <v>0</v>
      </c>
      <c r="AQ67" s="127">
        <f t="shared" si="3"/>
        <v>0</v>
      </c>
      <c r="AR67" s="5">
        <v>0</v>
      </c>
      <c r="AS67" s="118">
        <f t="shared" si="4"/>
        <v>0</v>
      </c>
      <c r="AT67" s="5">
        <v>0</v>
      </c>
      <c r="AU67" s="118">
        <f t="shared" si="5"/>
        <v>0</v>
      </c>
      <c r="AV67" s="5">
        <v>0</v>
      </c>
      <c r="AW67" s="127">
        <f t="shared" si="6"/>
        <v>0</v>
      </c>
      <c r="AX67" s="105">
        <v>0</v>
      </c>
      <c r="AY67" s="118">
        <f t="shared" si="7"/>
        <v>0</v>
      </c>
      <c r="AZ67" s="105">
        <v>0</v>
      </c>
      <c r="BA67" s="118">
        <f t="shared" si="8"/>
        <v>0</v>
      </c>
      <c r="BB67" s="5">
        <v>0</v>
      </c>
      <c r="BC67" s="127">
        <f t="shared" si="9"/>
        <v>0</v>
      </c>
      <c r="BD67" s="105">
        <v>0</v>
      </c>
      <c r="BE67" s="118">
        <f t="shared" si="10"/>
        <v>0</v>
      </c>
      <c r="BF67" s="5">
        <v>0</v>
      </c>
      <c r="BG67" s="118">
        <f t="shared" si="11"/>
        <v>0</v>
      </c>
      <c r="BH67" s="5">
        <v>0</v>
      </c>
      <c r="BI67" s="127">
        <f t="shared" si="12"/>
        <v>0</v>
      </c>
      <c r="BJ67" s="220" t="s">
        <v>528</v>
      </c>
      <c r="BL67" s="1" t="s">
        <v>455</v>
      </c>
      <c r="BM67" s="1" t="s">
        <v>529</v>
      </c>
      <c r="BN67" s="233"/>
      <c r="BO67" s="234"/>
    </row>
    <row r="68" spans="1:67">
      <c r="A68" s="219" t="s">
        <v>823</v>
      </c>
      <c r="B68" s="106" t="s">
        <v>354</v>
      </c>
      <c r="C68" s="66" t="s">
        <v>175</v>
      </c>
      <c r="D68" s="284"/>
      <c r="E68" s="136" t="s">
        <v>176</v>
      </c>
      <c r="F68" s="295"/>
      <c r="G68" s="86" t="s">
        <v>187</v>
      </c>
      <c r="H68" s="85" t="s">
        <v>507</v>
      </c>
      <c r="I68" s="85" t="s">
        <v>184</v>
      </c>
      <c r="J68" s="86" t="s">
        <v>193</v>
      </c>
      <c r="K68" s="85" t="s">
        <v>181</v>
      </c>
      <c r="L68" s="84" t="s">
        <v>185</v>
      </c>
      <c r="M68" s="83" t="s">
        <v>465</v>
      </c>
      <c r="N68" s="10">
        <v>9.6300000000000008</v>
      </c>
      <c r="O68" s="10">
        <v>9.6300000000000008</v>
      </c>
      <c r="P68" s="10">
        <v>9.6300000000000008</v>
      </c>
      <c r="Q68" s="10">
        <v>9.6300000000000008</v>
      </c>
      <c r="R68" s="10">
        <v>9.6300000000000008</v>
      </c>
      <c r="S68" s="10">
        <v>9.6300000000000008</v>
      </c>
      <c r="T68" s="10">
        <v>9.6300000000000008</v>
      </c>
      <c r="U68" s="10">
        <v>9.6300000000000008</v>
      </c>
      <c r="V68" s="10">
        <v>9.6300000000000008</v>
      </c>
      <c r="W68" s="10">
        <v>9.6300000000000008</v>
      </c>
      <c r="X68" s="10">
        <v>9.6300000000000008</v>
      </c>
      <c r="Y68" s="257">
        <v>9.6300000000000008</v>
      </c>
      <c r="Z68" s="10">
        <v>1.42</v>
      </c>
      <c r="AA68" s="10">
        <v>1.42</v>
      </c>
      <c r="AB68" s="10">
        <v>1.42</v>
      </c>
      <c r="AC68" s="10">
        <v>1.42</v>
      </c>
      <c r="AD68" s="10">
        <v>1.42</v>
      </c>
      <c r="AE68" s="10">
        <v>1.42</v>
      </c>
      <c r="AF68" s="10">
        <v>1.42</v>
      </c>
      <c r="AG68" s="10">
        <v>1.42</v>
      </c>
      <c r="AH68" s="10">
        <v>1.42</v>
      </c>
      <c r="AI68" s="10">
        <v>1.42</v>
      </c>
      <c r="AJ68" s="10">
        <v>1.42</v>
      </c>
      <c r="AK68" s="257">
        <v>1.42</v>
      </c>
      <c r="AL68" s="5">
        <v>0</v>
      </c>
      <c r="AM68" s="118">
        <f t="shared" ref="AM68:AM131" si="14">Z68*AL68</f>
        <v>0</v>
      </c>
      <c r="AN68" s="5">
        <v>0</v>
      </c>
      <c r="AO68" s="118">
        <f t="shared" si="2"/>
        <v>0</v>
      </c>
      <c r="AP68" s="5">
        <v>0</v>
      </c>
      <c r="AQ68" s="127">
        <f t="shared" si="3"/>
        <v>0</v>
      </c>
      <c r="AR68" s="5">
        <v>0</v>
      </c>
      <c r="AS68" s="118">
        <f t="shared" si="4"/>
        <v>0</v>
      </c>
      <c r="AT68" s="5">
        <v>0</v>
      </c>
      <c r="AU68" s="118">
        <f t="shared" si="5"/>
        <v>0</v>
      </c>
      <c r="AV68" s="5">
        <v>0</v>
      </c>
      <c r="AW68" s="127">
        <f t="shared" si="6"/>
        <v>0</v>
      </c>
      <c r="AX68" s="105">
        <v>0</v>
      </c>
      <c r="AY68" s="118">
        <f t="shared" si="7"/>
        <v>0</v>
      </c>
      <c r="AZ68" s="105">
        <v>0</v>
      </c>
      <c r="BA68" s="118">
        <f t="shared" si="8"/>
        <v>0</v>
      </c>
      <c r="BB68" s="5">
        <v>0</v>
      </c>
      <c r="BC68" s="127">
        <f t="shared" si="9"/>
        <v>0</v>
      </c>
      <c r="BD68" s="105">
        <v>0</v>
      </c>
      <c r="BE68" s="118">
        <f t="shared" si="10"/>
        <v>0</v>
      </c>
      <c r="BF68" s="5">
        <v>0</v>
      </c>
      <c r="BG68" s="118">
        <f t="shared" si="11"/>
        <v>0</v>
      </c>
      <c r="BH68" s="5">
        <v>0</v>
      </c>
      <c r="BI68" s="127">
        <f t="shared" si="12"/>
        <v>0</v>
      </c>
      <c r="BJ68" s="242" t="s">
        <v>530</v>
      </c>
      <c r="BL68" s="1" t="s">
        <v>455</v>
      </c>
      <c r="BM68" s="243" t="s">
        <v>531</v>
      </c>
      <c r="BN68" s="233"/>
      <c r="BO68" s="234"/>
    </row>
    <row r="69" spans="1:67">
      <c r="A69" s="219" t="s">
        <v>823</v>
      </c>
      <c r="B69" s="106" t="s">
        <v>354</v>
      </c>
      <c r="C69" s="66" t="s">
        <v>175</v>
      </c>
      <c r="D69" s="284"/>
      <c r="E69" s="136" t="s">
        <v>176</v>
      </c>
      <c r="F69" s="295"/>
      <c r="G69" s="86" t="s">
        <v>187</v>
      </c>
      <c r="H69" s="85" t="s">
        <v>507</v>
      </c>
      <c r="I69" s="85" t="s">
        <v>184</v>
      </c>
      <c r="J69" s="86" t="s">
        <v>193</v>
      </c>
      <c r="K69" s="85" t="s">
        <v>181</v>
      </c>
      <c r="L69" s="84" t="s">
        <v>185</v>
      </c>
      <c r="M69" s="83" t="s">
        <v>465</v>
      </c>
      <c r="N69" s="10">
        <v>9.6300000000000008</v>
      </c>
      <c r="O69" s="10">
        <v>9.6300000000000008</v>
      </c>
      <c r="P69" s="10">
        <v>9.6300000000000008</v>
      </c>
      <c r="Q69" s="10">
        <v>9.6300000000000008</v>
      </c>
      <c r="R69" s="10">
        <v>9.6300000000000008</v>
      </c>
      <c r="S69" s="10">
        <v>9.6300000000000008</v>
      </c>
      <c r="T69" s="10">
        <v>9.6300000000000008</v>
      </c>
      <c r="U69" s="10">
        <v>9.6300000000000008</v>
      </c>
      <c r="V69" s="10">
        <v>9.6300000000000008</v>
      </c>
      <c r="W69" s="10">
        <v>9.6300000000000008</v>
      </c>
      <c r="X69" s="10">
        <v>9.6300000000000008</v>
      </c>
      <c r="Y69" s="257">
        <v>9.6300000000000008</v>
      </c>
      <c r="Z69" s="10">
        <v>1.42</v>
      </c>
      <c r="AA69" s="10">
        <v>1.42</v>
      </c>
      <c r="AB69" s="10">
        <v>1.42</v>
      </c>
      <c r="AC69" s="10">
        <v>1.42</v>
      </c>
      <c r="AD69" s="10">
        <v>1.42</v>
      </c>
      <c r="AE69" s="10">
        <v>1.42</v>
      </c>
      <c r="AF69" s="10">
        <v>1.42</v>
      </c>
      <c r="AG69" s="10">
        <v>1.42</v>
      </c>
      <c r="AH69" s="10">
        <v>1.42</v>
      </c>
      <c r="AI69" s="10">
        <v>1.42</v>
      </c>
      <c r="AJ69" s="10">
        <v>1.42</v>
      </c>
      <c r="AK69" s="257">
        <v>1.42</v>
      </c>
      <c r="AL69" s="5">
        <v>0</v>
      </c>
      <c r="AM69" s="118">
        <f t="shared" si="14"/>
        <v>0</v>
      </c>
      <c r="AN69" s="5">
        <v>0</v>
      </c>
      <c r="AO69" s="118">
        <f t="shared" si="2"/>
        <v>0</v>
      </c>
      <c r="AP69" s="5">
        <v>0</v>
      </c>
      <c r="AQ69" s="127">
        <f t="shared" si="3"/>
        <v>0</v>
      </c>
      <c r="AR69" s="5">
        <v>0</v>
      </c>
      <c r="AS69" s="118">
        <f t="shared" si="4"/>
        <v>0</v>
      </c>
      <c r="AT69" s="5">
        <v>0</v>
      </c>
      <c r="AU69" s="118">
        <f t="shared" si="5"/>
        <v>0</v>
      </c>
      <c r="AV69" s="5">
        <v>0</v>
      </c>
      <c r="AW69" s="127">
        <f t="shared" si="6"/>
        <v>0</v>
      </c>
      <c r="AX69" s="105">
        <v>0</v>
      </c>
      <c r="AY69" s="118">
        <f t="shared" si="7"/>
        <v>0</v>
      </c>
      <c r="AZ69" s="105">
        <v>0</v>
      </c>
      <c r="BA69" s="118">
        <f t="shared" si="8"/>
        <v>0</v>
      </c>
      <c r="BB69" s="5">
        <v>0</v>
      </c>
      <c r="BC69" s="127">
        <f t="shared" si="9"/>
        <v>0</v>
      </c>
      <c r="BD69" s="105">
        <v>0</v>
      </c>
      <c r="BE69" s="118">
        <f t="shared" si="10"/>
        <v>0</v>
      </c>
      <c r="BF69" s="5">
        <v>0</v>
      </c>
      <c r="BG69" s="118">
        <f t="shared" si="11"/>
        <v>0</v>
      </c>
      <c r="BH69" s="5">
        <v>0</v>
      </c>
      <c r="BI69" s="127">
        <f t="shared" si="12"/>
        <v>0</v>
      </c>
      <c r="BJ69" s="220" t="s">
        <v>528</v>
      </c>
      <c r="BL69" s="1" t="s">
        <v>455</v>
      </c>
      <c r="BM69" s="1" t="s">
        <v>532</v>
      </c>
      <c r="BN69" s="233"/>
      <c r="BO69" s="234"/>
    </row>
    <row r="70" spans="1:67">
      <c r="A70" s="219" t="s">
        <v>823</v>
      </c>
      <c r="B70" s="106" t="s">
        <v>354</v>
      </c>
      <c r="C70" s="66" t="s">
        <v>175</v>
      </c>
      <c r="D70" s="284"/>
      <c r="E70" s="136" t="s">
        <v>176</v>
      </c>
      <c r="F70" s="295"/>
      <c r="G70" s="86" t="s">
        <v>187</v>
      </c>
      <c r="H70" s="85" t="s">
        <v>507</v>
      </c>
      <c r="I70" s="85" t="s">
        <v>184</v>
      </c>
      <c r="J70" s="86" t="s">
        <v>193</v>
      </c>
      <c r="K70" s="85" t="s">
        <v>181</v>
      </c>
      <c r="L70" s="84" t="s">
        <v>185</v>
      </c>
      <c r="M70" s="83" t="s">
        <v>465</v>
      </c>
      <c r="N70" s="10">
        <v>9.6300000000000008</v>
      </c>
      <c r="O70" s="10">
        <v>9.6300000000000008</v>
      </c>
      <c r="P70" s="10">
        <v>9.6300000000000008</v>
      </c>
      <c r="Q70" s="10">
        <v>9.6300000000000008</v>
      </c>
      <c r="R70" s="10">
        <v>9.6300000000000008</v>
      </c>
      <c r="S70" s="10">
        <v>9.6300000000000008</v>
      </c>
      <c r="T70" s="10">
        <v>9.6300000000000008</v>
      </c>
      <c r="U70" s="10">
        <v>9.6300000000000008</v>
      </c>
      <c r="V70" s="10">
        <v>9.6300000000000008</v>
      </c>
      <c r="W70" s="10">
        <v>9.6300000000000008</v>
      </c>
      <c r="X70" s="10">
        <v>9.6300000000000008</v>
      </c>
      <c r="Y70" s="257">
        <v>9.6300000000000008</v>
      </c>
      <c r="Z70" s="10">
        <v>1.42</v>
      </c>
      <c r="AA70" s="10">
        <v>1.42</v>
      </c>
      <c r="AB70" s="10">
        <v>1.42</v>
      </c>
      <c r="AC70" s="10">
        <v>1.42</v>
      </c>
      <c r="AD70" s="10">
        <v>1.42</v>
      </c>
      <c r="AE70" s="10">
        <v>1.42</v>
      </c>
      <c r="AF70" s="10">
        <v>1.42</v>
      </c>
      <c r="AG70" s="10">
        <v>1.42</v>
      </c>
      <c r="AH70" s="10">
        <v>1.42</v>
      </c>
      <c r="AI70" s="10">
        <v>1.42</v>
      </c>
      <c r="AJ70" s="10">
        <v>1.42</v>
      </c>
      <c r="AK70" s="257">
        <v>1.42</v>
      </c>
      <c r="AL70" s="5">
        <v>0</v>
      </c>
      <c r="AM70" s="118">
        <f t="shared" si="14"/>
        <v>0</v>
      </c>
      <c r="AN70" s="5">
        <v>0</v>
      </c>
      <c r="AO70" s="118">
        <f t="shared" si="2"/>
        <v>0</v>
      </c>
      <c r="AP70" s="5">
        <v>0</v>
      </c>
      <c r="AQ70" s="127">
        <f t="shared" si="3"/>
        <v>0</v>
      </c>
      <c r="AR70" s="5">
        <v>0</v>
      </c>
      <c r="AS70" s="118">
        <f t="shared" si="4"/>
        <v>0</v>
      </c>
      <c r="AT70" s="5">
        <v>0</v>
      </c>
      <c r="AU70" s="118">
        <f t="shared" si="5"/>
        <v>0</v>
      </c>
      <c r="AV70" s="5">
        <v>0</v>
      </c>
      <c r="AW70" s="127">
        <f t="shared" si="6"/>
        <v>0</v>
      </c>
      <c r="AX70" s="105">
        <v>0</v>
      </c>
      <c r="AY70" s="118">
        <f t="shared" si="7"/>
        <v>0</v>
      </c>
      <c r="AZ70" s="105">
        <v>0</v>
      </c>
      <c r="BA70" s="118">
        <f t="shared" si="8"/>
        <v>0</v>
      </c>
      <c r="BB70" s="5">
        <v>0</v>
      </c>
      <c r="BC70" s="127">
        <f t="shared" si="9"/>
        <v>0</v>
      </c>
      <c r="BD70" s="105">
        <v>0</v>
      </c>
      <c r="BE70" s="118">
        <f t="shared" si="10"/>
        <v>0</v>
      </c>
      <c r="BF70" s="5">
        <v>0</v>
      </c>
      <c r="BG70" s="118">
        <f t="shared" si="11"/>
        <v>0</v>
      </c>
      <c r="BH70" s="5">
        <v>0</v>
      </c>
      <c r="BI70" s="127">
        <f t="shared" si="12"/>
        <v>0</v>
      </c>
      <c r="BJ70" s="220" t="s">
        <v>533</v>
      </c>
      <c r="BL70" s="1" t="s">
        <v>455</v>
      </c>
      <c r="BM70" s="1" t="s">
        <v>529</v>
      </c>
      <c r="BN70" s="233"/>
      <c r="BO70" s="234"/>
    </row>
    <row r="71" spans="1:67">
      <c r="A71" s="219" t="s">
        <v>823</v>
      </c>
      <c r="B71" s="106" t="s">
        <v>354</v>
      </c>
      <c r="C71" s="66" t="s">
        <v>175</v>
      </c>
      <c r="D71" s="284"/>
      <c r="E71" s="136" t="s">
        <v>176</v>
      </c>
      <c r="F71" s="295"/>
      <c r="G71" s="86" t="s">
        <v>187</v>
      </c>
      <c r="H71" s="85" t="s">
        <v>507</v>
      </c>
      <c r="I71" s="85" t="s">
        <v>184</v>
      </c>
      <c r="J71" s="86" t="s">
        <v>193</v>
      </c>
      <c r="K71" s="85" t="s">
        <v>181</v>
      </c>
      <c r="L71" s="84" t="s">
        <v>185</v>
      </c>
      <c r="M71" s="83" t="s">
        <v>465</v>
      </c>
      <c r="N71" s="10">
        <v>9.6300000000000008</v>
      </c>
      <c r="O71" s="10">
        <v>9.6300000000000008</v>
      </c>
      <c r="P71" s="10">
        <v>9.6300000000000008</v>
      </c>
      <c r="Q71" s="10">
        <v>9.6300000000000008</v>
      </c>
      <c r="R71" s="10">
        <v>9.6300000000000008</v>
      </c>
      <c r="S71" s="10">
        <v>9.6300000000000008</v>
      </c>
      <c r="T71" s="10">
        <v>9.6300000000000008</v>
      </c>
      <c r="U71" s="10">
        <v>9.6300000000000008</v>
      </c>
      <c r="V71" s="10">
        <v>9.6300000000000008</v>
      </c>
      <c r="W71" s="10">
        <v>9.6300000000000008</v>
      </c>
      <c r="X71" s="10">
        <v>9.6300000000000008</v>
      </c>
      <c r="Y71" s="257">
        <v>9.6300000000000008</v>
      </c>
      <c r="Z71" s="10">
        <v>1.42</v>
      </c>
      <c r="AA71" s="10">
        <v>1.42</v>
      </c>
      <c r="AB71" s="10">
        <v>1.42</v>
      </c>
      <c r="AC71" s="10">
        <v>1.42</v>
      </c>
      <c r="AD71" s="10">
        <v>1.42</v>
      </c>
      <c r="AE71" s="10">
        <v>1.42</v>
      </c>
      <c r="AF71" s="10">
        <v>1.42</v>
      </c>
      <c r="AG71" s="10">
        <v>1.42</v>
      </c>
      <c r="AH71" s="10">
        <v>1.42</v>
      </c>
      <c r="AI71" s="10">
        <v>1.42</v>
      </c>
      <c r="AJ71" s="10">
        <v>1.42</v>
      </c>
      <c r="AK71" s="257">
        <v>1.42</v>
      </c>
      <c r="AL71" s="5">
        <v>0</v>
      </c>
      <c r="AM71" s="118">
        <f t="shared" si="14"/>
        <v>0</v>
      </c>
      <c r="AN71" s="5">
        <v>0</v>
      </c>
      <c r="AO71" s="118">
        <f t="shared" si="2"/>
        <v>0</v>
      </c>
      <c r="AP71" s="5">
        <v>0</v>
      </c>
      <c r="AQ71" s="127">
        <f t="shared" si="3"/>
        <v>0</v>
      </c>
      <c r="AR71" s="5">
        <v>0</v>
      </c>
      <c r="AS71" s="118">
        <f t="shared" si="4"/>
        <v>0</v>
      </c>
      <c r="AT71" s="5">
        <v>0</v>
      </c>
      <c r="AU71" s="118">
        <f t="shared" si="5"/>
        <v>0</v>
      </c>
      <c r="AV71" s="5">
        <v>0</v>
      </c>
      <c r="AW71" s="127">
        <f t="shared" si="6"/>
        <v>0</v>
      </c>
      <c r="AX71" s="105">
        <v>0</v>
      </c>
      <c r="AY71" s="118">
        <f t="shared" si="7"/>
        <v>0</v>
      </c>
      <c r="AZ71" s="105">
        <v>0</v>
      </c>
      <c r="BA71" s="118">
        <f t="shared" si="8"/>
        <v>0</v>
      </c>
      <c r="BB71" s="5">
        <v>0</v>
      </c>
      <c r="BC71" s="127">
        <f t="shared" si="9"/>
        <v>0</v>
      </c>
      <c r="BD71" s="105">
        <v>0</v>
      </c>
      <c r="BE71" s="118">
        <f t="shared" si="10"/>
        <v>0</v>
      </c>
      <c r="BF71" s="5">
        <v>0</v>
      </c>
      <c r="BG71" s="118">
        <f t="shared" si="11"/>
        <v>0</v>
      </c>
      <c r="BH71" s="5">
        <v>0</v>
      </c>
      <c r="BI71" s="127">
        <f t="shared" si="12"/>
        <v>0</v>
      </c>
      <c r="BJ71" s="242" t="s">
        <v>534</v>
      </c>
      <c r="BL71" s="1" t="s">
        <v>455</v>
      </c>
      <c r="BM71" s="243" t="s">
        <v>535</v>
      </c>
      <c r="BN71" s="233"/>
      <c r="BO71" s="234"/>
    </row>
    <row r="72" spans="1:67">
      <c r="A72" s="219" t="s">
        <v>823</v>
      </c>
      <c r="B72" s="106"/>
      <c r="C72" s="66" t="s">
        <v>175</v>
      </c>
      <c r="D72" s="284"/>
      <c r="E72" s="136" t="s">
        <v>176</v>
      </c>
      <c r="F72" s="295"/>
      <c r="G72" s="72"/>
      <c r="H72" s="75"/>
      <c r="I72" s="75"/>
      <c r="J72" s="72"/>
      <c r="K72" s="75"/>
      <c r="L72" s="74"/>
      <c r="M72" s="52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25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262"/>
      <c r="AL72" s="23"/>
      <c r="AM72" s="184">
        <f t="shared" si="14"/>
        <v>0</v>
      </c>
      <c r="AN72" s="23"/>
      <c r="AO72" s="184">
        <f t="shared" si="2"/>
        <v>0</v>
      </c>
      <c r="AP72" s="23"/>
      <c r="AQ72" s="185">
        <f t="shared" si="3"/>
        <v>0</v>
      </c>
      <c r="AR72" s="23"/>
      <c r="AS72" s="184">
        <f t="shared" si="4"/>
        <v>0</v>
      </c>
      <c r="AT72" s="23"/>
      <c r="AU72" s="184">
        <f t="shared" si="5"/>
        <v>0</v>
      </c>
      <c r="AV72" s="23">
        <v>0</v>
      </c>
      <c r="AW72" s="185">
        <f t="shared" si="6"/>
        <v>0</v>
      </c>
      <c r="AX72" s="50">
        <v>0</v>
      </c>
      <c r="AY72" s="184">
        <f t="shared" si="7"/>
        <v>0</v>
      </c>
      <c r="AZ72" s="50">
        <v>0</v>
      </c>
      <c r="BA72" s="184">
        <f t="shared" si="8"/>
        <v>0</v>
      </c>
      <c r="BB72" s="23">
        <v>0</v>
      </c>
      <c r="BC72" s="185">
        <f t="shared" si="9"/>
        <v>0</v>
      </c>
      <c r="BD72" s="50">
        <v>0</v>
      </c>
      <c r="BE72" s="184">
        <f t="shared" si="10"/>
        <v>0</v>
      </c>
      <c r="BF72" s="23">
        <v>0</v>
      </c>
      <c r="BG72" s="184">
        <f t="shared" si="11"/>
        <v>0</v>
      </c>
      <c r="BH72" s="23">
        <v>0</v>
      </c>
      <c r="BI72" s="185">
        <f t="shared" si="12"/>
        <v>0</v>
      </c>
      <c r="BJ72" s="246"/>
      <c r="BK72" s="247"/>
      <c r="BL72" s="247"/>
      <c r="BM72" s="247" t="s">
        <v>208</v>
      </c>
      <c r="BN72" s="233"/>
      <c r="BO72" s="234"/>
    </row>
    <row r="73" spans="1:67">
      <c r="A73" s="219" t="s">
        <v>823</v>
      </c>
      <c r="B73" s="106" t="s">
        <v>267</v>
      </c>
      <c r="C73" s="66" t="s">
        <v>175</v>
      </c>
      <c r="D73" s="284"/>
      <c r="E73" s="77" t="s">
        <v>225</v>
      </c>
      <c r="F73" s="282" t="s">
        <v>365</v>
      </c>
      <c r="G73" s="71" t="s">
        <v>260</v>
      </c>
      <c r="H73" s="70" t="s">
        <v>536</v>
      </c>
      <c r="I73" s="70" t="s">
        <v>240</v>
      </c>
      <c r="J73" s="71" t="s">
        <v>367</v>
      </c>
      <c r="K73" s="70" t="s">
        <v>537</v>
      </c>
      <c r="L73" s="69" t="s">
        <v>185</v>
      </c>
      <c r="M73" s="68" t="s">
        <v>465</v>
      </c>
      <c r="N73" s="144">
        <v>3.65</v>
      </c>
      <c r="O73" s="144">
        <v>3.65</v>
      </c>
      <c r="P73" s="144">
        <v>3</v>
      </c>
      <c r="Q73" s="144">
        <v>3</v>
      </c>
      <c r="R73" s="144">
        <v>3</v>
      </c>
      <c r="S73" s="144">
        <v>3</v>
      </c>
      <c r="T73" s="144">
        <v>3</v>
      </c>
      <c r="U73" s="144">
        <v>3</v>
      </c>
      <c r="V73" s="144">
        <v>3</v>
      </c>
      <c r="W73" s="144">
        <v>3</v>
      </c>
      <c r="X73" s="144">
        <v>3</v>
      </c>
      <c r="Y73" s="259">
        <v>3</v>
      </c>
      <c r="Z73" s="10">
        <v>0.6</v>
      </c>
      <c r="AA73" s="10">
        <v>0.6</v>
      </c>
      <c r="AB73" s="10">
        <v>0.12</v>
      </c>
      <c r="AC73" s="10">
        <v>0.12</v>
      </c>
      <c r="AD73" s="10">
        <v>0.12</v>
      </c>
      <c r="AE73" s="10">
        <v>0.12</v>
      </c>
      <c r="AF73" s="10">
        <v>0.12</v>
      </c>
      <c r="AG73" s="10">
        <v>0.12</v>
      </c>
      <c r="AH73" s="10">
        <v>0.12</v>
      </c>
      <c r="AI73" s="10">
        <v>0.12</v>
      </c>
      <c r="AJ73" s="10">
        <v>0.12</v>
      </c>
      <c r="AK73" s="257">
        <v>0.12</v>
      </c>
      <c r="AL73" s="5">
        <v>238</v>
      </c>
      <c r="AM73" s="118">
        <f t="shared" si="14"/>
        <v>142.79999999999998</v>
      </c>
      <c r="AN73" s="5">
        <v>240</v>
      </c>
      <c r="AO73" s="118">
        <f t="shared" si="2"/>
        <v>144</v>
      </c>
      <c r="AP73" s="5">
        <v>2520</v>
      </c>
      <c r="AQ73" s="127">
        <f t="shared" si="3"/>
        <v>302.39999999999998</v>
      </c>
      <c r="AR73" s="5">
        <v>3137</v>
      </c>
      <c r="AS73" s="118">
        <f t="shared" si="4"/>
        <v>376.44</v>
      </c>
      <c r="AT73" s="5">
        <v>5860</v>
      </c>
      <c r="AU73" s="118">
        <f t="shared" si="5"/>
        <v>703.19999999999993</v>
      </c>
      <c r="AV73" s="5">
        <v>0</v>
      </c>
      <c r="AW73" s="127">
        <f t="shared" si="6"/>
        <v>0</v>
      </c>
      <c r="AX73" s="105">
        <v>0</v>
      </c>
      <c r="AY73" s="118">
        <f t="shared" si="7"/>
        <v>0</v>
      </c>
      <c r="AZ73" s="105">
        <v>0</v>
      </c>
      <c r="BA73" s="118">
        <f t="shared" si="8"/>
        <v>0</v>
      </c>
      <c r="BB73" s="5">
        <v>0</v>
      </c>
      <c r="BC73" s="127">
        <f t="shared" si="9"/>
        <v>0</v>
      </c>
      <c r="BD73" s="105">
        <v>0</v>
      </c>
      <c r="BE73" s="118">
        <f t="shared" si="10"/>
        <v>0</v>
      </c>
      <c r="BF73" s="105">
        <v>0</v>
      </c>
      <c r="BG73" s="118">
        <f t="shared" si="11"/>
        <v>0</v>
      </c>
      <c r="BH73" s="105">
        <v>0</v>
      </c>
      <c r="BI73" s="127">
        <f t="shared" si="12"/>
        <v>0</v>
      </c>
      <c r="BJ73" s="220" t="s">
        <v>538</v>
      </c>
      <c r="BL73" s="1" t="s">
        <v>539</v>
      </c>
      <c r="BM73" s="1" t="s">
        <v>540</v>
      </c>
      <c r="BN73" s="264"/>
      <c r="BO73" s="234"/>
    </row>
    <row r="74" spans="1:67">
      <c r="A74" s="219" t="s">
        <v>823</v>
      </c>
      <c r="B74" s="106" t="s">
        <v>267</v>
      </c>
      <c r="C74" s="66" t="s">
        <v>175</v>
      </c>
      <c r="D74" s="284"/>
      <c r="E74" s="77" t="s">
        <v>225</v>
      </c>
      <c r="F74" s="282"/>
      <c r="G74" s="71" t="s">
        <v>202</v>
      </c>
      <c r="H74" s="70" t="s">
        <v>536</v>
      </c>
      <c r="I74" s="70" t="s">
        <v>240</v>
      </c>
      <c r="J74" s="71" t="s">
        <v>367</v>
      </c>
      <c r="K74" s="70" t="s">
        <v>537</v>
      </c>
      <c r="L74" s="69" t="s">
        <v>185</v>
      </c>
      <c r="M74" s="68" t="s">
        <v>465</v>
      </c>
      <c r="N74" s="144">
        <v>3.65</v>
      </c>
      <c r="O74" s="144">
        <v>3.65</v>
      </c>
      <c r="P74" s="144">
        <v>3</v>
      </c>
      <c r="Q74" s="144">
        <v>3</v>
      </c>
      <c r="R74" s="144">
        <v>3</v>
      </c>
      <c r="S74" s="144">
        <v>3</v>
      </c>
      <c r="T74" s="144">
        <v>3</v>
      </c>
      <c r="U74" s="144">
        <v>3</v>
      </c>
      <c r="V74" s="144">
        <v>3</v>
      </c>
      <c r="W74" s="144">
        <v>3</v>
      </c>
      <c r="X74" s="144">
        <v>3</v>
      </c>
      <c r="Y74" s="259">
        <v>3</v>
      </c>
      <c r="Z74" s="10">
        <v>0.6</v>
      </c>
      <c r="AA74" s="10">
        <v>0.6</v>
      </c>
      <c r="AB74" s="10">
        <v>0.12</v>
      </c>
      <c r="AC74" s="10">
        <v>0.12</v>
      </c>
      <c r="AD74" s="10">
        <v>0.12</v>
      </c>
      <c r="AE74" s="10">
        <v>0.12</v>
      </c>
      <c r="AF74" s="10">
        <v>0.12</v>
      </c>
      <c r="AG74" s="10">
        <v>0.12</v>
      </c>
      <c r="AH74" s="10">
        <v>0.12</v>
      </c>
      <c r="AI74" s="10">
        <v>0.12</v>
      </c>
      <c r="AJ74" s="10">
        <v>0.12</v>
      </c>
      <c r="AK74" s="257">
        <v>0.12</v>
      </c>
      <c r="AL74" s="5">
        <v>1155</v>
      </c>
      <c r="AM74" s="118">
        <f t="shared" si="14"/>
        <v>693</v>
      </c>
      <c r="AN74" s="5">
        <v>0</v>
      </c>
      <c r="AO74" s="118">
        <f t="shared" si="2"/>
        <v>0</v>
      </c>
      <c r="AP74" s="5">
        <v>320</v>
      </c>
      <c r="AQ74" s="127">
        <f t="shared" si="3"/>
        <v>38.4</v>
      </c>
      <c r="AR74" s="5">
        <v>0</v>
      </c>
      <c r="AS74" s="118">
        <f t="shared" si="4"/>
        <v>0</v>
      </c>
      <c r="AT74" s="5">
        <v>0</v>
      </c>
      <c r="AU74" s="118">
        <f t="shared" si="5"/>
        <v>0</v>
      </c>
      <c r="AV74" s="5">
        <v>0</v>
      </c>
      <c r="AW74" s="127">
        <f t="shared" si="6"/>
        <v>0</v>
      </c>
      <c r="AX74" s="105">
        <v>0</v>
      </c>
      <c r="AY74" s="118">
        <f t="shared" si="7"/>
        <v>0</v>
      </c>
      <c r="AZ74" s="105">
        <v>0</v>
      </c>
      <c r="BA74" s="118">
        <f t="shared" si="8"/>
        <v>0</v>
      </c>
      <c r="BB74" s="5">
        <v>0</v>
      </c>
      <c r="BC74" s="127">
        <f t="shared" si="9"/>
        <v>0</v>
      </c>
      <c r="BD74" s="105">
        <v>0</v>
      </c>
      <c r="BE74" s="118">
        <f t="shared" si="10"/>
        <v>0</v>
      </c>
      <c r="BF74" s="105">
        <v>0</v>
      </c>
      <c r="BG74" s="118">
        <f t="shared" si="11"/>
        <v>0</v>
      </c>
      <c r="BH74" s="105">
        <v>0</v>
      </c>
      <c r="BI74" s="127">
        <f t="shared" si="12"/>
        <v>0</v>
      </c>
      <c r="BJ74" s="220" t="s">
        <v>538</v>
      </c>
      <c r="BL74" s="1" t="s">
        <v>539</v>
      </c>
      <c r="BM74" s="1" t="s">
        <v>541</v>
      </c>
      <c r="BN74" s="264"/>
      <c r="BO74" s="234"/>
    </row>
    <row r="75" spans="1:67">
      <c r="A75" s="219" t="s">
        <v>823</v>
      </c>
      <c r="B75" s="106" t="s">
        <v>267</v>
      </c>
      <c r="C75" s="66" t="s">
        <v>175</v>
      </c>
      <c r="D75" s="284"/>
      <c r="E75" s="77" t="s">
        <v>225</v>
      </c>
      <c r="F75" s="282"/>
      <c r="G75" s="71" t="s">
        <v>202</v>
      </c>
      <c r="H75" s="70" t="s">
        <v>536</v>
      </c>
      <c r="I75" s="70" t="s">
        <v>240</v>
      </c>
      <c r="J75" s="71" t="s">
        <v>367</v>
      </c>
      <c r="K75" s="70" t="s">
        <v>537</v>
      </c>
      <c r="L75" s="69" t="s">
        <v>185</v>
      </c>
      <c r="M75" s="68" t="s">
        <v>465</v>
      </c>
      <c r="N75" s="144">
        <v>3.65</v>
      </c>
      <c r="O75" s="144">
        <v>3.65</v>
      </c>
      <c r="P75" s="144">
        <v>3</v>
      </c>
      <c r="Q75" s="144">
        <v>3</v>
      </c>
      <c r="R75" s="144">
        <v>3</v>
      </c>
      <c r="S75" s="144">
        <v>3</v>
      </c>
      <c r="T75" s="144">
        <v>3</v>
      </c>
      <c r="U75" s="144">
        <v>3</v>
      </c>
      <c r="V75" s="144">
        <v>3</v>
      </c>
      <c r="W75" s="144">
        <v>3</v>
      </c>
      <c r="X75" s="144">
        <v>3</v>
      </c>
      <c r="Y75" s="259">
        <v>3</v>
      </c>
      <c r="Z75" s="10">
        <v>0.6</v>
      </c>
      <c r="AA75" s="10">
        <v>0.6</v>
      </c>
      <c r="AB75" s="10">
        <v>0.12</v>
      </c>
      <c r="AC75" s="10">
        <v>0.12</v>
      </c>
      <c r="AD75" s="10">
        <v>0.12</v>
      </c>
      <c r="AE75" s="10">
        <v>0.12</v>
      </c>
      <c r="AF75" s="10">
        <v>0.12</v>
      </c>
      <c r="AG75" s="10">
        <v>0.12</v>
      </c>
      <c r="AH75" s="10">
        <v>0.12</v>
      </c>
      <c r="AI75" s="10">
        <v>0.12</v>
      </c>
      <c r="AJ75" s="10">
        <v>0.12</v>
      </c>
      <c r="AK75" s="257">
        <v>0.12</v>
      </c>
      <c r="AL75" s="5">
        <v>0</v>
      </c>
      <c r="AM75" s="118">
        <f t="shared" si="14"/>
        <v>0</v>
      </c>
      <c r="AN75" s="5">
        <v>0</v>
      </c>
      <c r="AO75" s="118">
        <f t="shared" si="2"/>
        <v>0</v>
      </c>
      <c r="AP75" s="5">
        <v>0</v>
      </c>
      <c r="AQ75" s="127">
        <f t="shared" si="3"/>
        <v>0</v>
      </c>
      <c r="AR75" s="5">
        <v>0</v>
      </c>
      <c r="AS75" s="118">
        <f t="shared" si="4"/>
        <v>0</v>
      </c>
      <c r="AT75" s="5">
        <v>0</v>
      </c>
      <c r="AU75" s="118">
        <f t="shared" si="5"/>
        <v>0</v>
      </c>
      <c r="AV75" s="5">
        <v>0</v>
      </c>
      <c r="AW75" s="127">
        <f t="shared" si="6"/>
        <v>0</v>
      </c>
      <c r="AX75" s="105">
        <v>0</v>
      </c>
      <c r="AY75" s="118">
        <f t="shared" si="7"/>
        <v>0</v>
      </c>
      <c r="AZ75" s="105">
        <v>0</v>
      </c>
      <c r="BA75" s="118">
        <f t="shared" si="8"/>
        <v>0</v>
      </c>
      <c r="BB75" s="5">
        <v>0</v>
      </c>
      <c r="BC75" s="127">
        <f t="shared" si="9"/>
        <v>0</v>
      </c>
      <c r="BD75" s="105">
        <v>0</v>
      </c>
      <c r="BE75" s="118">
        <f t="shared" si="10"/>
        <v>0</v>
      </c>
      <c r="BF75" s="105">
        <v>0</v>
      </c>
      <c r="BG75" s="118">
        <f t="shared" si="11"/>
        <v>0</v>
      </c>
      <c r="BH75" s="105">
        <v>0</v>
      </c>
      <c r="BI75" s="127">
        <f t="shared" si="12"/>
        <v>0</v>
      </c>
      <c r="BJ75" s="220" t="s">
        <v>538</v>
      </c>
      <c r="BL75" s="1" t="s">
        <v>539</v>
      </c>
      <c r="BM75" s="1" t="s">
        <v>542</v>
      </c>
      <c r="BN75" s="264"/>
      <c r="BO75" s="234"/>
    </row>
    <row r="76" spans="1:67">
      <c r="A76" s="219" t="s">
        <v>823</v>
      </c>
      <c r="B76" s="106" t="s">
        <v>267</v>
      </c>
      <c r="C76" s="66" t="s">
        <v>175</v>
      </c>
      <c r="D76" s="284"/>
      <c r="E76" s="77" t="s">
        <v>225</v>
      </c>
      <c r="F76" s="282"/>
      <c r="G76" s="71" t="s">
        <v>202</v>
      </c>
      <c r="H76" s="70" t="s">
        <v>536</v>
      </c>
      <c r="I76" s="70" t="s">
        <v>240</v>
      </c>
      <c r="J76" s="71" t="s">
        <v>367</v>
      </c>
      <c r="K76" s="70" t="s">
        <v>537</v>
      </c>
      <c r="L76" s="69" t="s">
        <v>361</v>
      </c>
      <c r="M76" s="68" t="s">
        <v>543</v>
      </c>
      <c r="N76" s="144">
        <v>3.65</v>
      </c>
      <c r="O76" s="144">
        <v>3.65</v>
      </c>
      <c r="P76" s="144">
        <v>3</v>
      </c>
      <c r="Q76" s="144">
        <v>3</v>
      </c>
      <c r="R76" s="144">
        <v>3</v>
      </c>
      <c r="S76" s="144">
        <v>3</v>
      </c>
      <c r="T76" s="144">
        <v>3</v>
      </c>
      <c r="U76" s="144">
        <v>3</v>
      </c>
      <c r="V76" s="144">
        <v>3</v>
      </c>
      <c r="W76" s="144">
        <v>3</v>
      </c>
      <c r="X76" s="144">
        <v>3</v>
      </c>
      <c r="Y76" s="259">
        <v>3</v>
      </c>
      <c r="Z76" s="10">
        <v>0.6</v>
      </c>
      <c r="AA76" s="10">
        <v>0.6</v>
      </c>
      <c r="AB76" s="10">
        <v>0.12</v>
      </c>
      <c r="AC76" s="10">
        <v>0.12</v>
      </c>
      <c r="AD76" s="10">
        <v>0.12</v>
      </c>
      <c r="AE76" s="10">
        <v>0.12</v>
      </c>
      <c r="AF76" s="10">
        <v>0.12</v>
      </c>
      <c r="AG76" s="10">
        <v>0.12</v>
      </c>
      <c r="AH76" s="10">
        <v>0.12</v>
      </c>
      <c r="AI76" s="10">
        <v>0.12</v>
      </c>
      <c r="AJ76" s="10">
        <v>0.12</v>
      </c>
      <c r="AK76" s="257">
        <v>0.12</v>
      </c>
      <c r="AL76" s="5">
        <v>1120</v>
      </c>
      <c r="AM76" s="118">
        <f t="shared" si="14"/>
        <v>672</v>
      </c>
      <c r="AN76" s="5">
        <v>3800</v>
      </c>
      <c r="AO76" s="118">
        <f t="shared" si="2"/>
        <v>2280</v>
      </c>
      <c r="AP76" s="5">
        <v>33440</v>
      </c>
      <c r="AQ76" s="127">
        <f t="shared" si="3"/>
        <v>4012.7999999999997</v>
      </c>
      <c r="AR76" s="5">
        <v>26640</v>
      </c>
      <c r="AS76" s="118">
        <f t="shared" si="4"/>
        <v>3196.7999999999997</v>
      </c>
      <c r="AT76" s="5">
        <v>3040</v>
      </c>
      <c r="AU76" s="118">
        <f t="shared" si="5"/>
        <v>364.8</v>
      </c>
      <c r="AV76" s="5">
        <v>15000</v>
      </c>
      <c r="AW76" s="127">
        <f t="shared" si="6"/>
        <v>1800</v>
      </c>
      <c r="AX76" s="105">
        <v>20000</v>
      </c>
      <c r="AY76" s="118">
        <f t="shared" si="7"/>
        <v>2400</v>
      </c>
      <c r="AZ76" s="105">
        <v>20000</v>
      </c>
      <c r="BA76" s="118">
        <f t="shared" si="8"/>
        <v>2400</v>
      </c>
      <c r="BB76" s="5">
        <v>10000</v>
      </c>
      <c r="BC76" s="127">
        <f t="shared" si="9"/>
        <v>1200</v>
      </c>
      <c r="BD76" s="105">
        <v>20000</v>
      </c>
      <c r="BE76" s="118">
        <f t="shared" si="10"/>
        <v>2400</v>
      </c>
      <c r="BF76" s="105">
        <v>20000</v>
      </c>
      <c r="BG76" s="118">
        <f t="shared" si="11"/>
        <v>2400</v>
      </c>
      <c r="BH76" s="105">
        <v>3000</v>
      </c>
      <c r="BI76" s="127">
        <f t="shared" si="12"/>
        <v>360</v>
      </c>
      <c r="BJ76" s="220" t="s">
        <v>544</v>
      </c>
      <c r="BL76" s="1" t="s">
        <v>539</v>
      </c>
      <c r="BM76" s="1" t="s">
        <v>540</v>
      </c>
      <c r="BN76" s="264"/>
      <c r="BO76" s="234"/>
    </row>
    <row r="77" spans="1:67">
      <c r="A77" s="219" t="s">
        <v>823</v>
      </c>
      <c r="B77" s="106" t="s">
        <v>267</v>
      </c>
      <c r="C77" s="66" t="s">
        <v>175</v>
      </c>
      <c r="D77" s="284"/>
      <c r="E77" s="77" t="s">
        <v>225</v>
      </c>
      <c r="F77" s="282"/>
      <c r="G77" s="71" t="s">
        <v>202</v>
      </c>
      <c r="H77" s="70" t="s">
        <v>536</v>
      </c>
      <c r="I77" s="70" t="s">
        <v>240</v>
      </c>
      <c r="J77" s="71" t="s">
        <v>367</v>
      </c>
      <c r="K77" s="70" t="s">
        <v>537</v>
      </c>
      <c r="L77" s="69" t="s">
        <v>361</v>
      </c>
      <c r="M77" s="68" t="s">
        <v>543</v>
      </c>
      <c r="N77" s="144">
        <v>3.65</v>
      </c>
      <c r="O77" s="144">
        <v>3.65</v>
      </c>
      <c r="P77" s="144">
        <v>3</v>
      </c>
      <c r="Q77" s="144">
        <v>3</v>
      </c>
      <c r="R77" s="144">
        <v>3</v>
      </c>
      <c r="S77" s="144">
        <v>3</v>
      </c>
      <c r="T77" s="144">
        <v>3</v>
      </c>
      <c r="U77" s="144">
        <v>3</v>
      </c>
      <c r="V77" s="144">
        <v>3</v>
      </c>
      <c r="W77" s="144">
        <v>3</v>
      </c>
      <c r="X77" s="144">
        <v>3</v>
      </c>
      <c r="Y77" s="259">
        <v>3</v>
      </c>
      <c r="Z77" s="10">
        <v>0.6</v>
      </c>
      <c r="AA77" s="10">
        <v>0.6</v>
      </c>
      <c r="AB77" s="10">
        <v>0.12</v>
      </c>
      <c r="AC77" s="10">
        <v>0.12</v>
      </c>
      <c r="AD77" s="10">
        <v>0.12</v>
      </c>
      <c r="AE77" s="10">
        <v>0.12</v>
      </c>
      <c r="AF77" s="10">
        <v>0.12</v>
      </c>
      <c r="AG77" s="10">
        <v>0.12</v>
      </c>
      <c r="AH77" s="10">
        <v>0.12</v>
      </c>
      <c r="AI77" s="10">
        <v>0.12</v>
      </c>
      <c r="AJ77" s="10">
        <v>0.12</v>
      </c>
      <c r="AK77" s="257">
        <v>0.12</v>
      </c>
      <c r="AL77" s="5">
        <v>0</v>
      </c>
      <c r="AM77" s="118">
        <f t="shared" si="14"/>
        <v>0</v>
      </c>
      <c r="AN77" s="5">
        <v>0</v>
      </c>
      <c r="AO77" s="118">
        <f t="shared" si="2"/>
        <v>0</v>
      </c>
      <c r="AP77" s="5">
        <v>0</v>
      </c>
      <c r="AQ77" s="127">
        <f t="shared" si="3"/>
        <v>0</v>
      </c>
      <c r="AR77" s="5">
        <v>0</v>
      </c>
      <c r="AS77" s="118">
        <f t="shared" si="4"/>
        <v>0</v>
      </c>
      <c r="AT77" s="5">
        <v>0</v>
      </c>
      <c r="AU77" s="118">
        <f t="shared" si="5"/>
        <v>0</v>
      </c>
      <c r="AV77" s="5">
        <v>0</v>
      </c>
      <c r="AW77" s="127">
        <f t="shared" si="6"/>
        <v>0</v>
      </c>
      <c r="AX77" s="105">
        <v>0</v>
      </c>
      <c r="AY77" s="118">
        <f t="shared" si="7"/>
        <v>0</v>
      </c>
      <c r="AZ77" s="105">
        <v>0</v>
      </c>
      <c r="BA77" s="118">
        <f t="shared" si="8"/>
        <v>0</v>
      </c>
      <c r="BB77" s="5">
        <v>0</v>
      </c>
      <c r="BC77" s="127">
        <f t="shared" si="9"/>
        <v>0</v>
      </c>
      <c r="BD77" s="105">
        <v>0</v>
      </c>
      <c r="BE77" s="118">
        <f t="shared" si="10"/>
        <v>0</v>
      </c>
      <c r="BF77" s="105">
        <v>0</v>
      </c>
      <c r="BG77" s="118">
        <f t="shared" si="11"/>
        <v>0</v>
      </c>
      <c r="BH77" s="105">
        <v>0</v>
      </c>
      <c r="BI77" s="127">
        <f t="shared" si="12"/>
        <v>0</v>
      </c>
      <c r="BJ77" s="220" t="s">
        <v>544</v>
      </c>
      <c r="BL77" s="1" t="s">
        <v>539</v>
      </c>
      <c r="BM77" s="1" t="s">
        <v>541</v>
      </c>
      <c r="BN77" s="264"/>
      <c r="BO77" s="234"/>
    </row>
    <row r="78" spans="1:67">
      <c r="A78" s="219" t="s">
        <v>823</v>
      </c>
      <c r="B78" s="106" t="s">
        <v>267</v>
      </c>
      <c r="C78" s="66" t="s">
        <v>175</v>
      </c>
      <c r="D78" s="284"/>
      <c r="E78" s="77" t="s">
        <v>225</v>
      </c>
      <c r="F78" s="282"/>
      <c r="G78" s="71" t="s">
        <v>202</v>
      </c>
      <c r="H78" s="70" t="s">
        <v>536</v>
      </c>
      <c r="I78" s="70" t="s">
        <v>240</v>
      </c>
      <c r="J78" s="71" t="s">
        <v>367</v>
      </c>
      <c r="K78" s="70" t="s">
        <v>545</v>
      </c>
      <c r="L78" s="69" t="s">
        <v>185</v>
      </c>
      <c r="M78" s="68" t="s">
        <v>465</v>
      </c>
      <c r="N78" s="144">
        <v>3.65</v>
      </c>
      <c r="O78" s="144">
        <v>3.65</v>
      </c>
      <c r="P78" s="144">
        <v>3</v>
      </c>
      <c r="Q78" s="144">
        <v>3</v>
      </c>
      <c r="R78" s="144">
        <v>3</v>
      </c>
      <c r="S78" s="144">
        <v>3</v>
      </c>
      <c r="T78" s="144">
        <v>3</v>
      </c>
      <c r="U78" s="144">
        <v>3</v>
      </c>
      <c r="V78" s="144">
        <v>3</v>
      </c>
      <c r="W78" s="144">
        <v>3</v>
      </c>
      <c r="X78" s="144">
        <v>3</v>
      </c>
      <c r="Y78" s="259">
        <v>3</v>
      </c>
      <c r="Z78" s="10">
        <v>0.6</v>
      </c>
      <c r="AA78" s="10">
        <v>0.6</v>
      </c>
      <c r="AB78" s="10">
        <v>0.12</v>
      </c>
      <c r="AC78" s="10">
        <v>0.12</v>
      </c>
      <c r="AD78" s="10">
        <v>0.12</v>
      </c>
      <c r="AE78" s="10">
        <v>0.12</v>
      </c>
      <c r="AF78" s="10">
        <v>0.12</v>
      </c>
      <c r="AG78" s="10">
        <v>0.12</v>
      </c>
      <c r="AH78" s="10">
        <v>0.12</v>
      </c>
      <c r="AI78" s="10">
        <v>0.12</v>
      </c>
      <c r="AJ78" s="10">
        <v>0.12</v>
      </c>
      <c r="AK78" s="257">
        <v>0.12</v>
      </c>
      <c r="AL78" s="5">
        <v>0</v>
      </c>
      <c r="AM78" s="118">
        <f t="shared" si="14"/>
        <v>0</v>
      </c>
      <c r="AN78" s="5">
        <v>0</v>
      </c>
      <c r="AO78" s="118">
        <f t="shared" si="2"/>
        <v>0</v>
      </c>
      <c r="AP78" s="5">
        <v>0</v>
      </c>
      <c r="AQ78" s="127">
        <f t="shared" si="3"/>
        <v>0</v>
      </c>
      <c r="AR78" s="5">
        <v>0</v>
      </c>
      <c r="AS78" s="118">
        <f t="shared" si="4"/>
        <v>0</v>
      </c>
      <c r="AT78" s="5">
        <v>0</v>
      </c>
      <c r="AU78" s="118">
        <f t="shared" si="5"/>
        <v>0</v>
      </c>
      <c r="AV78" s="5">
        <v>0</v>
      </c>
      <c r="AW78" s="127">
        <f t="shared" si="6"/>
        <v>0</v>
      </c>
      <c r="AX78" s="105">
        <v>0</v>
      </c>
      <c r="AY78" s="118">
        <f t="shared" si="7"/>
        <v>0</v>
      </c>
      <c r="AZ78" s="105">
        <v>0</v>
      </c>
      <c r="BA78" s="118">
        <f t="shared" si="8"/>
        <v>0</v>
      </c>
      <c r="BB78" s="5">
        <v>0</v>
      </c>
      <c r="BC78" s="127">
        <f t="shared" si="9"/>
        <v>0</v>
      </c>
      <c r="BD78" s="105">
        <v>0</v>
      </c>
      <c r="BE78" s="118">
        <f t="shared" si="10"/>
        <v>0</v>
      </c>
      <c r="BF78" s="5">
        <v>0</v>
      </c>
      <c r="BG78" s="118">
        <f t="shared" si="11"/>
        <v>0</v>
      </c>
      <c r="BH78" s="5">
        <v>0</v>
      </c>
      <c r="BI78" s="127">
        <f t="shared" si="12"/>
        <v>0</v>
      </c>
      <c r="BJ78" s="220" t="s">
        <v>546</v>
      </c>
      <c r="BL78" s="1" t="s">
        <v>539</v>
      </c>
      <c r="BM78" s="1" t="s">
        <v>547</v>
      </c>
      <c r="BN78" s="264"/>
      <c r="BO78" s="234"/>
    </row>
    <row r="79" spans="1:67">
      <c r="A79" s="219" t="s">
        <v>823</v>
      </c>
      <c r="B79" s="106" t="s">
        <v>267</v>
      </c>
      <c r="C79" s="66" t="s">
        <v>175</v>
      </c>
      <c r="D79" s="284"/>
      <c r="E79" s="77" t="s">
        <v>225</v>
      </c>
      <c r="F79" s="282"/>
      <c r="G79" s="71" t="s">
        <v>202</v>
      </c>
      <c r="H79" s="70" t="s">
        <v>536</v>
      </c>
      <c r="I79" s="70" t="s">
        <v>240</v>
      </c>
      <c r="J79" s="71" t="s">
        <v>367</v>
      </c>
      <c r="K79" s="70" t="s">
        <v>545</v>
      </c>
      <c r="L79" s="69" t="s">
        <v>185</v>
      </c>
      <c r="M79" s="68" t="s">
        <v>465</v>
      </c>
      <c r="N79" s="144">
        <v>3.65</v>
      </c>
      <c r="O79" s="144">
        <v>3.65</v>
      </c>
      <c r="P79" s="144">
        <v>3</v>
      </c>
      <c r="Q79" s="144">
        <v>3</v>
      </c>
      <c r="R79" s="144">
        <v>3</v>
      </c>
      <c r="S79" s="144">
        <v>3</v>
      </c>
      <c r="T79" s="144">
        <v>3</v>
      </c>
      <c r="U79" s="144">
        <v>3</v>
      </c>
      <c r="V79" s="144">
        <v>3</v>
      </c>
      <c r="W79" s="144">
        <v>3</v>
      </c>
      <c r="X79" s="144">
        <v>3</v>
      </c>
      <c r="Y79" s="259">
        <v>3</v>
      </c>
      <c r="Z79" s="10">
        <v>0.6</v>
      </c>
      <c r="AA79" s="10">
        <v>0.6</v>
      </c>
      <c r="AB79" s="10">
        <v>0.12</v>
      </c>
      <c r="AC79" s="10">
        <v>0.12</v>
      </c>
      <c r="AD79" s="10">
        <v>0.12</v>
      </c>
      <c r="AE79" s="10">
        <v>0.12</v>
      </c>
      <c r="AF79" s="10">
        <v>0.12</v>
      </c>
      <c r="AG79" s="10">
        <v>0.12</v>
      </c>
      <c r="AH79" s="10">
        <v>0.12</v>
      </c>
      <c r="AI79" s="10">
        <v>0.12</v>
      </c>
      <c r="AJ79" s="10">
        <v>0.12</v>
      </c>
      <c r="AK79" s="257">
        <v>0.12</v>
      </c>
      <c r="AL79" s="5">
        <v>0</v>
      </c>
      <c r="AM79" s="118">
        <f t="shared" si="14"/>
        <v>0</v>
      </c>
      <c r="AN79" s="5">
        <v>0</v>
      </c>
      <c r="AO79" s="118">
        <f t="shared" si="2"/>
        <v>0</v>
      </c>
      <c r="AP79" s="5">
        <v>40</v>
      </c>
      <c r="AQ79" s="127">
        <f t="shared" si="3"/>
        <v>4.8</v>
      </c>
      <c r="AR79" s="5">
        <v>0</v>
      </c>
      <c r="AS79" s="118">
        <f t="shared" si="4"/>
        <v>0</v>
      </c>
      <c r="AT79" s="5">
        <v>0</v>
      </c>
      <c r="AU79" s="118">
        <f t="shared" si="5"/>
        <v>0</v>
      </c>
      <c r="AV79" s="5">
        <v>0</v>
      </c>
      <c r="AW79" s="127">
        <f t="shared" si="6"/>
        <v>0</v>
      </c>
      <c r="AX79" s="105">
        <v>0</v>
      </c>
      <c r="AY79" s="118">
        <f t="shared" si="7"/>
        <v>0</v>
      </c>
      <c r="AZ79" s="105">
        <v>0</v>
      </c>
      <c r="BA79" s="118">
        <f t="shared" si="8"/>
        <v>0</v>
      </c>
      <c r="BB79" s="5">
        <v>0</v>
      </c>
      <c r="BC79" s="127">
        <f t="shared" si="9"/>
        <v>0</v>
      </c>
      <c r="BD79" s="105">
        <v>0</v>
      </c>
      <c r="BE79" s="118">
        <f t="shared" si="10"/>
        <v>0</v>
      </c>
      <c r="BF79" s="5">
        <v>0</v>
      </c>
      <c r="BG79" s="118">
        <f t="shared" si="11"/>
        <v>0</v>
      </c>
      <c r="BH79" s="5">
        <v>0</v>
      </c>
      <c r="BI79" s="127">
        <f t="shared" si="12"/>
        <v>0</v>
      </c>
      <c r="BJ79" s="220" t="s">
        <v>546</v>
      </c>
      <c r="BL79" s="1" t="s">
        <v>539</v>
      </c>
      <c r="BM79" s="1" t="s">
        <v>548</v>
      </c>
      <c r="BN79" s="264"/>
      <c r="BO79" s="234"/>
    </row>
    <row r="80" spans="1:67">
      <c r="A80" s="219" t="s">
        <v>823</v>
      </c>
      <c r="B80" s="106" t="s">
        <v>267</v>
      </c>
      <c r="C80" s="66" t="s">
        <v>175</v>
      </c>
      <c r="D80" s="284"/>
      <c r="E80" s="77" t="s">
        <v>225</v>
      </c>
      <c r="F80" s="282"/>
      <c r="G80" s="71" t="s">
        <v>202</v>
      </c>
      <c r="H80" s="70" t="s">
        <v>536</v>
      </c>
      <c r="I80" s="70" t="s">
        <v>240</v>
      </c>
      <c r="J80" s="71" t="s">
        <v>367</v>
      </c>
      <c r="K80" s="70" t="s">
        <v>549</v>
      </c>
      <c r="L80" s="69" t="s">
        <v>185</v>
      </c>
      <c r="M80" s="68" t="s">
        <v>465</v>
      </c>
      <c r="N80" s="144">
        <v>3.65</v>
      </c>
      <c r="O80" s="144">
        <v>3.65</v>
      </c>
      <c r="P80" s="144">
        <v>3</v>
      </c>
      <c r="Q80" s="144">
        <v>3</v>
      </c>
      <c r="R80" s="144">
        <v>3</v>
      </c>
      <c r="S80" s="144">
        <v>3</v>
      </c>
      <c r="T80" s="144">
        <v>3</v>
      </c>
      <c r="U80" s="144">
        <v>3</v>
      </c>
      <c r="V80" s="144">
        <v>3</v>
      </c>
      <c r="W80" s="144">
        <v>3</v>
      </c>
      <c r="X80" s="144">
        <v>3</v>
      </c>
      <c r="Y80" s="259">
        <v>3</v>
      </c>
      <c r="Z80" s="10">
        <v>0.6</v>
      </c>
      <c r="AA80" s="10">
        <v>0.6</v>
      </c>
      <c r="AB80" s="10">
        <v>0.12</v>
      </c>
      <c r="AC80" s="10">
        <v>0.12</v>
      </c>
      <c r="AD80" s="10">
        <v>0.12</v>
      </c>
      <c r="AE80" s="10">
        <v>0.12</v>
      </c>
      <c r="AF80" s="10">
        <v>0.12</v>
      </c>
      <c r="AG80" s="10">
        <v>0.12</v>
      </c>
      <c r="AH80" s="10">
        <v>0.12</v>
      </c>
      <c r="AI80" s="10">
        <v>0.12</v>
      </c>
      <c r="AJ80" s="10">
        <v>0.12</v>
      </c>
      <c r="AK80" s="257">
        <v>0.12</v>
      </c>
      <c r="AL80" s="5">
        <v>0</v>
      </c>
      <c r="AM80" s="118">
        <f t="shared" si="14"/>
        <v>0</v>
      </c>
      <c r="AN80" s="5">
        <v>120</v>
      </c>
      <c r="AO80" s="118">
        <f t="shared" si="2"/>
        <v>72</v>
      </c>
      <c r="AP80" s="5">
        <v>0</v>
      </c>
      <c r="AQ80" s="127">
        <f t="shared" si="3"/>
        <v>0</v>
      </c>
      <c r="AR80" s="5">
        <v>0</v>
      </c>
      <c r="AS80" s="118">
        <f t="shared" si="4"/>
        <v>0</v>
      </c>
      <c r="AT80" s="5">
        <v>0</v>
      </c>
      <c r="AU80" s="118">
        <f t="shared" si="5"/>
        <v>0</v>
      </c>
      <c r="AV80" s="5">
        <v>300</v>
      </c>
      <c r="AW80" s="127">
        <f t="shared" si="6"/>
        <v>36</v>
      </c>
      <c r="AX80" s="105">
        <v>500</v>
      </c>
      <c r="AY80" s="118">
        <f t="shared" si="7"/>
        <v>60</v>
      </c>
      <c r="AZ80" s="105">
        <v>500</v>
      </c>
      <c r="BA80" s="118">
        <f t="shared" si="8"/>
        <v>60</v>
      </c>
      <c r="BB80" s="5">
        <v>300</v>
      </c>
      <c r="BC80" s="127">
        <f t="shared" si="9"/>
        <v>36</v>
      </c>
      <c r="BD80" s="105">
        <v>500</v>
      </c>
      <c r="BE80" s="118">
        <f t="shared" si="10"/>
        <v>60</v>
      </c>
      <c r="BF80" s="5">
        <v>500</v>
      </c>
      <c r="BG80" s="118">
        <f t="shared" si="11"/>
        <v>60</v>
      </c>
      <c r="BH80" s="5">
        <v>0</v>
      </c>
      <c r="BI80" s="127">
        <f t="shared" si="12"/>
        <v>0</v>
      </c>
      <c r="BJ80" s="220" t="s">
        <v>550</v>
      </c>
      <c r="BL80" s="1" t="s">
        <v>539</v>
      </c>
      <c r="BM80" s="1" t="s">
        <v>551</v>
      </c>
      <c r="BN80" s="264"/>
      <c r="BO80" s="234"/>
    </row>
    <row r="81" spans="1:67">
      <c r="A81" s="219" t="s">
        <v>823</v>
      </c>
      <c r="B81" s="106" t="s">
        <v>267</v>
      </c>
      <c r="C81" s="66" t="s">
        <v>175</v>
      </c>
      <c r="D81" s="284"/>
      <c r="E81" s="77" t="s">
        <v>225</v>
      </c>
      <c r="F81" s="282"/>
      <c r="G81" s="71" t="s">
        <v>202</v>
      </c>
      <c r="H81" s="70" t="s">
        <v>536</v>
      </c>
      <c r="I81" s="70" t="s">
        <v>240</v>
      </c>
      <c r="J81" s="71" t="s">
        <v>367</v>
      </c>
      <c r="K81" s="70" t="s">
        <v>549</v>
      </c>
      <c r="L81" s="69" t="s">
        <v>185</v>
      </c>
      <c r="M81" s="68" t="s">
        <v>465</v>
      </c>
      <c r="N81" s="144">
        <v>3.65</v>
      </c>
      <c r="O81" s="144">
        <v>3.65</v>
      </c>
      <c r="P81" s="144">
        <v>3</v>
      </c>
      <c r="Q81" s="144">
        <v>3</v>
      </c>
      <c r="R81" s="144">
        <v>3</v>
      </c>
      <c r="S81" s="144">
        <v>3</v>
      </c>
      <c r="T81" s="144">
        <v>3</v>
      </c>
      <c r="U81" s="144">
        <v>3</v>
      </c>
      <c r="V81" s="144">
        <v>3</v>
      </c>
      <c r="W81" s="144">
        <v>3</v>
      </c>
      <c r="X81" s="144">
        <v>3</v>
      </c>
      <c r="Y81" s="259">
        <v>3</v>
      </c>
      <c r="Z81" s="10">
        <v>0.6</v>
      </c>
      <c r="AA81" s="10">
        <v>0.6</v>
      </c>
      <c r="AB81" s="10">
        <v>0.12</v>
      </c>
      <c r="AC81" s="10">
        <v>0.12</v>
      </c>
      <c r="AD81" s="10">
        <v>0.12</v>
      </c>
      <c r="AE81" s="10">
        <v>0.12</v>
      </c>
      <c r="AF81" s="10">
        <v>0.12</v>
      </c>
      <c r="AG81" s="10">
        <v>0.12</v>
      </c>
      <c r="AH81" s="10">
        <v>0.12</v>
      </c>
      <c r="AI81" s="10">
        <v>0.12</v>
      </c>
      <c r="AJ81" s="10">
        <v>0.12</v>
      </c>
      <c r="AK81" s="257">
        <v>0.12</v>
      </c>
      <c r="AL81" s="5">
        <v>160</v>
      </c>
      <c r="AM81" s="118">
        <f t="shared" si="14"/>
        <v>96</v>
      </c>
      <c r="AN81" s="5">
        <v>0</v>
      </c>
      <c r="AO81" s="118">
        <f t="shared" si="2"/>
        <v>0</v>
      </c>
      <c r="AP81" s="5">
        <v>0</v>
      </c>
      <c r="AQ81" s="127">
        <f t="shared" si="3"/>
        <v>0</v>
      </c>
      <c r="AR81" s="5">
        <v>0</v>
      </c>
      <c r="AS81" s="118">
        <f t="shared" si="4"/>
        <v>0</v>
      </c>
      <c r="AT81" s="5">
        <v>0</v>
      </c>
      <c r="AU81" s="118">
        <f t="shared" si="5"/>
        <v>0</v>
      </c>
      <c r="AV81" s="5">
        <v>0</v>
      </c>
      <c r="AW81" s="127">
        <f t="shared" si="6"/>
        <v>0</v>
      </c>
      <c r="AX81" s="105">
        <v>0</v>
      </c>
      <c r="AY81" s="118">
        <f t="shared" si="7"/>
        <v>0</v>
      </c>
      <c r="AZ81" s="105">
        <v>0</v>
      </c>
      <c r="BA81" s="118">
        <f t="shared" si="8"/>
        <v>0</v>
      </c>
      <c r="BB81" s="5">
        <v>0</v>
      </c>
      <c r="BC81" s="127">
        <f t="shared" si="9"/>
        <v>0</v>
      </c>
      <c r="BD81" s="105">
        <v>0</v>
      </c>
      <c r="BE81" s="118">
        <f t="shared" si="10"/>
        <v>0</v>
      </c>
      <c r="BF81" s="5">
        <v>0</v>
      </c>
      <c r="BG81" s="118">
        <f t="shared" si="11"/>
        <v>0</v>
      </c>
      <c r="BH81" s="5">
        <v>0</v>
      </c>
      <c r="BI81" s="127">
        <f t="shared" si="12"/>
        <v>0</v>
      </c>
      <c r="BJ81" s="220" t="s">
        <v>550</v>
      </c>
      <c r="BL81" s="1" t="s">
        <v>539</v>
      </c>
      <c r="BM81" s="1" t="s">
        <v>552</v>
      </c>
      <c r="BN81" s="264"/>
      <c r="BO81" s="234"/>
    </row>
    <row r="82" spans="1:67">
      <c r="A82" s="219" t="s">
        <v>823</v>
      </c>
      <c r="B82" s="106" t="s">
        <v>267</v>
      </c>
      <c r="C82" s="66" t="s">
        <v>175</v>
      </c>
      <c r="D82" s="284"/>
      <c r="E82" s="77" t="s">
        <v>225</v>
      </c>
      <c r="F82" s="282"/>
      <c r="G82" s="71" t="s">
        <v>202</v>
      </c>
      <c r="H82" s="70" t="s">
        <v>553</v>
      </c>
      <c r="I82" s="70" t="s">
        <v>240</v>
      </c>
      <c r="J82" s="71" t="s">
        <v>367</v>
      </c>
      <c r="K82" s="70" t="s">
        <v>368</v>
      </c>
      <c r="L82" s="69" t="s">
        <v>185</v>
      </c>
      <c r="M82" s="68" t="s">
        <v>465</v>
      </c>
      <c r="N82" s="144">
        <v>3.35</v>
      </c>
      <c r="O82" s="144">
        <v>3.35</v>
      </c>
      <c r="P82" s="144">
        <v>3</v>
      </c>
      <c r="Q82" s="144">
        <v>3</v>
      </c>
      <c r="R82" s="144">
        <v>3</v>
      </c>
      <c r="S82" s="144">
        <v>3</v>
      </c>
      <c r="T82" s="144">
        <v>3</v>
      </c>
      <c r="U82" s="144">
        <v>3</v>
      </c>
      <c r="V82" s="144">
        <v>3</v>
      </c>
      <c r="W82" s="144">
        <v>3</v>
      </c>
      <c r="X82" s="144">
        <v>3</v>
      </c>
      <c r="Y82" s="259">
        <v>3</v>
      </c>
      <c r="Z82" s="10">
        <v>0.41</v>
      </c>
      <c r="AA82" s="10">
        <v>0.41</v>
      </c>
      <c r="AB82" s="10">
        <v>0.12</v>
      </c>
      <c r="AC82" s="10">
        <v>0.12</v>
      </c>
      <c r="AD82" s="10">
        <v>0.12</v>
      </c>
      <c r="AE82" s="10">
        <v>0.12</v>
      </c>
      <c r="AF82" s="10">
        <v>0.12</v>
      </c>
      <c r="AG82" s="10">
        <v>0.12</v>
      </c>
      <c r="AH82" s="10">
        <v>0.12</v>
      </c>
      <c r="AI82" s="10">
        <v>0.12</v>
      </c>
      <c r="AJ82" s="10">
        <v>0.12</v>
      </c>
      <c r="AK82" s="257">
        <v>0.12</v>
      </c>
      <c r="AL82" s="5">
        <v>0</v>
      </c>
      <c r="AM82" s="118">
        <f t="shared" si="14"/>
        <v>0</v>
      </c>
      <c r="AN82" s="5">
        <v>0</v>
      </c>
      <c r="AO82" s="118">
        <f t="shared" si="2"/>
        <v>0</v>
      </c>
      <c r="AP82" s="5">
        <v>0</v>
      </c>
      <c r="AQ82" s="127">
        <f t="shared" si="3"/>
        <v>0</v>
      </c>
      <c r="AR82" s="5">
        <v>0</v>
      </c>
      <c r="AS82" s="118">
        <f t="shared" si="4"/>
        <v>0</v>
      </c>
      <c r="AT82" s="5">
        <v>5039</v>
      </c>
      <c r="AU82" s="118">
        <f t="shared" si="5"/>
        <v>604.67999999999995</v>
      </c>
      <c r="AV82" s="5">
        <v>0</v>
      </c>
      <c r="AW82" s="127">
        <f t="shared" si="6"/>
        <v>0</v>
      </c>
      <c r="AX82" s="105">
        <v>0</v>
      </c>
      <c r="AY82" s="118">
        <f t="shared" si="7"/>
        <v>0</v>
      </c>
      <c r="AZ82" s="105">
        <v>0</v>
      </c>
      <c r="BA82" s="118">
        <f t="shared" si="8"/>
        <v>0</v>
      </c>
      <c r="BB82" s="5">
        <v>0</v>
      </c>
      <c r="BC82" s="127">
        <f t="shared" si="9"/>
        <v>0</v>
      </c>
      <c r="BD82" s="105">
        <v>0</v>
      </c>
      <c r="BE82" s="118">
        <f t="shared" si="10"/>
        <v>0</v>
      </c>
      <c r="BF82" s="105">
        <v>0</v>
      </c>
      <c r="BG82" s="118">
        <f t="shared" si="11"/>
        <v>0</v>
      </c>
      <c r="BH82" s="105">
        <v>0</v>
      </c>
      <c r="BI82" s="127">
        <f t="shared" si="12"/>
        <v>0</v>
      </c>
      <c r="BJ82" s="220" t="s">
        <v>554</v>
      </c>
      <c r="BL82" s="1" t="s">
        <v>539</v>
      </c>
      <c r="BM82" s="1" t="s">
        <v>555</v>
      </c>
      <c r="BN82" s="264"/>
      <c r="BO82" s="234"/>
    </row>
    <row r="83" spans="1:67">
      <c r="A83" s="219" t="s">
        <v>823</v>
      </c>
      <c r="B83" s="106" t="s">
        <v>267</v>
      </c>
      <c r="C83" s="66" t="s">
        <v>175</v>
      </c>
      <c r="D83" s="284"/>
      <c r="E83" s="77" t="s">
        <v>225</v>
      </c>
      <c r="F83" s="282"/>
      <c r="G83" s="71" t="s">
        <v>202</v>
      </c>
      <c r="H83" s="70" t="s">
        <v>553</v>
      </c>
      <c r="I83" s="70" t="s">
        <v>240</v>
      </c>
      <c r="J83" s="71" t="s">
        <v>367</v>
      </c>
      <c r="K83" s="70" t="s">
        <v>368</v>
      </c>
      <c r="L83" s="69" t="s">
        <v>185</v>
      </c>
      <c r="M83" s="68" t="s">
        <v>465</v>
      </c>
      <c r="N83" s="144">
        <v>3.35</v>
      </c>
      <c r="O83" s="144">
        <v>3.35</v>
      </c>
      <c r="P83" s="144">
        <v>3</v>
      </c>
      <c r="Q83" s="144">
        <v>3</v>
      </c>
      <c r="R83" s="144">
        <v>3</v>
      </c>
      <c r="S83" s="144">
        <v>3</v>
      </c>
      <c r="T83" s="144">
        <v>3</v>
      </c>
      <c r="U83" s="144">
        <v>3</v>
      </c>
      <c r="V83" s="144">
        <v>3</v>
      </c>
      <c r="W83" s="144">
        <v>3</v>
      </c>
      <c r="X83" s="144">
        <v>3</v>
      </c>
      <c r="Y83" s="259">
        <v>3</v>
      </c>
      <c r="Z83" s="10">
        <v>0.41</v>
      </c>
      <c r="AA83" s="10">
        <v>0.41</v>
      </c>
      <c r="AB83" s="10">
        <v>0.12</v>
      </c>
      <c r="AC83" s="10">
        <v>0.12</v>
      </c>
      <c r="AD83" s="10">
        <v>0.12</v>
      </c>
      <c r="AE83" s="10">
        <v>0.12</v>
      </c>
      <c r="AF83" s="10">
        <v>0.12</v>
      </c>
      <c r="AG83" s="10">
        <v>0.12</v>
      </c>
      <c r="AH83" s="10">
        <v>0.12</v>
      </c>
      <c r="AI83" s="10">
        <v>0.12</v>
      </c>
      <c r="AJ83" s="10">
        <v>0.12</v>
      </c>
      <c r="AK83" s="257">
        <v>0.12</v>
      </c>
      <c r="AL83" s="5">
        <v>0</v>
      </c>
      <c r="AM83" s="118">
        <f t="shared" si="14"/>
        <v>0</v>
      </c>
      <c r="AN83" s="5">
        <v>0</v>
      </c>
      <c r="AO83" s="118">
        <f t="shared" si="2"/>
        <v>0</v>
      </c>
      <c r="AP83" s="5">
        <v>0</v>
      </c>
      <c r="AQ83" s="127">
        <f t="shared" si="3"/>
        <v>0</v>
      </c>
      <c r="AR83" s="5">
        <v>0</v>
      </c>
      <c r="AS83" s="118">
        <f t="shared" si="4"/>
        <v>0</v>
      </c>
      <c r="AT83" s="5">
        <v>0</v>
      </c>
      <c r="AU83" s="118">
        <f t="shared" si="5"/>
        <v>0</v>
      </c>
      <c r="AV83" s="5">
        <v>0</v>
      </c>
      <c r="AW83" s="127">
        <f t="shared" si="6"/>
        <v>0</v>
      </c>
      <c r="AX83" s="105">
        <v>0</v>
      </c>
      <c r="AY83" s="118">
        <f t="shared" si="7"/>
        <v>0</v>
      </c>
      <c r="AZ83" s="105">
        <v>0</v>
      </c>
      <c r="BA83" s="118">
        <f t="shared" si="8"/>
        <v>0</v>
      </c>
      <c r="BB83" s="5">
        <v>0</v>
      </c>
      <c r="BC83" s="127">
        <f t="shared" si="9"/>
        <v>0</v>
      </c>
      <c r="BD83" s="105">
        <v>0</v>
      </c>
      <c r="BE83" s="118">
        <f t="shared" si="10"/>
        <v>0</v>
      </c>
      <c r="BF83" s="105">
        <v>0</v>
      </c>
      <c r="BG83" s="118">
        <f t="shared" si="11"/>
        <v>0</v>
      </c>
      <c r="BH83" s="105">
        <v>0</v>
      </c>
      <c r="BI83" s="127">
        <f t="shared" si="12"/>
        <v>0</v>
      </c>
      <c r="BJ83" s="220" t="s">
        <v>554</v>
      </c>
      <c r="BL83" s="1" t="s">
        <v>539</v>
      </c>
      <c r="BM83" s="1" t="s">
        <v>556</v>
      </c>
      <c r="BN83" s="264"/>
      <c r="BO83" s="234"/>
    </row>
    <row r="84" spans="1:67">
      <c r="A84" s="219" t="s">
        <v>823</v>
      </c>
      <c r="B84" s="106" t="s">
        <v>267</v>
      </c>
      <c r="C84" s="66" t="s">
        <v>175</v>
      </c>
      <c r="D84" s="284"/>
      <c r="E84" s="77" t="s">
        <v>225</v>
      </c>
      <c r="F84" s="282"/>
      <c r="G84" s="71" t="s">
        <v>202</v>
      </c>
      <c r="H84" s="70" t="s">
        <v>553</v>
      </c>
      <c r="I84" s="70" t="s">
        <v>240</v>
      </c>
      <c r="J84" s="71" t="s">
        <v>367</v>
      </c>
      <c r="K84" s="70" t="s">
        <v>545</v>
      </c>
      <c r="L84" s="69" t="s">
        <v>185</v>
      </c>
      <c r="M84" s="68" t="s">
        <v>465</v>
      </c>
      <c r="N84" s="144">
        <v>3.35</v>
      </c>
      <c r="O84" s="144">
        <v>3.35</v>
      </c>
      <c r="P84" s="144">
        <v>3</v>
      </c>
      <c r="Q84" s="144">
        <v>3</v>
      </c>
      <c r="R84" s="144">
        <v>3</v>
      </c>
      <c r="S84" s="144">
        <v>3</v>
      </c>
      <c r="T84" s="144">
        <v>3</v>
      </c>
      <c r="U84" s="144">
        <v>3</v>
      </c>
      <c r="V84" s="144">
        <v>3</v>
      </c>
      <c r="W84" s="144">
        <v>3</v>
      </c>
      <c r="X84" s="144">
        <v>3</v>
      </c>
      <c r="Y84" s="259">
        <v>3</v>
      </c>
      <c r="Z84" s="10">
        <v>0.41</v>
      </c>
      <c r="AA84" s="10">
        <v>0.41</v>
      </c>
      <c r="AB84" s="10">
        <v>0.12</v>
      </c>
      <c r="AC84" s="10">
        <v>0.12</v>
      </c>
      <c r="AD84" s="10">
        <v>0.12</v>
      </c>
      <c r="AE84" s="10">
        <v>0.12</v>
      </c>
      <c r="AF84" s="10">
        <v>0.12</v>
      </c>
      <c r="AG84" s="10">
        <v>0.12</v>
      </c>
      <c r="AH84" s="10">
        <v>0.12</v>
      </c>
      <c r="AI84" s="10">
        <v>0.12</v>
      </c>
      <c r="AJ84" s="10">
        <v>0.12</v>
      </c>
      <c r="AK84" s="257">
        <v>0.12</v>
      </c>
      <c r="AL84" s="5">
        <v>0</v>
      </c>
      <c r="AM84" s="118">
        <f t="shared" si="14"/>
        <v>0</v>
      </c>
      <c r="AN84" s="5">
        <v>0</v>
      </c>
      <c r="AO84" s="118">
        <f t="shared" si="2"/>
        <v>0</v>
      </c>
      <c r="AP84" s="5">
        <v>0</v>
      </c>
      <c r="AQ84" s="127">
        <f t="shared" si="3"/>
        <v>0</v>
      </c>
      <c r="AR84" s="5">
        <v>0</v>
      </c>
      <c r="AS84" s="118">
        <f t="shared" si="4"/>
        <v>0</v>
      </c>
      <c r="AT84" s="5">
        <v>0</v>
      </c>
      <c r="AU84" s="118">
        <f t="shared" si="5"/>
        <v>0</v>
      </c>
      <c r="AV84" s="5">
        <v>0</v>
      </c>
      <c r="AW84" s="127">
        <f t="shared" si="6"/>
        <v>0</v>
      </c>
      <c r="AX84" s="105">
        <v>0</v>
      </c>
      <c r="AY84" s="118">
        <f t="shared" si="7"/>
        <v>0</v>
      </c>
      <c r="AZ84" s="105">
        <v>0</v>
      </c>
      <c r="BA84" s="118">
        <f t="shared" si="8"/>
        <v>0</v>
      </c>
      <c r="BB84" s="5">
        <v>0</v>
      </c>
      <c r="BC84" s="127">
        <f t="shared" si="9"/>
        <v>0</v>
      </c>
      <c r="BD84" s="105">
        <v>0</v>
      </c>
      <c r="BE84" s="118">
        <f t="shared" si="10"/>
        <v>0</v>
      </c>
      <c r="BF84" s="5">
        <v>0</v>
      </c>
      <c r="BG84" s="118">
        <f t="shared" si="11"/>
        <v>0</v>
      </c>
      <c r="BH84" s="5">
        <v>0</v>
      </c>
      <c r="BI84" s="127">
        <f t="shared" si="12"/>
        <v>0</v>
      </c>
      <c r="BJ84" s="220" t="s">
        <v>557</v>
      </c>
      <c r="BL84" s="1" t="s">
        <v>539</v>
      </c>
      <c r="BM84" s="1" t="s">
        <v>558</v>
      </c>
      <c r="BN84" s="264"/>
      <c r="BO84" s="234"/>
    </row>
    <row r="85" spans="1:67">
      <c r="A85" s="219" t="s">
        <v>823</v>
      </c>
      <c r="B85" s="106" t="s">
        <v>267</v>
      </c>
      <c r="C85" s="66" t="s">
        <v>175</v>
      </c>
      <c r="D85" s="284"/>
      <c r="E85" s="77" t="s">
        <v>225</v>
      </c>
      <c r="F85" s="282"/>
      <c r="G85" s="71" t="s">
        <v>202</v>
      </c>
      <c r="H85" s="70" t="s">
        <v>553</v>
      </c>
      <c r="I85" s="70" t="s">
        <v>240</v>
      </c>
      <c r="J85" s="71" t="s">
        <v>367</v>
      </c>
      <c r="K85" s="70" t="s">
        <v>545</v>
      </c>
      <c r="L85" s="69" t="s">
        <v>185</v>
      </c>
      <c r="M85" s="68" t="s">
        <v>465</v>
      </c>
      <c r="N85" s="144">
        <v>3.35</v>
      </c>
      <c r="O85" s="144">
        <v>3.35</v>
      </c>
      <c r="P85" s="144">
        <v>3</v>
      </c>
      <c r="Q85" s="144">
        <v>3</v>
      </c>
      <c r="R85" s="144">
        <v>3</v>
      </c>
      <c r="S85" s="144">
        <v>3</v>
      </c>
      <c r="T85" s="144">
        <v>3</v>
      </c>
      <c r="U85" s="144">
        <v>3</v>
      </c>
      <c r="V85" s="144">
        <v>3</v>
      </c>
      <c r="W85" s="144">
        <v>3</v>
      </c>
      <c r="X85" s="144">
        <v>3</v>
      </c>
      <c r="Y85" s="259">
        <v>3</v>
      </c>
      <c r="Z85" s="10">
        <v>0.41</v>
      </c>
      <c r="AA85" s="10">
        <v>0.41</v>
      </c>
      <c r="AB85" s="10">
        <v>0.12</v>
      </c>
      <c r="AC85" s="10">
        <v>0.12</v>
      </c>
      <c r="AD85" s="10">
        <v>0.12</v>
      </c>
      <c r="AE85" s="10">
        <v>0.12</v>
      </c>
      <c r="AF85" s="10">
        <v>0.12</v>
      </c>
      <c r="AG85" s="10">
        <v>0.12</v>
      </c>
      <c r="AH85" s="10">
        <v>0.12</v>
      </c>
      <c r="AI85" s="10">
        <v>0.12</v>
      </c>
      <c r="AJ85" s="10">
        <v>0.12</v>
      </c>
      <c r="AK85" s="257">
        <v>0.12</v>
      </c>
      <c r="AL85" s="5">
        <v>0</v>
      </c>
      <c r="AM85" s="118">
        <f t="shared" si="14"/>
        <v>0</v>
      </c>
      <c r="AN85" s="5">
        <v>0</v>
      </c>
      <c r="AO85" s="118">
        <f t="shared" si="2"/>
        <v>0</v>
      </c>
      <c r="AP85" s="5">
        <v>0</v>
      </c>
      <c r="AQ85" s="127">
        <f t="shared" si="3"/>
        <v>0</v>
      </c>
      <c r="AR85" s="5">
        <v>0</v>
      </c>
      <c r="AS85" s="118">
        <f t="shared" si="4"/>
        <v>0</v>
      </c>
      <c r="AT85" s="5">
        <v>0</v>
      </c>
      <c r="AU85" s="118">
        <f t="shared" si="5"/>
        <v>0</v>
      </c>
      <c r="AV85" s="5">
        <v>0</v>
      </c>
      <c r="AW85" s="127">
        <f t="shared" si="6"/>
        <v>0</v>
      </c>
      <c r="AX85" s="105">
        <v>0</v>
      </c>
      <c r="AY85" s="118">
        <f t="shared" si="7"/>
        <v>0</v>
      </c>
      <c r="AZ85" s="105">
        <v>0</v>
      </c>
      <c r="BA85" s="118">
        <f t="shared" si="8"/>
        <v>0</v>
      </c>
      <c r="BB85" s="5">
        <v>0</v>
      </c>
      <c r="BC85" s="127">
        <f t="shared" si="9"/>
        <v>0</v>
      </c>
      <c r="BD85" s="105">
        <v>0</v>
      </c>
      <c r="BE85" s="118">
        <f t="shared" si="10"/>
        <v>0</v>
      </c>
      <c r="BF85" s="5">
        <v>0</v>
      </c>
      <c r="BG85" s="118">
        <f t="shared" si="11"/>
        <v>0</v>
      </c>
      <c r="BH85" s="5">
        <v>0</v>
      </c>
      <c r="BI85" s="127">
        <f t="shared" si="12"/>
        <v>0</v>
      </c>
      <c r="BJ85" s="220" t="s">
        <v>557</v>
      </c>
      <c r="BL85" s="1" t="s">
        <v>539</v>
      </c>
      <c r="BM85" s="1" t="s">
        <v>559</v>
      </c>
      <c r="BN85" s="264"/>
      <c r="BO85" s="234"/>
    </row>
    <row r="86" spans="1:67">
      <c r="A86" s="219" t="s">
        <v>823</v>
      </c>
      <c r="B86" s="106" t="s">
        <v>267</v>
      </c>
      <c r="C86" s="66" t="s">
        <v>175</v>
      </c>
      <c r="D86" s="284"/>
      <c r="E86" s="77" t="s">
        <v>225</v>
      </c>
      <c r="F86" s="282"/>
      <c r="G86" s="71" t="s">
        <v>560</v>
      </c>
      <c r="H86" s="70" t="s">
        <v>561</v>
      </c>
      <c r="I86" s="70" t="s">
        <v>240</v>
      </c>
      <c r="J86" s="71" t="s">
        <v>367</v>
      </c>
      <c r="K86" s="70" t="s">
        <v>368</v>
      </c>
      <c r="L86" s="69" t="s">
        <v>213</v>
      </c>
      <c r="M86" s="180" t="s">
        <v>562</v>
      </c>
      <c r="N86" s="144">
        <v>3</v>
      </c>
      <c r="O86" s="144">
        <v>3</v>
      </c>
      <c r="P86" s="144">
        <v>3</v>
      </c>
      <c r="Q86" s="144">
        <v>3</v>
      </c>
      <c r="R86" s="144">
        <v>3</v>
      </c>
      <c r="S86" s="144">
        <v>3</v>
      </c>
      <c r="T86" s="144">
        <v>3</v>
      </c>
      <c r="U86" s="144">
        <v>3</v>
      </c>
      <c r="V86" s="144">
        <v>3</v>
      </c>
      <c r="W86" s="144">
        <v>3</v>
      </c>
      <c r="X86" s="144">
        <v>3</v>
      </c>
      <c r="Y86" s="259">
        <v>3</v>
      </c>
      <c r="Z86" s="10">
        <v>0.06</v>
      </c>
      <c r="AA86" s="10">
        <v>0.06</v>
      </c>
      <c r="AB86" s="10">
        <v>0.12</v>
      </c>
      <c r="AC86" s="10">
        <v>0.12</v>
      </c>
      <c r="AD86" s="10">
        <v>0.12</v>
      </c>
      <c r="AE86" s="10">
        <v>0.12</v>
      </c>
      <c r="AF86" s="10">
        <v>0.12</v>
      </c>
      <c r="AG86" s="10">
        <v>0.12</v>
      </c>
      <c r="AH86" s="10">
        <v>0.12</v>
      </c>
      <c r="AI86" s="10">
        <v>0.12</v>
      </c>
      <c r="AJ86" s="10">
        <v>0.12</v>
      </c>
      <c r="AK86" s="257">
        <v>0.12</v>
      </c>
      <c r="AL86" s="5">
        <v>1500</v>
      </c>
      <c r="AM86" s="118">
        <f t="shared" si="14"/>
        <v>90</v>
      </c>
      <c r="AN86" s="5">
        <v>60</v>
      </c>
      <c r="AO86" s="118">
        <f t="shared" si="2"/>
        <v>3.5999999999999996</v>
      </c>
      <c r="AP86" s="5">
        <v>0</v>
      </c>
      <c r="AQ86" s="127">
        <f t="shared" si="3"/>
        <v>0</v>
      </c>
      <c r="AR86" s="5">
        <v>77942</v>
      </c>
      <c r="AS86" s="118">
        <f t="shared" si="4"/>
        <v>9353.0399999999991</v>
      </c>
      <c r="AT86" s="5">
        <v>59830</v>
      </c>
      <c r="AU86" s="118">
        <f t="shared" si="5"/>
        <v>7179.5999999999995</v>
      </c>
      <c r="AV86" s="5">
        <v>60000</v>
      </c>
      <c r="AW86" s="127">
        <f t="shared" si="6"/>
        <v>7200</v>
      </c>
      <c r="AX86" s="105">
        <v>84000</v>
      </c>
      <c r="AY86" s="118">
        <f t="shared" si="7"/>
        <v>10080</v>
      </c>
      <c r="AZ86" s="105">
        <v>84000</v>
      </c>
      <c r="BA86" s="118">
        <f t="shared" si="8"/>
        <v>10080</v>
      </c>
      <c r="BB86" s="5">
        <v>42000</v>
      </c>
      <c r="BC86" s="127">
        <f t="shared" si="9"/>
        <v>5040</v>
      </c>
      <c r="BD86" s="105">
        <v>51000</v>
      </c>
      <c r="BE86" s="118">
        <f t="shared" si="10"/>
        <v>6120</v>
      </c>
      <c r="BF86" s="5">
        <v>51000</v>
      </c>
      <c r="BG86" s="118">
        <f t="shared" si="11"/>
        <v>6120</v>
      </c>
      <c r="BH86" s="5">
        <v>25000</v>
      </c>
      <c r="BI86" s="127">
        <f t="shared" si="12"/>
        <v>3000</v>
      </c>
      <c r="BJ86" s="220" t="s">
        <v>563</v>
      </c>
      <c r="BL86" s="1" t="s">
        <v>539</v>
      </c>
      <c r="BM86" s="1" t="s">
        <v>564</v>
      </c>
      <c r="BN86" s="233"/>
      <c r="BO86" s="234"/>
    </row>
    <row r="87" spans="1:67">
      <c r="A87" s="219" t="s">
        <v>823</v>
      </c>
      <c r="B87" s="106" t="s">
        <v>267</v>
      </c>
      <c r="C87" s="66" t="s">
        <v>175</v>
      </c>
      <c r="D87" s="284"/>
      <c r="E87" s="77" t="s">
        <v>225</v>
      </c>
      <c r="F87" s="282"/>
      <c r="G87" s="71" t="s">
        <v>560</v>
      </c>
      <c r="H87" s="70" t="s">
        <v>561</v>
      </c>
      <c r="I87" s="70" t="s">
        <v>240</v>
      </c>
      <c r="J87" s="71" t="s">
        <v>367</v>
      </c>
      <c r="K87" s="70" t="s">
        <v>368</v>
      </c>
      <c r="L87" s="69" t="s">
        <v>213</v>
      </c>
      <c r="M87" s="180" t="s">
        <v>562</v>
      </c>
      <c r="N87" s="144">
        <v>3</v>
      </c>
      <c r="O87" s="144">
        <v>3</v>
      </c>
      <c r="P87" s="144">
        <v>3</v>
      </c>
      <c r="Q87" s="144">
        <v>3</v>
      </c>
      <c r="R87" s="144">
        <v>3</v>
      </c>
      <c r="S87" s="144">
        <v>3</v>
      </c>
      <c r="T87" s="144">
        <v>3</v>
      </c>
      <c r="U87" s="144">
        <v>3</v>
      </c>
      <c r="V87" s="144">
        <v>3</v>
      </c>
      <c r="W87" s="144">
        <v>3</v>
      </c>
      <c r="X87" s="144">
        <v>3</v>
      </c>
      <c r="Y87" s="259">
        <v>3</v>
      </c>
      <c r="Z87" s="10">
        <v>0.06</v>
      </c>
      <c r="AA87" s="10">
        <v>0.06</v>
      </c>
      <c r="AB87" s="10">
        <v>0.12</v>
      </c>
      <c r="AC87" s="10">
        <v>0.12</v>
      </c>
      <c r="AD87" s="10">
        <v>0.12</v>
      </c>
      <c r="AE87" s="10">
        <v>0.12</v>
      </c>
      <c r="AF87" s="10">
        <v>0.12</v>
      </c>
      <c r="AG87" s="10">
        <v>0.12</v>
      </c>
      <c r="AH87" s="10">
        <v>0.12</v>
      </c>
      <c r="AI87" s="10">
        <v>0.12</v>
      </c>
      <c r="AJ87" s="10">
        <v>0.12</v>
      </c>
      <c r="AK87" s="257">
        <v>0.12</v>
      </c>
      <c r="AL87" s="5">
        <v>12840</v>
      </c>
      <c r="AM87" s="118">
        <f t="shared" si="14"/>
        <v>770.4</v>
      </c>
      <c r="AN87" s="5">
        <v>6420</v>
      </c>
      <c r="AO87" s="118">
        <f t="shared" si="2"/>
        <v>385.2</v>
      </c>
      <c r="AP87" s="5">
        <v>27000</v>
      </c>
      <c r="AQ87" s="127">
        <f t="shared" si="3"/>
        <v>3240</v>
      </c>
      <c r="AR87" s="5">
        <v>51863</v>
      </c>
      <c r="AS87" s="118">
        <f t="shared" si="4"/>
        <v>6223.5599999999995</v>
      </c>
      <c r="AT87" s="5">
        <v>49500</v>
      </c>
      <c r="AU87" s="118">
        <f t="shared" si="5"/>
        <v>5940</v>
      </c>
      <c r="AV87" s="5">
        <v>0</v>
      </c>
      <c r="AW87" s="127">
        <f t="shared" si="6"/>
        <v>0</v>
      </c>
      <c r="AX87" s="105">
        <v>0</v>
      </c>
      <c r="AY87" s="118">
        <f t="shared" si="7"/>
        <v>0</v>
      </c>
      <c r="AZ87" s="105">
        <v>0</v>
      </c>
      <c r="BA87" s="118">
        <f t="shared" si="8"/>
        <v>0</v>
      </c>
      <c r="BB87" s="5">
        <v>0</v>
      </c>
      <c r="BC87" s="127">
        <f t="shared" si="9"/>
        <v>0</v>
      </c>
      <c r="BD87" s="105">
        <v>0</v>
      </c>
      <c r="BE87" s="118">
        <f t="shared" si="10"/>
        <v>0</v>
      </c>
      <c r="BF87" s="5">
        <v>0</v>
      </c>
      <c r="BG87" s="118">
        <f t="shared" si="11"/>
        <v>0</v>
      </c>
      <c r="BH87" s="5">
        <v>0</v>
      </c>
      <c r="BI87" s="127">
        <f t="shared" si="12"/>
        <v>0</v>
      </c>
      <c r="BJ87" s="220" t="s">
        <v>565</v>
      </c>
      <c r="BL87" s="1" t="s">
        <v>539</v>
      </c>
      <c r="BM87" s="1" t="s">
        <v>566</v>
      </c>
      <c r="BN87" s="233"/>
      <c r="BO87" s="234"/>
    </row>
    <row r="88" spans="1:67">
      <c r="A88" s="219" t="s">
        <v>823</v>
      </c>
      <c r="B88" s="106"/>
      <c r="C88" s="66" t="s">
        <v>175</v>
      </c>
      <c r="D88" s="285"/>
      <c r="E88" s="143" t="s">
        <v>225</v>
      </c>
      <c r="F88" s="282"/>
      <c r="G88" s="72"/>
      <c r="H88" s="75"/>
      <c r="I88" s="75"/>
      <c r="J88" s="72"/>
      <c r="K88" s="75"/>
      <c r="L88" s="74"/>
      <c r="M88" s="52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25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262"/>
      <c r="AL88" s="23"/>
      <c r="AM88" s="184">
        <f t="shared" si="14"/>
        <v>0</v>
      </c>
      <c r="AN88" s="23"/>
      <c r="AO88" s="184">
        <f t="shared" si="2"/>
        <v>0</v>
      </c>
      <c r="AP88" s="23"/>
      <c r="AQ88" s="185">
        <f t="shared" si="3"/>
        <v>0</v>
      </c>
      <c r="AR88" s="23"/>
      <c r="AS88" s="184">
        <f t="shared" si="4"/>
        <v>0</v>
      </c>
      <c r="AT88" s="23"/>
      <c r="AU88" s="184">
        <f t="shared" si="5"/>
        <v>0</v>
      </c>
      <c r="AV88" s="23">
        <v>0</v>
      </c>
      <c r="AW88" s="185">
        <f t="shared" si="6"/>
        <v>0</v>
      </c>
      <c r="AX88" s="50">
        <v>0</v>
      </c>
      <c r="AY88" s="184">
        <f t="shared" si="7"/>
        <v>0</v>
      </c>
      <c r="AZ88" s="50">
        <v>0</v>
      </c>
      <c r="BA88" s="184">
        <f t="shared" si="8"/>
        <v>0</v>
      </c>
      <c r="BB88" s="23">
        <v>0</v>
      </c>
      <c r="BC88" s="185">
        <f t="shared" si="9"/>
        <v>0</v>
      </c>
      <c r="BD88" s="50">
        <v>0</v>
      </c>
      <c r="BE88" s="184">
        <f t="shared" si="10"/>
        <v>0</v>
      </c>
      <c r="BF88" s="23">
        <v>0</v>
      </c>
      <c r="BG88" s="184">
        <f t="shared" si="11"/>
        <v>0</v>
      </c>
      <c r="BH88" s="23">
        <v>0</v>
      </c>
      <c r="BI88" s="185">
        <f t="shared" si="12"/>
        <v>0</v>
      </c>
      <c r="BM88" s="1" t="s">
        <v>208</v>
      </c>
      <c r="BN88" s="233"/>
      <c r="BO88" s="234"/>
    </row>
    <row r="89" spans="1:67">
      <c r="A89" s="219" t="s">
        <v>823</v>
      </c>
      <c r="B89" s="106" t="s">
        <v>244</v>
      </c>
      <c r="C89" s="66" t="s">
        <v>175</v>
      </c>
      <c r="D89" s="284" t="s">
        <v>245</v>
      </c>
      <c r="E89" s="77" t="s">
        <v>253</v>
      </c>
      <c r="F89" s="282" t="s">
        <v>245</v>
      </c>
      <c r="G89" s="71" t="s">
        <v>202</v>
      </c>
      <c r="H89" s="70" t="s">
        <v>261</v>
      </c>
      <c r="I89" s="70" t="s">
        <v>180</v>
      </c>
      <c r="J89" s="71" t="s">
        <v>567</v>
      </c>
      <c r="K89" s="70" t="s">
        <v>250</v>
      </c>
      <c r="L89" s="69" t="s">
        <v>257</v>
      </c>
      <c r="M89" s="180" t="s">
        <v>568</v>
      </c>
      <c r="N89" s="144">
        <v>11.73</v>
      </c>
      <c r="O89" s="144">
        <v>11.73</v>
      </c>
      <c r="P89" s="144">
        <v>11.73</v>
      </c>
      <c r="Q89" s="144">
        <v>11.73</v>
      </c>
      <c r="R89" s="144">
        <v>11.73</v>
      </c>
      <c r="S89" s="144">
        <v>11.73</v>
      </c>
      <c r="T89" s="144">
        <v>11.73</v>
      </c>
      <c r="U89" s="144">
        <v>11.73</v>
      </c>
      <c r="V89" s="144">
        <v>11.73</v>
      </c>
      <c r="W89" s="144">
        <v>11.73</v>
      </c>
      <c r="X89" s="144">
        <v>11.73</v>
      </c>
      <c r="Y89" s="259">
        <v>11.73</v>
      </c>
      <c r="Z89" s="144">
        <v>0.56000000000000005</v>
      </c>
      <c r="AA89" s="144">
        <v>0.56000000000000005</v>
      </c>
      <c r="AB89" s="144">
        <v>0.56000000000000005</v>
      </c>
      <c r="AC89" s="144">
        <v>0.56000000000000005</v>
      </c>
      <c r="AD89" s="144">
        <v>0.56000000000000005</v>
      </c>
      <c r="AE89" s="144">
        <v>0.56000000000000005</v>
      </c>
      <c r="AF89" s="144">
        <v>0.56000000000000005</v>
      </c>
      <c r="AG89" s="144">
        <v>0.56000000000000005</v>
      </c>
      <c r="AH89" s="144">
        <v>0.56000000000000005</v>
      </c>
      <c r="AI89" s="144">
        <v>0.56000000000000005</v>
      </c>
      <c r="AJ89" s="144">
        <v>0.56000000000000005</v>
      </c>
      <c r="AK89" s="259">
        <v>0.56000000000000005</v>
      </c>
      <c r="AL89" s="105">
        <v>0</v>
      </c>
      <c r="AM89" s="118">
        <f t="shared" si="14"/>
        <v>0</v>
      </c>
      <c r="AN89" s="105">
        <v>0</v>
      </c>
      <c r="AO89" s="118">
        <f t="shared" si="2"/>
        <v>0</v>
      </c>
      <c r="AP89" s="204">
        <v>0</v>
      </c>
      <c r="AQ89" s="127">
        <f t="shared" si="3"/>
        <v>0</v>
      </c>
      <c r="AR89" s="5">
        <v>0</v>
      </c>
      <c r="AS89" s="118">
        <f t="shared" ref="AS89:AS152" si="15">AC89*AR89</f>
        <v>0</v>
      </c>
      <c r="AT89" s="105">
        <v>0</v>
      </c>
      <c r="AU89" s="118">
        <f t="shared" ref="AU89:AU152" si="16">AD89*AT89</f>
        <v>0</v>
      </c>
      <c r="AV89" s="105">
        <v>0</v>
      </c>
      <c r="AW89" s="127">
        <f t="shared" ref="AW89:AW152" si="17">AE89*AV89</f>
        <v>0</v>
      </c>
      <c r="AX89" s="105">
        <v>1000</v>
      </c>
      <c r="AY89" s="118">
        <f t="shared" ref="AY89:AY152" si="18">AF89*AX89</f>
        <v>560</v>
      </c>
      <c r="AZ89" s="105">
        <v>0</v>
      </c>
      <c r="BA89" s="118">
        <f t="shared" ref="BA89:BA152" si="19">AG89*AZ89</f>
        <v>0</v>
      </c>
      <c r="BB89" s="5">
        <v>0</v>
      </c>
      <c r="BC89" s="127">
        <f t="shared" ref="BC89:BC152" si="20">AH89*BB89</f>
        <v>0</v>
      </c>
      <c r="BD89" s="105">
        <v>1000</v>
      </c>
      <c r="BE89" s="118">
        <f t="shared" ref="BE89:BE152" si="21">AI89*BD89</f>
        <v>560</v>
      </c>
      <c r="BF89" s="5">
        <v>1000</v>
      </c>
      <c r="BG89" s="118">
        <f t="shared" ref="BG89:BG152" si="22">AJ89*BF89</f>
        <v>560</v>
      </c>
      <c r="BH89" s="5">
        <v>1000</v>
      </c>
      <c r="BI89" s="127">
        <f t="shared" ref="BI89:BI152" si="23">AK89*BH89</f>
        <v>560</v>
      </c>
      <c r="BJ89" s="220" t="s">
        <v>569</v>
      </c>
      <c r="BL89" s="1" t="s">
        <v>570</v>
      </c>
      <c r="BM89" s="233" t="s">
        <v>824</v>
      </c>
      <c r="BN89" s="233"/>
      <c r="BO89" s="234"/>
    </row>
    <row r="90" spans="1:67">
      <c r="A90" s="219" t="s">
        <v>823</v>
      </c>
      <c r="B90" s="106" t="s">
        <v>244</v>
      </c>
      <c r="C90" s="66" t="s">
        <v>175</v>
      </c>
      <c r="D90" s="284"/>
      <c r="E90" s="77" t="s">
        <v>253</v>
      </c>
      <c r="F90" s="282"/>
      <c r="G90" s="71" t="s">
        <v>202</v>
      </c>
      <c r="H90" s="70" t="s">
        <v>261</v>
      </c>
      <c r="I90" s="70" t="s">
        <v>180</v>
      </c>
      <c r="J90" s="71" t="s">
        <v>567</v>
      </c>
      <c r="K90" s="70" t="s">
        <v>250</v>
      </c>
      <c r="L90" s="69" t="s">
        <v>257</v>
      </c>
      <c r="M90" s="180" t="s">
        <v>568</v>
      </c>
      <c r="N90" s="144">
        <v>11.73</v>
      </c>
      <c r="O90" s="144">
        <v>11.73</v>
      </c>
      <c r="P90" s="144">
        <v>11.73</v>
      </c>
      <c r="Q90" s="144">
        <v>11.73</v>
      </c>
      <c r="R90" s="144">
        <v>11.73</v>
      </c>
      <c r="S90" s="144">
        <v>11.73</v>
      </c>
      <c r="T90" s="144">
        <v>11.73</v>
      </c>
      <c r="U90" s="144">
        <v>11.73</v>
      </c>
      <c r="V90" s="144">
        <v>11.73</v>
      </c>
      <c r="W90" s="144">
        <v>11.73</v>
      </c>
      <c r="X90" s="144">
        <v>11.73</v>
      </c>
      <c r="Y90" s="259">
        <v>11.73</v>
      </c>
      <c r="Z90" s="144">
        <v>0.56000000000000005</v>
      </c>
      <c r="AA90" s="144">
        <v>0.56000000000000005</v>
      </c>
      <c r="AB90" s="144">
        <v>0.56000000000000005</v>
      </c>
      <c r="AC90" s="144">
        <v>0.56000000000000005</v>
      </c>
      <c r="AD90" s="144">
        <v>0.56000000000000005</v>
      </c>
      <c r="AE90" s="144">
        <v>0.56000000000000005</v>
      </c>
      <c r="AF90" s="144">
        <v>0.56000000000000005</v>
      </c>
      <c r="AG90" s="144">
        <v>0.56000000000000005</v>
      </c>
      <c r="AH90" s="144">
        <v>0.56000000000000005</v>
      </c>
      <c r="AI90" s="144">
        <v>0.56000000000000005</v>
      </c>
      <c r="AJ90" s="144">
        <v>0.56000000000000005</v>
      </c>
      <c r="AK90" s="259">
        <v>0.56000000000000005</v>
      </c>
      <c r="AL90" s="105">
        <v>0</v>
      </c>
      <c r="AM90" s="118">
        <f t="shared" si="14"/>
        <v>0</v>
      </c>
      <c r="AN90" s="105">
        <v>0</v>
      </c>
      <c r="AO90" s="118">
        <f t="shared" si="2"/>
        <v>0</v>
      </c>
      <c r="AP90" s="204">
        <v>0</v>
      </c>
      <c r="AQ90" s="127">
        <f t="shared" si="3"/>
        <v>0</v>
      </c>
      <c r="AR90" s="5">
        <v>0</v>
      </c>
      <c r="AS90" s="118">
        <f t="shared" si="15"/>
        <v>0</v>
      </c>
      <c r="AT90" s="105">
        <v>0</v>
      </c>
      <c r="AU90" s="118">
        <f t="shared" si="16"/>
        <v>0</v>
      </c>
      <c r="AV90" s="105">
        <v>0</v>
      </c>
      <c r="AW90" s="127">
        <f t="shared" si="17"/>
        <v>0</v>
      </c>
      <c r="AX90" s="105">
        <v>0</v>
      </c>
      <c r="AY90" s="118">
        <f t="shared" si="18"/>
        <v>0</v>
      </c>
      <c r="AZ90" s="105">
        <v>0</v>
      </c>
      <c r="BA90" s="118">
        <f t="shared" si="19"/>
        <v>0</v>
      </c>
      <c r="BB90" s="5">
        <v>0</v>
      </c>
      <c r="BC90" s="127">
        <f t="shared" si="20"/>
        <v>0</v>
      </c>
      <c r="BD90" s="105">
        <v>0</v>
      </c>
      <c r="BE90" s="118">
        <f t="shared" si="21"/>
        <v>0</v>
      </c>
      <c r="BF90" s="5">
        <v>0</v>
      </c>
      <c r="BG90" s="118">
        <f t="shared" si="22"/>
        <v>0</v>
      </c>
      <c r="BH90" s="5">
        <v>0</v>
      </c>
      <c r="BI90" s="127">
        <f t="shared" si="23"/>
        <v>0</v>
      </c>
      <c r="BJ90" s="220" t="s">
        <v>569</v>
      </c>
      <c r="BL90" s="1" t="s">
        <v>570</v>
      </c>
      <c r="BM90" s="233" t="s">
        <v>825</v>
      </c>
      <c r="BN90" s="233"/>
      <c r="BO90" s="234"/>
    </row>
    <row r="91" spans="1:67">
      <c r="A91" s="219" t="s">
        <v>823</v>
      </c>
      <c r="B91" s="106" t="s">
        <v>244</v>
      </c>
      <c r="C91" s="66" t="s">
        <v>175</v>
      </c>
      <c r="D91" s="284"/>
      <c r="E91" s="77" t="s">
        <v>253</v>
      </c>
      <c r="F91" s="282"/>
      <c r="G91" s="71" t="s">
        <v>202</v>
      </c>
      <c r="H91" s="70" t="s">
        <v>261</v>
      </c>
      <c r="I91" s="70" t="s">
        <v>180</v>
      </c>
      <c r="J91" s="71" t="s">
        <v>567</v>
      </c>
      <c r="K91" s="70" t="s">
        <v>250</v>
      </c>
      <c r="L91" s="69" t="s">
        <v>257</v>
      </c>
      <c r="M91" s="180" t="s">
        <v>568</v>
      </c>
      <c r="N91" s="144">
        <v>11.73</v>
      </c>
      <c r="O91" s="144">
        <v>11.73</v>
      </c>
      <c r="P91" s="144">
        <v>11.73</v>
      </c>
      <c r="Q91" s="144">
        <v>11.73</v>
      </c>
      <c r="R91" s="144">
        <v>11.73</v>
      </c>
      <c r="S91" s="144">
        <v>11.73</v>
      </c>
      <c r="T91" s="144">
        <v>11.73</v>
      </c>
      <c r="U91" s="144">
        <v>11.73</v>
      </c>
      <c r="V91" s="144">
        <v>11.73</v>
      </c>
      <c r="W91" s="144">
        <v>11.73</v>
      </c>
      <c r="X91" s="144">
        <v>11.73</v>
      </c>
      <c r="Y91" s="259">
        <v>11.73</v>
      </c>
      <c r="Z91" s="144">
        <v>0.56000000000000005</v>
      </c>
      <c r="AA91" s="144">
        <v>0.56000000000000005</v>
      </c>
      <c r="AB91" s="144">
        <v>0.56000000000000005</v>
      </c>
      <c r="AC91" s="144">
        <v>0.56000000000000005</v>
      </c>
      <c r="AD91" s="144">
        <v>0.56000000000000005</v>
      </c>
      <c r="AE91" s="144">
        <v>0.56000000000000005</v>
      </c>
      <c r="AF91" s="144">
        <v>0.56000000000000005</v>
      </c>
      <c r="AG91" s="144">
        <v>0.56000000000000005</v>
      </c>
      <c r="AH91" s="144">
        <v>0.56000000000000005</v>
      </c>
      <c r="AI91" s="144">
        <v>0.56000000000000005</v>
      </c>
      <c r="AJ91" s="144">
        <v>0.56000000000000005</v>
      </c>
      <c r="AK91" s="259">
        <v>0.56000000000000005</v>
      </c>
      <c r="AL91" s="105">
        <v>0</v>
      </c>
      <c r="AM91" s="118">
        <f t="shared" si="14"/>
        <v>0</v>
      </c>
      <c r="AN91" s="105">
        <v>0</v>
      </c>
      <c r="AO91" s="118">
        <f t="shared" si="2"/>
        <v>0</v>
      </c>
      <c r="AP91" s="204">
        <v>0</v>
      </c>
      <c r="AQ91" s="127">
        <f t="shared" si="3"/>
        <v>0</v>
      </c>
      <c r="AR91" s="5">
        <v>0</v>
      </c>
      <c r="AS91" s="118">
        <f t="shared" si="15"/>
        <v>0</v>
      </c>
      <c r="AT91" s="105">
        <v>0</v>
      </c>
      <c r="AU91" s="118">
        <f t="shared" si="16"/>
        <v>0</v>
      </c>
      <c r="AV91" s="105">
        <v>0</v>
      </c>
      <c r="AW91" s="127">
        <f t="shared" si="17"/>
        <v>0</v>
      </c>
      <c r="AX91" s="105">
        <v>0</v>
      </c>
      <c r="AY91" s="118">
        <f t="shared" si="18"/>
        <v>0</v>
      </c>
      <c r="AZ91" s="105">
        <v>0</v>
      </c>
      <c r="BA91" s="118">
        <f t="shared" si="19"/>
        <v>0</v>
      </c>
      <c r="BB91" s="5">
        <v>0</v>
      </c>
      <c r="BC91" s="127">
        <f t="shared" si="20"/>
        <v>0</v>
      </c>
      <c r="BD91" s="105">
        <v>1000</v>
      </c>
      <c r="BE91" s="118">
        <f t="shared" si="21"/>
        <v>560</v>
      </c>
      <c r="BF91" s="5">
        <v>1000</v>
      </c>
      <c r="BG91" s="118">
        <f t="shared" si="22"/>
        <v>560</v>
      </c>
      <c r="BH91" s="5">
        <v>1000</v>
      </c>
      <c r="BI91" s="127">
        <f t="shared" si="23"/>
        <v>560</v>
      </c>
      <c r="BJ91" s="220" t="s">
        <v>569</v>
      </c>
      <c r="BL91" s="1" t="s">
        <v>573</v>
      </c>
      <c r="BM91" s="233" t="s">
        <v>826</v>
      </c>
      <c r="BN91" s="233"/>
      <c r="BO91" s="234"/>
    </row>
    <row r="92" spans="1:67">
      <c r="A92" s="219" t="s">
        <v>823</v>
      </c>
      <c r="B92" s="106" t="s">
        <v>244</v>
      </c>
      <c r="C92" s="66" t="s">
        <v>175</v>
      </c>
      <c r="D92" s="284"/>
      <c r="E92" s="77" t="s">
        <v>253</v>
      </c>
      <c r="F92" s="282"/>
      <c r="G92" s="71" t="s">
        <v>202</v>
      </c>
      <c r="H92" s="70" t="s">
        <v>261</v>
      </c>
      <c r="I92" s="70" t="s">
        <v>180</v>
      </c>
      <c r="J92" s="71" t="s">
        <v>567</v>
      </c>
      <c r="K92" s="70" t="s">
        <v>250</v>
      </c>
      <c r="L92" s="69" t="s">
        <v>257</v>
      </c>
      <c r="M92" s="180" t="s">
        <v>568</v>
      </c>
      <c r="N92" s="144">
        <v>11.73</v>
      </c>
      <c r="O92" s="144">
        <v>11.73</v>
      </c>
      <c r="P92" s="144">
        <v>11.73</v>
      </c>
      <c r="Q92" s="144">
        <v>11.73</v>
      </c>
      <c r="R92" s="144">
        <v>11.73</v>
      </c>
      <c r="S92" s="144">
        <v>11.73</v>
      </c>
      <c r="T92" s="144">
        <v>11.73</v>
      </c>
      <c r="U92" s="144">
        <v>11.73</v>
      </c>
      <c r="V92" s="144">
        <v>11.73</v>
      </c>
      <c r="W92" s="144">
        <v>11.73</v>
      </c>
      <c r="X92" s="144">
        <v>11.73</v>
      </c>
      <c r="Y92" s="259">
        <v>11.73</v>
      </c>
      <c r="Z92" s="144">
        <v>0.56000000000000005</v>
      </c>
      <c r="AA92" s="144">
        <v>0.56000000000000005</v>
      </c>
      <c r="AB92" s="144">
        <v>0.56000000000000005</v>
      </c>
      <c r="AC92" s="144">
        <v>0.56000000000000005</v>
      </c>
      <c r="AD92" s="144">
        <v>0.56000000000000005</v>
      </c>
      <c r="AE92" s="144">
        <v>0.56000000000000005</v>
      </c>
      <c r="AF92" s="144">
        <v>0.56000000000000005</v>
      </c>
      <c r="AG92" s="144">
        <v>0.56000000000000005</v>
      </c>
      <c r="AH92" s="144">
        <v>0.56000000000000005</v>
      </c>
      <c r="AI92" s="144">
        <v>0.56000000000000005</v>
      </c>
      <c r="AJ92" s="144">
        <v>0.56000000000000005</v>
      </c>
      <c r="AK92" s="259">
        <v>0.56000000000000005</v>
      </c>
      <c r="AL92" s="105">
        <v>0</v>
      </c>
      <c r="AM92" s="118">
        <f t="shared" si="14"/>
        <v>0</v>
      </c>
      <c r="AN92" s="105">
        <v>0</v>
      </c>
      <c r="AO92" s="118">
        <f t="shared" si="2"/>
        <v>0</v>
      </c>
      <c r="AP92" s="204">
        <v>0</v>
      </c>
      <c r="AQ92" s="127">
        <f t="shared" si="3"/>
        <v>0</v>
      </c>
      <c r="AR92" s="5">
        <v>0</v>
      </c>
      <c r="AS92" s="118">
        <f t="shared" si="15"/>
        <v>0</v>
      </c>
      <c r="AT92" s="105">
        <v>0</v>
      </c>
      <c r="AU92" s="118">
        <f t="shared" si="16"/>
        <v>0</v>
      </c>
      <c r="AV92" s="105">
        <v>0</v>
      </c>
      <c r="AW92" s="127">
        <f t="shared" si="17"/>
        <v>0</v>
      </c>
      <c r="AX92" s="105">
        <v>0</v>
      </c>
      <c r="AY92" s="118">
        <f t="shared" si="18"/>
        <v>0</v>
      </c>
      <c r="AZ92" s="105">
        <v>0</v>
      </c>
      <c r="BA92" s="118">
        <f t="shared" si="19"/>
        <v>0</v>
      </c>
      <c r="BB92" s="5">
        <v>0</v>
      </c>
      <c r="BC92" s="127">
        <f t="shared" si="20"/>
        <v>0</v>
      </c>
      <c r="BD92" s="105">
        <v>0</v>
      </c>
      <c r="BE92" s="118">
        <f t="shared" si="21"/>
        <v>0</v>
      </c>
      <c r="BF92" s="5">
        <v>0</v>
      </c>
      <c r="BG92" s="118">
        <f t="shared" si="22"/>
        <v>0</v>
      </c>
      <c r="BH92" s="5">
        <v>0</v>
      </c>
      <c r="BI92" s="127">
        <f t="shared" si="23"/>
        <v>0</v>
      </c>
      <c r="BJ92" s="220" t="s">
        <v>569</v>
      </c>
      <c r="BL92" s="1" t="s">
        <v>575</v>
      </c>
      <c r="BM92" s="233" t="s">
        <v>827</v>
      </c>
      <c r="BN92" s="233"/>
      <c r="BO92" s="234"/>
    </row>
    <row r="93" spans="1:67">
      <c r="A93" s="219" t="s">
        <v>823</v>
      </c>
      <c r="B93" s="106" t="s">
        <v>244</v>
      </c>
      <c r="C93" s="66" t="s">
        <v>175</v>
      </c>
      <c r="D93" s="284"/>
      <c r="E93" s="77" t="s">
        <v>253</v>
      </c>
      <c r="F93" s="282"/>
      <c r="G93" s="71" t="s">
        <v>202</v>
      </c>
      <c r="H93" s="70" t="s">
        <v>261</v>
      </c>
      <c r="I93" s="70" t="s">
        <v>180</v>
      </c>
      <c r="J93" s="71" t="s">
        <v>567</v>
      </c>
      <c r="K93" s="70" t="s">
        <v>250</v>
      </c>
      <c r="L93" s="69" t="s">
        <v>257</v>
      </c>
      <c r="M93" s="180" t="s">
        <v>577</v>
      </c>
      <c r="N93" s="144">
        <v>11.73</v>
      </c>
      <c r="O93" s="144">
        <v>11.73</v>
      </c>
      <c r="P93" s="144">
        <v>11.73</v>
      </c>
      <c r="Q93" s="144">
        <v>11.73</v>
      </c>
      <c r="R93" s="144">
        <v>11.73</v>
      </c>
      <c r="S93" s="144">
        <v>11.73</v>
      </c>
      <c r="T93" s="144">
        <v>11.73</v>
      </c>
      <c r="U93" s="144">
        <v>11.73</v>
      </c>
      <c r="V93" s="144">
        <v>11.73</v>
      </c>
      <c r="W93" s="144">
        <v>11.73</v>
      </c>
      <c r="X93" s="144">
        <v>11.73</v>
      </c>
      <c r="Y93" s="259">
        <v>11.73</v>
      </c>
      <c r="Z93" s="144">
        <v>0.56000000000000005</v>
      </c>
      <c r="AA93" s="144">
        <v>0.56000000000000005</v>
      </c>
      <c r="AB93" s="144">
        <v>0.56000000000000005</v>
      </c>
      <c r="AC93" s="144">
        <v>0.56000000000000005</v>
      </c>
      <c r="AD93" s="144">
        <v>0.56000000000000005</v>
      </c>
      <c r="AE93" s="144">
        <v>0.56000000000000005</v>
      </c>
      <c r="AF93" s="144">
        <v>0.56000000000000005</v>
      </c>
      <c r="AG93" s="144">
        <v>0.56000000000000005</v>
      </c>
      <c r="AH93" s="144">
        <v>0.56000000000000005</v>
      </c>
      <c r="AI93" s="144">
        <v>0.56000000000000005</v>
      </c>
      <c r="AJ93" s="144">
        <v>0.56000000000000005</v>
      </c>
      <c r="AK93" s="259">
        <v>0.56000000000000005</v>
      </c>
      <c r="AL93" s="105">
        <v>0</v>
      </c>
      <c r="AM93" s="118">
        <f t="shared" si="14"/>
        <v>0</v>
      </c>
      <c r="AN93" s="105">
        <v>1000</v>
      </c>
      <c r="AO93" s="118">
        <f t="shared" si="2"/>
        <v>560</v>
      </c>
      <c r="AP93" s="204">
        <v>1000</v>
      </c>
      <c r="AQ93" s="127">
        <f t="shared" si="3"/>
        <v>560</v>
      </c>
      <c r="AR93" s="5">
        <v>0</v>
      </c>
      <c r="AS93" s="118">
        <f t="shared" si="15"/>
        <v>0</v>
      </c>
      <c r="AT93" s="105">
        <v>1000</v>
      </c>
      <c r="AU93" s="118">
        <f t="shared" si="16"/>
        <v>560</v>
      </c>
      <c r="AV93" s="105">
        <v>1500</v>
      </c>
      <c r="AW93" s="127">
        <f t="shared" si="17"/>
        <v>840.00000000000011</v>
      </c>
      <c r="AX93" s="105">
        <v>1500</v>
      </c>
      <c r="AY93" s="118">
        <f t="shared" si="18"/>
        <v>840.00000000000011</v>
      </c>
      <c r="AZ93" s="105">
        <v>1500</v>
      </c>
      <c r="BA93" s="118">
        <f t="shared" si="19"/>
        <v>840.00000000000011</v>
      </c>
      <c r="BB93" s="5">
        <v>1500</v>
      </c>
      <c r="BC93" s="127">
        <f t="shared" si="20"/>
        <v>840.00000000000011</v>
      </c>
      <c r="BD93" s="105">
        <v>1500</v>
      </c>
      <c r="BE93" s="118">
        <f t="shared" si="21"/>
        <v>840.00000000000011</v>
      </c>
      <c r="BF93" s="5">
        <v>1000</v>
      </c>
      <c r="BG93" s="118">
        <f t="shared" si="22"/>
        <v>560</v>
      </c>
      <c r="BH93" s="5">
        <v>1000</v>
      </c>
      <c r="BI93" s="127">
        <f t="shared" si="23"/>
        <v>560</v>
      </c>
      <c r="BJ93" s="220" t="s">
        <v>569</v>
      </c>
      <c r="BL93" s="1" t="s">
        <v>578</v>
      </c>
      <c r="BM93" s="233" t="s">
        <v>828</v>
      </c>
      <c r="BN93" s="233"/>
      <c r="BO93" s="234"/>
    </row>
    <row r="94" spans="1:67">
      <c r="A94" s="219" t="s">
        <v>823</v>
      </c>
      <c r="B94" s="106" t="s">
        <v>244</v>
      </c>
      <c r="C94" s="66" t="s">
        <v>175</v>
      </c>
      <c r="D94" s="284"/>
      <c r="E94" s="77" t="s">
        <v>253</v>
      </c>
      <c r="F94" s="282"/>
      <c r="G94" s="71" t="s">
        <v>202</v>
      </c>
      <c r="H94" s="70" t="s">
        <v>580</v>
      </c>
      <c r="I94" s="70" t="s">
        <v>180</v>
      </c>
      <c r="J94" s="71" t="s">
        <v>567</v>
      </c>
      <c r="K94" s="70" t="s">
        <v>250</v>
      </c>
      <c r="L94" s="69" t="s">
        <v>257</v>
      </c>
      <c r="M94" s="180" t="s">
        <v>568</v>
      </c>
      <c r="N94" s="144">
        <v>13.63</v>
      </c>
      <c r="O94" s="144">
        <v>13.63</v>
      </c>
      <c r="P94" s="144">
        <v>13.63</v>
      </c>
      <c r="Q94" s="144">
        <v>13.63</v>
      </c>
      <c r="R94" s="144">
        <v>13.63</v>
      </c>
      <c r="S94" s="144">
        <v>13.63</v>
      </c>
      <c r="T94" s="144">
        <v>13.63</v>
      </c>
      <c r="U94" s="144">
        <v>13.63</v>
      </c>
      <c r="V94" s="144">
        <v>13.63</v>
      </c>
      <c r="W94" s="144">
        <v>13.63</v>
      </c>
      <c r="X94" s="144">
        <v>13.63</v>
      </c>
      <c r="Y94" s="259">
        <v>13.63</v>
      </c>
      <c r="Z94" s="144">
        <v>0.56000000000000005</v>
      </c>
      <c r="AA94" s="144">
        <v>0.56000000000000005</v>
      </c>
      <c r="AB94" s="144">
        <v>0.56000000000000005</v>
      </c>
      <c r="AC94" s="144">
        <v>0.56000000000000005</v>
      </c>
      <c r="AD94" s="144">
        <v>0.56000000000000005</v>
      </c>
      <c r="AE94" s="144">
        <v>0.56000000000000005</v>
      </c>
      <c r="AF94" s="144">
        <v>0.56000000000000005</v>
      </c>
      <c r="AG94" s="144">
        <v>0.56000000000000005</v>
      </c>
      <c r="AH94" s="144">
        <v>0.56000000000000005</v>
      </c>
      <c r="AI94" s="144">
        <v>0.56000000000000005</v>
      </c>
      <c r="AJ94" s="144">
        <v>0.56000000000000005</v>
      </c>
      <c r="AK94" s="259">
        <v>0.56000000000000005</v>
      </c>
      <c r="AL94" s="105">
        <v>0</v>
      </c>
      <c r="AM94" s="118">
        <f t="shared" si="14"/>
        <v>0</v>
      </c>
      <c r="AN94" s="105">
        <v>0</v>
      </c>
      <c r="AO94" s="118">
        <f t="shared" si="2"/>
        <v>0</v>
      </c>
      <c r="AP94" s="105">
        <v>0</v>
      </c>
      <c r="AQ94" s="127">
        <f t="shared" si="3"/>
        <v>0</v>
      </c>
      <c r="AR94" s="5">
        <v>0</v>
      </c>
      <c r="AS94" s="118">
        <f t="shared" si="15"/>
        <v>0</v>
      </c>
      <c r="AT94" s="105">
        <v>1420</v>
      </c>
      <c r="AU94" s="118">
        <f t="shared" si="16"/>
        <v>795.2</v>
      </c>
      <c r="AV94" s="105">
        <v>0</v>
      </c>
      <c r="AW94" s="127">
        <f t="shared" si="17"/>
        <v>0</v>
      </c>
      <c r="AX94" s="105">
        <v>0</v>
      </c>
      <c r="AY94" s="118">
        <f t="shared" si="18"/>
        <v>0</v>
      </c>
      <c r="AZ94" s="105">
        <v>0</v>
      </c>
      <c r="BA94" s="118">
        <f t="shared" si="19"/>
        <v>0</v>
      </c>
      <c r="BB94" s="5">
        <v>0</v>
      </c>
      <c r="BC94" s="127">
        <f t="shared" si="20"/>
        <v>0</v>
      </c>
      <c r="BD94" s="105">
        <v>0</v>
      </c>
      <c r="BE94" s="118">
        <f t="shared" si="21"/>
        <v>0</v>
      </c>
      <c r="BF94" s="5">
        <v>0</v>
      </c>
      <c r="BG94" s="118">
        <f t="shared" si="22"/>
        <v>0</v>
      </c>
      <c r="BH94" s="5">
        <v>0</v>
      </c>
      <c r="BI94" s="127">
        <f t="shared" si="23"/>
        <v>0</v>
      </c>
      <c r="BJ94" s="220" t="s">
        <v>581</v>
      </c>
      <c r="BL94" s="1" t="s">
        <v>573</v>
      </c>
      <c r="BM94" s="233" t="s">
        <v>829</v>
      </c>
      <c r="BN94" s="233"/>
      <c r="BO94" s="234"/>
    </row>
    <row r="95" spans="1:67">
      <c r="A95" s="219" t="s">
        <v>823</v>
      </c>
      <c r="B95" s="106" t="s">
        <v>244</v>
      </c>
      <c r="C95" s="66" t="s">
        <v>175</v>
      </c>
      <c r="D95" s="284"/>
      <c r="E95" s="77" t="s">
        <v>253</v>
      </c>
      <c r="F95" s="282"/>
      <c r="G95" s="71" t="s">
        <v>202</v>
      </c>
      <c r="H95" s="70" t="s">
        <v>580</v>
      </c>
      <c r="I95" s="70" t="s">
        <v>180</v>
      </c>
      <c r="J95" s="71" t="s">
        <v>567</v>
      </c>
      <c r="K95" s="70" t="s">
        <v>250</v>
      </c>
      <c r="L95" s="69" t="s">
        <v>257</v>
      </c>
      <c r="M95" s="180" t="s">
        <v>568</v>
      </c>
      <c r="N95" s="144">
        <v>13.63</v>
      </c>
      <c r="O95" s="144">
        <v>13.63</v>
      </c>
      <c r="P95" s="144">
        <v>13.63</v>
      </c>
      <c r="Q95" s="144">
        <v>13.63</v>
      </c>
      <c r="R95" s="144">
        <v>13.63</v>
      </c>
      <c r="S95" s="144">
        <v>13.63</v>
      </c>
      <c r="T95" s="144">
        <v>13.63</v>
      </c>
      <c r="U95" s="144">
        <v>13.63</v>
      </c>
      <c r="V95" s="144">
        <v>13.63</v>
      </c>
      <c r="W95" s="144">
        <v>13.63</v>
      </c>
      <c r="X95" s="144">
        <v>13.63</v>
      </c>
      <c r="Y95" s="259">
        <v>13.63</v>
      </c>
      <c r="Z95" s="144">
        <v>0.56000000000000005</v>
      </c>
      <c r="AA95" s="144">
        <v>0.56000000000000005</v>
      </c>
      <c r="AB95" s="144">
        <v>0.56000000000000005</v>
      </c>
      <c r="AC95" s="144">
        <v>0.56000000000000005</v>
      </c>
      <c r="AD95" s="144">
        <v>0.56000000000000005</v>
      </c>
      <c r="AE95" s="144">
        <v>0.56000000000000005</v>
      </c>
      <c r="AF95" s="144">
        <v>0.56000000000000005</v>
      </c>
      <c r="AG95" s="144">
        <v>0.56000000000000005</v>
      </c>
      <c r="AH95" s="144">
        <v>0.56000000000000005</v>
      </c>
      <c r="AI95" s="144">
        <v>0.56000000000000005</v>
      </c>
      <c r="AJ95" s="144">
        <v>0.56000000000000005</v>
      </c>
      <c r="AK95" s="259">
        <v>0.56000000000000005</v>
      </c>
      <c r="AL95" s="105">
        <v>0</v>
      </c>
      <c r="AM95" s="118">
        <f t="shared" si="14"/>
        <v>0</v>
      </c>
      <c r="AN95" s="105">
        <v>0</v>
      </c>
      <c r="AO95" s="118">
        <f t="shared" si="2"/>
        <v>0</v>
      </c>
      <c r="AP95" s="105">
        <v>0</v>
      </c>
      <c r="AQ95" s="127">
        <f t="shared" si="3"/>
        <v>0</v>
      </c>
      <c r="AR95" s="5">
        <v>0</v>
      </c>
      <c r="AS95" s="118">
        <f t="shared" si="15"/>
        <v>0</v>
      </c>
      <c r="AT95" s="105">
        <v>0</v>
      </c>
      <c r="AU95" s="118">
        <f t="shared" si="16"/>
        <v>0</v>
      </c>
      <c r="AV95" s="105">
        <v>0</v>
      </c>
      <c r="AW95" s="127">
        <f t="shared" si="17"/>
        <v>0</v>
      </c>
      <c r="AX95" s="105">
        <v>0</v>
      </c>
      <c r="AY95" s="118">
        <f t="shared" si="18"/>
        <v>0</v>
      </c>
      <c r="AZ95" s="105">
        <v>0</v>
      </c>
      <c r="BA95" s="118">
        <f t="shared" si="19"/>
        <v>0</v>
      </c>
      <c r="BB95" s="5">
        <v>0</v>
      </c>
      <c r="BC95" s="127">
        <f t="shared" si="20"/>
        <v>0</v>
      </c>
      <c r="BD95" s="105">
        <v>0</v>
      </c>
      <c r="BE95" s="118">
        <f t="shared" si="21"/>
        <v>0</v>
      </c>
      <c r="BF95" s="5">
        <v>0</v>
      </c>
      <c r="BG95" s="118">
        <f t="shared" si="22"/>
        <v>0</v>
      </c>
      <c r="BH95" s="5">
        <v>0</v>
      </c>
      <c r="BI95" s="127">
        <f t="shared" si="23"/>
        <v>0</v>
      </c>
      <c r="BJ95" s="220" t="s">
        <v>581</v>
      </c>
      <c r="BL95" s="1" t="s">
        <v>575</v>
      </c>
      <c r="BM95" s="233" t="s">
        <v>830</v>
      </c>
      <c r="BN95" s="233"/>
      <c r="BO95" s="234"/>
    </row>
    <row r="96" spans="1:67">
      <c r="A96" s="219" t="s">
        <v>823</v>
      </c>
      <c r="B96" s="106" t="s">
        <v>244</v>
      </c>
      <c r="C96" s="66" t="s">
        <v>175</v>
      </c>
      <c r="D96" s="284"/>
      <c r="E96" s="77" t="s">
        <v>253</v>
      </c>
      <c r="F96" s="282"/>
      <c r="G96" s="71" t="s">
        <v>202</v>
      </c>
      <c r="H96" s="70" t="s">
        <v>580</v>
      </c>
      <c r="I96" s="70" t="s">
        <v>180</v>
      </c>
      <c r="J96" s="71" t="s">
        <v>567</v>
      </c>
      <c r="K96" s="70" t="s">
        <v>250</v>
      </c>
      <c r="L96" s="69" t="s">
        <v>257</v>
      </c>
      <c r="M96" s="180" t="s">
        <v>568</v>
      </c>
      <c r="N96" s="144">
        <v>13.63</v>
      </c>
      <c r="O96" s="144">
        <v>13.63</v>
      </c>
      <c r="P96" s="144">
        <v>13.63</v>
      </c>
      <c r="Q96" s="144">
        <v>13.63</v>
      </c>
      <c r="R96" s="144">
        <v>13.63</v>
      </c>
      <c r="S96" s="144">
        <v>13.63</v>
      </c>
      <c r="T96" s="144">
        <v>13.63</v>
      </c>
      <c r="U96" s="144">
        <v>13.63</v>
      </c>
      <c r="V96" s="144">
        <v>13.63</v>
      </c>
      <c r="W96" s="144">
        <v>13.63</v>
      </c>
      <c r="X96" s="144">
        <v>13.63</v>
      </c>
      <c r="Y96" s="259">
        <v>13.63</v>
      </c>
      <c r="Z96" s="144">
        <v>0.56000000000000005</v>
      </c>
      <c r="AA96" s="144">
        <v>0.56000000000000005</v>
      </c>
      <c r="AB96" s="144">
        <v>0.56000000000000005</v>
      </c>
      <c r="AC96" s="144">
        <v>0.56000000000000005</v>
      </c>
      <c r="AD96" s="144">
        <v>0.56000000000000005</v>
      </c>
      <c r="AE96" s="144">
        <v>0.56000000000000005</v>
      </c>
      <c r="AF96" s="144">
        <v>0.56000000000000005</v>
      </c>
      <c r="AG96" s="144">
        <v>0.56000000000000005</v>
      </c>
      <c r="AH96" s="144">
        <v>0.56000000000000005</v>
      </c>
      <c r="AI96" s="144">
        <v>0.56000000000000005</v>
      </c>
      <c r="AJ96" s="144">
        <v>0.56000000000000005</v>
      </c>
      <c r="AK96" s="259">
        <v>0.56000000000000005</v>
      </c>
      <c r="AL96" s="105">
        <v>0</v>
      </c>
      <c r="AM96" s="118">
        <f t="shared" si="14"/>
        <v>0</v>
      </c>
      <c r="AN96" s="105">
        <v>0</v>
      </c>
      <c r="AO96" s="118">
        <f t="shared" si="2"/>
        <v>0</v>
      </c>
      <c r="AP96" s="105">
        <v>0</v>
      </c>
      <c r="AQ96" s="127">
        <f t="shared" si="3"/>
        <v>0</v>
      </c>
      <c r="AR96" s="5">
        <v>0</v>
      </c>
      <c r="AS96" s="118">
        <f t="shared" si="15"/>
        <v>0</v>
      </c>
      <c r="AT96" s="105">
        <v>0</v>
      </c>
      <c r="AU96" s="118">
        <f t="shared" si="16"/>
        <v>0</v>
      </c>
      <c r="AV96" s="105">
        <v>0</v>
      </c>
      <c r="AW96" s="127">
        <f t="shared" si="17"/>
        <v>0</v>
      </c>
      <c r="AX96" s="105">
        <v>0</v>
      </c>
      <c r="AY96" s="118">
        <f t="shared" si="18"/>
        <v>0</v>
      </c>
      <c r="AZ96" s="105">
        <v>0</v>
      </c>
      <c r="BA96" s="118">
        <f t="shared" si="19"/>
        <v>0</v>
      </c>
      <c r="BB96" s="5">
        <v>0</v>
      </c>
      <c r="BC96" s="127">
        <f t="shared" si="20"/>
        <v>0</v>
      </c>
      <c r="BD96" s="105">
        <v>0</v>
      </c>
      <c r="BE96" s="118">
        <f t="shared" si="21"/>
        <v>0</v>
      </c>
      <c r="BF96" s="5">
        <v>0</v>
      </c>
      <c r="BG96" s="118">
        <f t="shared" si="22"/>
        <v>0</v>
      </c>
      <c r="BH96" s="5">
        <v>0</v>
      </c>
      <c r="BI96" s="127">
        <f t="shared" si="23"/>
        <v>0</v>
      </c>
      <c r="BJ96" s="220" t="s">
        <v>581</v>
      </c>
      <c r="BL96" s="1" t="s">
        <v>570</v>
      </c>
      <c r="BM96" s="233" t="s">
        <v>831</v>
      </c>
      <c r="BN96" s="233"/>
      <c r="BO96" s="234"/>
    </row>
    <row r="97" spans="1:67">
      <c r="A97" s="219" t="s">
        <v>823</v>
      </c>
      <c r="B97" s="106" t="s">
        <v>244</v>
      </c>
      <c r="C97" s="66" t="s">
        <v>175</v>
      </c>
      <c r="D97" s="284"/>
      <c r="E97" s="77" t="s">
        <v>253</v>
      </c>
      <c r="F97" s="282"/>
      <c r="G97" s="71" t="s">
        <v>202</v>
      </c>
      <c r="H97" s="70" t="s">
        <v>580</v>
      </c>
      <c r="I97" s="70" t="s">
        <v>180</v>
      </c>
      <c r="J97" s="71" t="s">
        <v>567</v>
      </c>
      <c r="K97" s="70" t="s">
        <v>250</v>
      </c>
      <c r="L97" s="69" t="s">
        <v>257</v>
      </c>
      <c r="M97" s="180" t="s">
        <v>568</v>
      </c>
      <c r="N97" s="144">
        <v>13.63</v>
      </c>
      <c r="O97" s="144">
        <v>13.63</v>
      </c>
      <c r="P97" s="144">
        <v>13.63</v>
      </c>
      <c r="Q97" s="144">
        <v>13.63</v>
      </c>
      <c r="R97" s="144">
        <v>13.63</v>
      </c>
      <c r="S97" s="144">
        <v>13.63</v>
      </c>
      <c r="T97" s="144">
        <v>13.63</v>
      </c>
      <c r="U97" s="144">
        <v>13.63</v>
      </c>
      <c r="V97" s="144">
        <v>13.63</v>
      </c>
      <c r="W97" s="144">
        <v>13.63</v>
      </c>
      <c r="X97" s="144">
        <v>13.63</v>
      </c>
      <c r="Y97" s="259">
        <v>13.63</v>
      </c>
      <c r="Z97" s="144">
        <v>0.56000000000000005</v>
      </c>
      <c r="AA97" s="144">
        <v>0.56000000000000005</v>
      </c>
      <c r="AB97" s="144">
        <v>0.56000000000000005</v>
      </c>
      <c r="AC97" s="144">
        <v>0.56000000000000005</v>
      </c>
      <c r="AD97" s="144">
        <v>0.56000000000000005</v>
      </c>
      <c r="AE97" s="144">
        <v>0.56000000000000005</v>
      </c>
      <c r="AF97" s="144">
        <v>0.56000000000000005</v>
      </c>
      <c r="AG97" s="144">
        <v>0.56000000000000005</v>
      </c>
      <c r="AH97" s="144">
        <v>0.56000000000000005</v>
      </c>
      <c r="AI97" s="144">
        <v>0.56000000000000005</v>
      </c>
      <c r="AJ97" s="144">
        <v>0.56000000000000005</v>
      </c>
      <c r="AK97" s="259">
        <v>0.56000000000000005</v>
      </c>
      <c r="AL97" s="105">
        <v>0</v>
      </c>
      <c r="AM97" s="118">
        <f t="shared" si="14"/>
        <v>0</v>
      </c>
      <c r="AN97" s="105">
        <v>0</v>
      </c>
      <c r="AO97" s="118">
        <f t="shared" si="2"/>
        <v>0</v>
      </c>
      <c r="AP97" s="105">
        <v>0</v>
      </c>
      <c r="AQ97" s="127">
        <f t="shared" si="3"/>
        <v>0</v>
      </c>
      <c r="AR97" s="5">
        <v>0</v>
      </c>
      <c r="AS97" s="118">
        <f t="shared" si="15"/>
        <v>0</v>
      </c>
      <c r="AT97" s="105">
        <v>0</v>
      </c>
      <c r="AU97" s="118">
        <f t="shared" si="16"/>
        <v>0</v>
      </c>
      <c r="AV97" s="105">
        <v>0</v>
      </c>
      <c r="AW97" s="127">
        <f t="shared" si="17"/>
        <v>0</v>
      </c>
      <c r="AX97" s="105">
        <v>0</v>
      </c>
      <c r="AY97" s="118">
        <f t="shared" si="18"/>
        <v>0</v>
      </c>
      <c r="AZ97" s="105">
        <v>0</v>
      </c>
      <c r="BA97" s="118">
        <f t="shared" si="19"/>
        <v>0</v>
      </c>
      <c r="BB97" s="5">
        <v>0</v>
      </c>
      <c r="BC97" s="127">
        <f t="shared" si="20"/>
        <v>0</v>
      </c>
      <c r="BD97" s="105">
        <v>0</v>
      </c>
      <c r="BE97" s="118">
        <f t="shared" si="21"/>
        <v>0</v>
      </c>
      <c r="BF97" s="5">
        <v>0</v>
      </c>
      <c r="BG97" s="118">
        <f t="shared" si="22"/>
        <v>0</v>
      </c>
      <c r="BH97" s="5">
        <v>0</v>
      </c>
      <c r="BI97" s="127">
        <f t="shared" si="23"/>
        <v>0</v>
      </c>
      <c r="BJ97" s="220" t="s">
        <v>581</v>
      </c>
      <c r="BL97" s="1" t="s">
        <v>570</v>
      </c>
      <c r="BM97" s="233" t="s">
        <v>832</v>
      </c>
      <c r="BN97" s="233"/>
      <c r="BO97" s="234"/>
    </row>
    <row r="98" spans="1:67">
      <c r="A98" s="219" t="s">
        <v>823</v>
      </c>
      <c r="B98" s="106" t="s">
        <v>244</v>
      </c>
      <c r="C98" s="66" t="s">
        <v>175</v>
      </c>
      <c r="D98" s="284"/>
      <c r="E98" s="77" t="s">
        <v>253</v>
      </c>
      <c r="F98" s="282"/>
      <c r="G98" s="71" t="s">
        <v>202</v>
      </c>
      <c r="H98" s="70" t="s">
        <v>580</v>
      </c>
      <c r="I98" s="70" t="s">
        <v>180</v>
      </c>
      <c r="J98" s="71" t="s">
        <v>567</v>
      </c>
      <c r="K98" s="70" t="s">
        <v>250</v>
      </c>
      <c r="L98" s="69" t="s">
        <v>257</v>
      </c>
      <c r="M98" s="180" t="s">
        <v>568</v>
      </c>
      <c r="N98" s="144">
        <v>13.63</v>
      </c>
      <c r="O98" s="144">
        <v>13.63</v>
      </c>
      <c r="P98" s="144">
        <v>13.63</v>
      </c>
      <c r="Q98" s="144">
        <v>13.63</v>
      </c>
      <c r="R98" s="144">
        <v>13.63</v>
      </c>
      <c r="S98" s="144">
        <v>13.63</v>
      </c>
      <c r="T98" s="144">
        <v>13.63</v>
      </c>
      <c r="U98" s="144">
        <v>13.63</v>
      </c>
      <c r="V98" s="144">
        <v>13.63</v>
      </c>
      <c r="W98" s="144">
        <v>13.63</v>
      </c>
      <c r="X98" s="144">
        <v>13.63</v>
      </c>
      <c r="Y98" s="259">
        <v>13.63</v>
      </c>
      <c r="Z98" s="144">
        <v>0.56000000000000005</v>
      </c>
      <c r="AA98" s="144">
        <v>0.56000000000000005</v>
      </c>
      <c r="AB98" s="144">
        <v>0.56000000000000005</v>
      </c>
      <c r="AC98" s="144">
        <v>0.56000000000000005</v>
      </c>
      <c r="AD98" s="144">
        <v>0.56000000000000005</v>
      </c>
      <c r="AE98" s="144">
        <v>0.56000000000000005</v>
      </c>
      <c r="AF98" s="144">
        <v>0.56000000000000005</v>
      </c>
      <c r="AG98" s="144">
        <v>0.56000000000000005</v>
      </c>
      <c r="AH98" s="144">
        <v>0.56000000000000005</v>
      </c>
      <c r="AI98" s="144">
        <v>0.56000000000000005</v>
      </c>
      <c r="AJ98" s="144">
        <v>0.56000000000000005</v>
      </c>
      <c r="AK98" s="259">
        <v>0.56000000000000005</v>
      </c>
      <c r="AL98" s="105">
        <v>0</v>
      </c>
      <c r="AM98" s="118">
        <f t="shared" si="14"/>
        <v>0</v>
      </c>
      <c r="AN98" s="105">
        <v>0</v>
      </c>
      <c r="AO98" s="118">
        <f t="shared" si="2"/>
        <v>0</v>
      </c>
      <c r="AP98" s="105">
        <v>0</v>
      </c>
      <c r="AQ98" s="127">
        <f t="shared" si="3"/>
        <v>0</v>
      </c>
      <c r="AR98" s="5">
        <v>0</v>
      </c>
      <c r="AS98" s="118">
        <f t="shared" si="15"/>
        <v>0</v>
      </c>
      <c r="AT98" s="105">
        <v>0</v>
      </c>
      <c r="AU98" s="118">
        <f t="shared" si="16"/>
        <v>0</v>
      </c>
      <c r="AV98" s="105">
        <v>0</v>
      </c>
      <c r="AW98" s="127">
        <f t="shared" si="17"/>
        <v>0</v>
      </c>
      <c r="AX98" s="105">
        <v>0</v>
      </c>
      <c r="AY98" s="118">
        <f t="shared" si="18"/>
        <v>0</v>
      </c>
      <c r="AZ98" s="105">
        <v>0</v>
      </c>
      <c r="BA98" s="118">
        <f t="shared" si="19"/>
        <v>0</v>
      </c>
      <c r="BB98" s="5">
        <v>0</v>
      </c>
      <c r="BC98" s="127">
        <f t="shared" si="20"/>
        <v>0</v>
      </c>
      <c r="BD98" s="105">
        <v>0</v>
      </c>
      <c r="BE98" s="118">
        <f t="shared" si="21"/>
        <v>0</v>
      </c>
      <c r="BF98" s="5">
        <v>0</v>
      </c>
      <c r="BG98" s="118">
        <f t="shared" si="22"/>
        <v>0</v>
      </c>
      <c r="BH98" s="5">
        <v>0</v>
      </c>
      <c r="BI98" s="127">
        <f t="shared" si="23"/>
        <v>0</v>
      </c>
      <c r="BJ98" s="220" t="s">
        <v>581</v>
      </c>
      <c r="BL98" s="1" t="s">
        <v>570</v>
      </c>
      <c r="BM98" s="233" t="s">
        <v>833</v>
      </c>
      <c r="BN98" s="233"/>
      <c r="BO98" s="234"/>
    </row>
    <row r="99" spans="1:67">
      <c r="A99" s="219" t="s">
        <v>823</v>
      </c>
      <c r="B99" s="106" t="s">
        <v>244</v>
      </c>
      <c r="C99" s="66" t="s">
        <v>175</v>
      </c>
      <c r="D99" s="284"/>
      <c r="E99" s="77" t="s">
        <v>253</v>
      </c>
      <c r="F99" s="282"/>
      <c r="G99" s="71" t="s">
        <v>202</v>
      </c>
      <c r="H99" s="70" t="s">
        <v>580</v>
      </c>
      <c r="I99" s="70" t="s">
        <v>180</v>
      </c>
      <c r="J99" s="71" t="s">
        <v>567</v>
      </c>
      <c r="K99" s="70" t="s">
        <v>250</v>
      </c>
      <c r="L99" s="69" t="s">
        <v>257</v>
      </c>
      <c r="M99" s="180" t="s">
        <v>568</v>
      </c>
      <c r="N99" s="144">
        <v>13.63</v>
      </c>
      <c r="O99" s="144">
        <v>13.63</v>
      </c>
      <c r="P99" s="144">
        <v>13.63</v>
      </c>
      <c r="Q99" s="144">
        <v>13.63</v>
      </c>
      <c r="R99" s="144">
        <v>13.63</v>
      </c>
      <c r="S99" s="144">
        <v>13.63</v>
      </c>
      <c r="T99" s="144">
        <v>13.63</v>
      </c>
      <c r="U99" s="144">
        <v>13.63</v>
      </c>
      <c r="V99" s="144">
        <v>13.63</v>
      </c>
      <c r="W99" s="144">
        <v>13.63</v>
      </c>
      <c r="X99" s="144">
        <v>13.63</v>
      </c>
      <c r="Y99" s="259">
        <v>13.63</v>
      </c>
      <c r="Z99" s="144">
        <v>0.56000000000000005</v>
      </c>
      <c r="AA99" s="144">
        <v>0.56000000000000005</v>
      </c>
      <c r="AB99" s="144">
        <v>0.56000000000000005</v>
      </c>
      <c r="AC99" s="144">
        <v>0.56000000000000005</v>
      </c>
      <c r="AD99" s="144">
        <v>0.56000000000000005</v>
      </c>
      <c r="AE99" s="144">
        <v>0.56000000000000005</v>
      </c>
      <c r="AF99" s="144">
        <v>0.56000000000000005</v>
      </c>
      <c r="AG99" s="144">
        <v>0.56000000000000005</v>
      </c>
      <c r="AH99" s="144">
        <v>0.56000000000000005</v>
      </c>
      <c r="AI99" s="144">
        <v>0.56000000000000005</v>
      </c>
      <c r="AJ99" s="144">
        <v>0.56000000000000005</v>
      </c>
      <c r="AK99" s="259">
        <v>0.56000000000000005</v>
      </c>
      <c r="AL99" s="105">
        <v>0</v>
      </c>
      <c r="AM99" s="118">
        <f t="shared" si="14"/>
        <v>0</v>
      </c>
      <c r="AN99" s="105">
        <v>0</v>
      </c>
      <c r="AO99" s="118">
        <f t="shared" si="2"/>
        <v>0</v>
      </c>
      <c r="AP99" s="105">
        <v>0</v>
      </c>
      <c r="AQ99" s="127">
        <f t="shared" si="3"/>
        <v>0</v>
      </c>
      <c r="AR99" s="5">
        <v>0</v>
      </c>
      <c r="AS99" s="118">
        <f t="shared" si="15"/>
        <v>0</v>
      </c>
      <c r="AT99" s="105">
        <v>0</v>
      </c>
      <c r="AU99" s="118">
        <f t="shared" si="16"/>
        <v>0</v>
      </c>
      <c r="AV99" s="105">
        <v>0</v>
      </c>
      <c r="AW99" s="127">
        <f t="shared" si="17"/>
        <v>0</v>
      </c>
      <c r="AX99" s="105">
        <v>0</v>
      </c>
      <c r="AY99" s="118">
        <f t="shared" si="18"/>
        <v>0</v>
      </c>
      <c r="AZ99" s="105">
        <v>0</v>
      </c>
      <c r="BA99" s="118">
        <f t="shared" si="19"/>
        <v>0</v>
      </c>
      <c r="BB99" s="5">
        <v>0</v>
      </c>
      <c r="BC99" s="127">
        <f t="shared" si="20"/>
        <v>0</v>
      </c>
      <c r="BD99" s="105">
        <v>0</v>
      </c>
      <c r="BE99" s="118">
        <f t="shared" si="21"/>
        <v>0</v>
      </c>
      <c r="BF99" s="5">
        <v>0</v>
      </c>
      <c r="BG99" s="118">
        <f t="shared" si="22"/>
        <v>0</v>
      </c>
      <c r="BH99" s="5">
        <v>0</v>
      </c>
      <c r="BI99" s="127">
        <f t="shared" si="23"/>
        <v>0</v>
      </c>
      <c r="BJ99" s="220" t="s">
        <v>581</v>
      </c>
      <c r="BL99" s="1" t="s">
        <v>570</v>
      </c>
      <c r="BM99" s="233" t="s">
        <v>834</v>
      </c>
      <c r="BN99" s="233"/>
      <c r="BO99" s="234"/>
    </row>
    <row r="100" spans="1:67">
      <c r="A100" s="219" t="s">
        <v>823</v>
      </c>
      <c r="B100" s="106" t="s">
        <v>244</v>
      </c>
      <c r="C100" s="66" t="s">
        <v>175</v>
      </c>
      <c r="D100" s="284"/>
      <c r="E100" s="77" t="s">
        <v>253</v>
      </c>
      <c r="F100" s="282"/>
      <c r="G100" s="71" t="s">
        <v>202</v>
      </c>
      <c r="H100" s="70" t="s">
        <v>580</v>
      </c>
      <c r="I100" s="70" t="s">
        <v>180</v>
      </c>
      <c r="J100" s="71" t="s">
        <v>567</v>
      </c>
      <c r="K100" s="70" t="s">
        <v>250</v>
      </c>
      <c r="L100" s="69" t="s">
        <v>257</v>
      </c>
      <c r="M100" s="180" t="s">
        <v>568</v>
      </c>
      <c r="N100" s="144">
        <v>13.63</v>
      </c>
      <c r="O100" s="144">
        <v>13.63</v>
      </c>
      <c r="P100" s="144">
        <v>13.63</v>
      </c>
      <c r="Q100" s="144">
        <v>13.63</v>
      </c>
      <c r="R100" s="144">
        <v>13.63</v>
      </c>
      <c r="S100" s="144">
        <v>13.63</v>
      </c>
      <c r="T100" s="144">
        <v>13.63</v>
      </c>
      <c r="U100" s="144">
        <v>13.63</v>
      </c>
      <c r="V100" s="144">
        <v>13.63</v>
      </c>
      <c r="W100" s="144">
        <v>13.63</v>
      </c>
      <c r="X100" s="144">
        <v>13.63</v>
      </c>
      <c r="Y100" s="259">
        <v>13.63</v>
      </c>
      <c r="Z100" s="144">
        <v>0.56000000000000005</v>
      </c>
      <c r="AA100" s="144">
        <v>0.56000000000000005</v>
      </c>
      <c r="AB100" s="144">
        <v>0.56000000000000005</v>
      </c>
      <c r="AC100" s="144">
        <v>0.56000000000000005</v>
      </c>
      <c r="AD100" s="144">
        <v>0.56000000000000005</v>
      </c>
      <c r="AE100" s="144">
        <v>0.56000000000000005</v>
      </c>
      <c r="AF100" s="144">
        <v>0.56000000000000005</v>
      </c>
      <c r="AG100" s="144">
        <v>0.56000000000000005</v>
      </c>
      <c r="AH100" s="144">
        <v>0.56000000000000005</v>
      </c>
      <c r="AI100" s="144">
        <v>0.56000000000000005</v>
      </c>
      <c r="AJ100" s="144">
        <v>0.56000000000000005</v>
      </c>
      <c r="AK100" s="259">
        <v>0.56000000000000005</v>
      </c>
      <c r="AL100" s="105">
        <v>400</v>
      </c>
      <c r="AM100" s="118">
        <f t="shared" si="14"/>
        <v>224.00000000000003</v>
      </c>
      <c r="AN100" s="105">
        <v>0</v>
      </c>
      <c r="AO100" s="118">
        <f t="shared" si="2"/>
        <v>0</v>
      </c>
      <c r="AP100" s="105">
        <v>0</v>
      </c>
      <c r="AQ100" s="127">
        <f t="shared" si="3"/>
        <v>0</v>
      </c>
      <c r="AR100" s="5">
        <v>590</v>
      </c>
      <c r="AS100" s="118">
        <f t="shared" si="15"/>
        <v>330.40000000000003</v>
      </c>
      <c r="AT100" s="105">
        <v>0</v>
      </c>
      <c r="AU100" s="118">
        <f t="shared" si="16"/>
        <v>0</v>
      </c>
      <c r="AV100" s="105">
        <v>0</v>
      </c>
      <c r="AW100" s="127">
        <f t="shared" si="17"/>
        <v>0</v>
      </c>
      <c r="AX100" s="105">
        <v>0</v>
      </c>
      <c r="AY100" s="118">
        <f t="shared" si="18"/>
        <v>0</v>
      </c>
      <c r="AZ100" s="105">
        <v>0</v>
      </c>
      <c r="BA100" s="118">
        <f t="shared" si="19"/>
        <v>0</v>
      </c>
      <c r="BB100" s="5">
        <v>1000</v>
      </c>
      <c r="BC100" s="127">
        <f t="shared" si="20"/>
        <v>560</v>
      </c>
      <c r="BD100" s="105">
        <v>0</v>
      </c>
      <c r="BE100" s="118">
        <f t="shared" si="21"/>
        <v>0</v>
      </c>
      <c r="BF100" s="5">
        <v>0</v>
      </c>
      <c r="BG100" s="118">
        <f t="shared" si="22"/>
        <v>0</v>
      </c>
      <c r="BH100" s="5">
        <v>0</v>
      </c>
      <c r="BI100" s="127">
        <f t="shared" si="23"/>
        <v>0</v>
      </c>
      <c r="BJ100" s="220" t="s">
        <v>581</v>
      </c>
      <c r="BL100" s="1" t="s">
        <v>570</v>
      </c>
      <c r="BM100" s="233" t="s">
        <v>835</v>
      </c>
      <c r="BN100" s="233"/>
      <c r="BO100" s="234"/>
    </row>
    <row r="101" spans="1:67">
      <c r="A101" s="219" t="s">
        <v>823</v>
      </c>
      <c r="B101" s="106" t="s">
        <v>244</v>
      </c>
      <c r="C101" s="66" t="s">
        <v>175</v>
      </c>
      <c r="D101" s="284"/>
      <c r="E101" s="77" t="s">
        <v>253</v>
      </c>
      <c r="F101" s="282"/>
      <c r="G101" s="71" t="s">
        <v>202</v>
      </c>
      <c r="H101" s="70" t="s">
        <v>580</v>
      </c>
      <c r="I101" s="70" t="s">
        <v>180</v>
      </c>
      <c r="J101" s="71" t="s">
        <v>567</v>
      </c>
      <c r="K101" s="70" t="s">
        <v>250</v>
      </c>
      <c r="L101" s="69" t="s">
        <v>257</v>
      </c>
      <c r="M101" s="180" t="s">
        <v>568</v>
      </c>
      <c r="N101" s="144">
        <v>13.63</v>
      </c>
      <c r="O101" s="144">
        <v>13.63</v>
      </c>
      <c r="P101" s="144">
        <v>13.63</v>
      </c>
      <c r="Q101" s="144">
        <v>13.63</v>
      </c>
      <c r="R101" s="144">
        <v>13.63</v>
      </c>
      <c r="S101" s="144">
        <v>13.63</v>
      </c>
      <c r="T101" s="144">
        <v>13.63</v>
      </c>
      <c r="U101" s="144">
        <v>13.63</v>
      </c>
      <c r="V101" s="144">
        <v>13.63</v>
      </c>
      <c r="W101" s="144">
        <v>13.63</v>
      </c>
      <c r="X101" s="144">
        <v>13.63</v>
      </c>
      <c r="Y101" s="259">
        <v>13.63</v>
      </c>
      <c r="Z101" s="144">
        <v>0.56000000000000005</v>
      </c>
      <c r="AA101" s="144">
        <v>0.56000000000000005</v>
      </c>
      <c r="AB101" s="144">
        <v>0.56000000000000005</v>
      </c>
      <c r="AC101" s="144">
        <v>0.56000000000000005</v>
      </c>
      <c r="AD101" s="144">
        <v>0.56000000000000005</v>
      </c>
      <c r="AE101" s="144">
        <v>0.56000000000000005</v>
      </c>
      <c r="AF101" s="144">
        <v>0.56000000000000005</v>
      </c>
      <c r="AG101" s="144">
        <v>0.56000000000000005</v>
      </c>
      <c r="AH101" s="144">
        <v>0.56000000000000005</v>
      </c>
      <c r="AI101" s="144">
        <v>0.56000000000000005</v>
      </c>
      <c r="AJ101" s="144">
        <v>0.56000000000000005</v>
      </c>
      <c r="AK101" s="259">
        <v>0.56000000000000005</v>
      </c>
      <c r="AL101" s="105">
        <v>0</v>
      </c>
      <c r="AM101" s="118">
        <f t="shared" si="14"/>
        <v>0</v>
      </c>
      <c r="AN101" s="105">
        <v>0</v>
      </c>
      <c r="AO101" s="118">
        <f t="shared" si="2"/>
        <v>0</v>
      </c>
      <c r="AP101" s="105">
        <v>0</v>
      </c>
      <c r="AQ101" s="127">
        <f t="shared" si="3"/>
        <v>0</v>
      </c>
      <c r="AR101" s="5">
        <v>0</v>
      </c>
      <c r="AS101" s="118">
        <f t="shared" si="15"/>
        <v>0</v>
      </c>
      <c r="AT101" s="105">
        <v>0</v>
      </c>
      <c r="AU101" s="118">
        <f t="shared" si="16"/>
        <v>0</v>
      </c>
      <c r="AV101" s="105">
        <v>0</v>
      </c>
      <c r="AW101" s="127">
        <f t="shared" si="17"/>
        <v>0</v>
      </c>
      <c r="AX101" s="105">
        <v>0</v>
      </c>
      <c r="AY101" s="118">
        <f t="shared" si="18"/>
        <v>0</v>
      </c>
      <c r="AZ101" s="105">
        <v>0</v>
      </c>
      <c r="BA101" s="118">
        <f t="shared" si="19"/>
        <v>0</v>
      </c>
      <c r="BB101" s="5">
        <v>0</v>
      </c>
      <c r="BC101" s="127">
        <f t="shared" si="20"/>
        <v>0</v>
      </c>
      <c r="BD101" s="105">
        <v>0</v>
      </c>
      <c r="BE101" s="118">
        <f t="shared" si="21"/>
        <v>0</v>
      </c>
      <c r="BF101" s="5">
        <v>0</v>
      </c>
      <c r="BG101" s="118">
        <f t="shared" si="22"/>
        <v>0</v>
      </c>
      <c r="BH101" s="5">
        <v>0</v>
      </c>
      <c r="BI101" s="127">
        <f t="shared" si="23"/>
        <v>0</v>
      </c>
      <c r="BJ101" s="220" t="s">
        <v>581</v>
      </c>
      <c r="BL101" s="1" t="s">
        <v>570</v>
      </c>
      <c r="BM101" s="233" t="s">
        <v>836</v>
      </c>
      <c r="BN101" s="233"/>
      <c r="BO101" s="234"/>
    </row>
    <row r="102" spans="1:67">
      <c r="A102" s="219" t="s">
        <v>823</v>
      </c>
      <c r="B102" s="106" t="s">
        <v>244</v>
      </c>
      <c r="C102" s="66" t="s">
        <v>175</v>
      </c>
      <c r="D102" s="284"/>
      <c r="E102" s="77" t="s">
        <v>253</v>
      </c>
      <c r="F102" s="282"/>
      <c r="G102" s="71" t="s">
        <v>202</v>
      </c>
      <c r="H102" s="70" t="s">
        <v>580</v>
      </c>
      <c r="I102" s="70" t="s">
        <v>180</v>
      </c>
      <c r="J102" s="71" t="s">
        <v>567</v>
      </c>
      <c r="K102" s="70" t="s">
        <v>250</v>
      </c>
      <c r="L102" s="69" t="s">
        <v>257</v>
      </c>
      <c r="M102" s="180" t="s">
        <v>568</v>
      </c>
      <c r="N102" s="144">
        <v>13.63</v>
      </c>
      <c r="O102" s="144">
        <v>13.63</v>
      </c>
      <c r="P102" s="144">
        <v>13.63</v>
      </c>
      <c r="Q102" s="144">
        <v>13.63</v>
      </c>
      <c r="R102" s="144">
        <v>13.63</v>
      </c>
      <c r="S102" s="144">
        <v>13.63</v>
      </c>
      <c r="T102" s="144">
        <v>13.63</v>
      </c>
      <c r="U102" s="144">
        <v>13.63</v>
      </c>
      <c r="V102" s="144">
        <v>13.63</v>
      </c>
      <c r="W102" s="144">
        <v>13.63</v>
      </c>
      <c r="X102" s="144">
        <v>13.63</v>
      </c>
      <c r="Y102" s="259">
        <v>13.63</v>
      </c>
      <c r="Z102" s="144">
        <v>0.56000000000000005</v>
      </c>
      <c r="AA102" s="144">
        <v>0.56000000000000005</v>
      </c>
      <c r="AB102" s="144">
        <v>0.56000000000000005</v>
      </c>
      <c r="AC102" s="144">
        <v>0.56000000000000005</v>
      </c>
      <c r="AD102" s="144">
        <v>0.56000000000000005</v>
      </c>
      <c r="AE102" s="144">
        <v>0.56000000000000005</v>
      </c>
      <c r="AF102" s="144">
        <v>0.56000000000000005</v>
      </c>
      <c r="AG102" s="144">
        <v>0.56000000000000005</v>
      </c>
      <c r="AH102" s="144">
        <v>0.56000000000000005</v>
      </c>
      <c r="AI102" s="144">
        <v>0.56000000000000005</v>
      </c>
      <c r="AJ102" s="144">
        <v>0.56000000000000005</v>
      </c>
      <c r="AK102" s="259">
        <v>0.56000000000000005</v>
      </c>
      <c r="AL102" s="105">
        <v>1000</v>
      </c>
      <c r="AM102" s="118">
        <f t="shared" si="14"/>
        <v>560</v>
      </c>
      <c r="AN102" s="105">
        <v>0</v>
      </c>
      <c r="AO102" s="118">
        <f t="shared" si="2"/>
        <v>0</v>
      </c>
      <c r="AP102" s="105">
        <v>0</v>
      </c>
      <c r="AQ102" s="127">
        <f t="shared" si="3"/>
        <v>0</v>
      </c>
      <c r="AR102" s="5">
        <v>0</v>
      </c>
      <c r="AS102" s="118">
        <f t="shared" si="15"/>
        <v>0</v>
      </c>
      <c r="AT102" s="105">
        <v>0</v>
      </c>
      <c r="AU102" s="118">
        <f t="shared" si="16"/>
        <v>0</v>
      </c>
      <c r="AV102" s="105">
        <v>0</v>
      </c>
      <c r="AW102" s="127">
        <f t="shared" si="17"/>
        <v>0</v>
      </c>
      <c r="AX102" s="105">
        <v>0</v>
      </c>
      <c r="AY102" s="118">
        <f t="shared" si="18"/>
        <v>0</v>
      </c>
      <c r="AZ102" s="105">
        <v>0</v>
      </c>
      <c r="BA102" s="118">
        <f t="shared" si="19"/>
        <v>0</v>
      </c>
      <c r="BB102" s="5">
        <v>0</v>
      </c>
      <c r="BC102" s="127">
        <f t="shared" si="20"/>
        <v>0</v>
      </c>
      <c r="BD102" s="105">
        <v>500</v>
      </c>
      <c r="BE102" s="118">
        <f t="shared" si="21"/>
        <v>280</v>
      </c>
      <c r="BF102" s="5">
        <v>500</v>
      </c>
      <c r="BG102" s="118">
        <f t="shared" si="22"/>
        <v>280</v>
      </c>
      <c r="BH102" s="5">
        <v>500</v>
      </c>
      <c r="BI102" s="127">
        <f t="shared" si="23"/>
        <v>280</v>
      </c>
      <c r="BJ102" s="220" t="s">
        <v>581</v>
      </c>
      <c r="BL102" s="1" t="s">
        <v>570</v>
      </c>
      <c r="BM102" s="233" t="s">
        <v>837</v>
      </c>
      <c r="BN102" s="233"/>
      <c r="BO102" s="234"/>
    </row>
    <row r="103" spans="1:67">
      <c r="A103" s="219" t="s">
        <v>823</v>
      </c>
      <c r="B103" s="106" t="s">
        <v>244</v>
      </c>
      <c r="C103" s="66" t="s">
        <v>175</v>
      </c>
      <c r="D103" s="284"/>
      <c r="E103" s="77" t="s">
        <v>253</v>
      </c>
      <c r="F103" s="282"/>
      <c r="G103" s="71" t="s">
        <v>202</v>
      </c>
      <c r="H103" s="70" t="s">
        <v>580</v>
      </c>
      <c r="I103" s="70" t="s">
        <v>180</v>
      </c>
      <c r="J103" s="71" t="s">
        <v>567</v>
      </c>
      <c r="K103" s="70" t="s">
        <v>250</v>
      </c>
      <c r="L103" s="69" t="s">
        <v>257</v>
      </c>
      <c r="M103" s="180" t="s">
        <v>568</v>
      </c>
      <c r="N103" s="144">
        <v>13.63</v>
      </c>
      <c r="O103" s="144">
        <v>13.63</v>
      </c>
      <c r="P103" s="144">
        <v>13.63</v>
      </c>
      <c r="Q103" s="144">
        <v>13.63</v>
      </c>
      <c r="R103" s="144">
        <v>13.63</v>
      </c>
      <c r="S103" s="144">
        <v>13.63</v>
      </c>
      <c r="T103" s="144">
        <v>13.63</v>
      </c>
      <c r="U103" s="144">
        <v>13.63</v>
      </c>
      <c r="V103" s="144">
        <v>13.63</v>
      </c>
      <c r="W103" s="144">
        <v>13.63</v>
      </c>
      <c r="X103" s="144">
        <v>13.63</v>
      </c>
      <c r="Y103" s="259">
        <v>13.63</v>
      </c>
      <c r="Z103" s="144">
        <v>0.56000000000000005</v>
      </c>
      <c r="AA103" s="144">
        <v>0.56000000000000005</v>
      </c>
      <c r="AB103" s="144">
        <v>0.56000000000000005</v>
      </c>
      <c r="AC103" s="144">
        <v>0.56000000000000005</v>
      </c>
      <c r="AD103" s="144">
        <v>0.56000000000000005</v>
      </c>
      <c r="AE103" s="144">
        <v>0.56000000000000005</v>
      </c>
      <c r="AF103" s="144">
        <v>0.56000000000000005</v>
      </c>
      <c r="AG103" s="144">
        <v>0.56000000000000005</v>
      </c>
      <c r="AH103" s="144">
        <v>0.56000000000000005</v>
      </c>
      <c r="AI103" s="144">
        <v>0.56000000000000005</v>
      </c>
      <c r="AJ103" s="144">
        <v>0.56000000000000005</v>
      </c>
      <c r="AK103" s="259">
        <v>0.56000000000000005</v>
      </c>
      <c r="AL103" s="105">
        <v>0</v>
      </c>
      <c r="AM103" s="118">
        <f t="shared" si="14"/>
        <v>0</v>
      </c>
      <c r="AN103" s="105">
        <v>0</v>
      </c>
      <c r="AO103" s="118">
        <f t="shared" si="2"/>
        <v>0</v>
      </c>
      <c r="AP103" s="105">
        <v>0</v>
      </c>
      <c r="AQ103" s="127">
        <f t="shared" si="3"/>
        <v>0</v>
      </c>
      <c r="AR103" s="5">
        <v>0</v>
      </c>
      <c r="AS103" s="118">
        <f t="shared" si="15"/>
        <v>0</v>
      </c>
      <c r="AT103" s="105">
        <v>0</v>
      </c>
      <c r="AU103" s="118">
        <f t="shared" si="16"/>
        <v>0</v>
      </c>
      <c r="AV103" s="105">
        <v>0</v>
      </c>
      <c r="AW103" s="127">
        <f t="shared" si="17"/>
        <v>0</v>
      </c>
      <c r="AX103" s="105">
        <v>0</v>
      </c>
      <c r="AY103" s="118">
        <f t="shared" si="18"/>
        <v>0</v>
      </c>
      <c r="AZ103" s="105">
        <v>0</v>
      </c>
      <c r="BA103" s="118">
        <f t="shared" si="19"/>
        <v>0</v>
      </c>
      <c r="BB103" s="5">
        <v>0</v>
      </c>
      <c r="BC103" s="127">
        <f t="shared" si="20"/>
        <v>0</v>
      </c>
      <c r="BD103" s="105">
        <v>0</v>
      </c>
      <c r="BE103" s="118">
        <f t="shared" si="21"/>
        <v>0</v>
      </c>
      <c r="BF103" s="5">
        <v>0</v>
      </c>
      <c r="BG103" s="118">
        <f t="shared" si="22"/>
        <v>0</v>
      </c>
      <c r="BH103" s="5">
        <v>0</v>
      </c>
      <c r="BI103" s="127">
        <f t="shared" si="23"/>
        <v>0</v>
      </c>
      <c r="BJ103" s="220" t="s">
        <v>581</v>
      </c>
      <c r="BL103" s="1" t="s">
        <v>570</v>
      </c>
      <c r="BM103" s="233" t="s">
        <v>838</v>
      </c>
      <c r="BN103" s="233"/>
      <c r="BO103" s="234"/>
    </row>
    <row r="104" spans="1:67">
      <c r="A104" s="219" t="s">
        <v>823</v>
      </c>
      <c r="B104" s="106" t="s">
        <v>244</v>
      </c>
      <c r="C104" s="66" t="s">
        <v>175</v>
      </c>
      <c r="D104" s="284"/>
      <c r="E104" s="77" t="s">
        <v>253</v>
      </c>
      <c r="F104" s="282"/>
      <c r="G104" s="71" t="s">
        <v>202</v>
      </c>
      <c r="H104" s="70" t="s">
        <v>580</v>
      </c>
      <c r="I104" s="70" t="s">
        <v>180</v>
      </c>
      <c r="J104" s="71" t="s">
        <v>567</v>
      </c>
      <c r="K104" s="70" t="s">
        <v>250</v>
      </c>
      <c r="L104" s="69" t="s">
        <v>257</v>
      </c>
      <c r="M104" s="180" t="s">
        <v>577</v>
      </c>
      <c r="N104" s="144">
        <v>13.63</v>
      </c>
      <c r="O104" s="144">
        <v>13.63</v>
      </c>
      <c r="P104" s="144">
        <v>13.63</v>
      </c>
      <c r="Q104" s="144">
        <v>13.63</v>
      </c>
      <c r="R104" s="144">
        <v>13.63</v>
      </c>
      <c r="S104" s="144">
        <v>13.63</v>
      </c>
      <c r="T104" s="144">
        <v>13.63</v>
      </c>
      <c r="U104" s="144">
        <v>13.63</v>
      </c>
      <c r="V104" s="144">
        <v>13.63</v>
      </c>
      <c r="W104" s="144">
        <v>13.63</v>
      </c>
      <c r="X104" s="144">
        <v>13.63</v>
      </c>
      <c r="Y104" s="259">
        <v>13.63</v>
      </c>
      <c r="Z104" s="144">
        <v>0.56000000000000005</v>
      </c>
      <c r="AA104" s="144">
        <v>0.56000000000000005</v>
      </c>
      <c r="AB104" s="144">
        <v>0.56000000000000005</v>
      </c>
      <c r="AC104" s="144">
        <v>0.56000000000000005</v>
      </c>
      <c r="AD104" s="144">
        <v>0.56000000000000005</v>
      </c>
      <c r="AE104" s="144">
        <v>0.56000000000000005</v>
      </c>
      <c r="AF104" s="144">
        <v>0.56000000000000005</v>
      </c>
      <c r="AG104" s="144">
        <v>0.56000000000000005</v>
      </c>
      <c r="AH104" s="144">
        <v>0.56000000000000005</v>
      </c>
      <c r="AI104" s="144">
        <v>0.56000000000000005</v>
      </c>
      <c r="AJ104" s="144">
        <v>0.56000000000000005</v>
      </c>
      <c r="AK104" s="259">
        <v>0.56000000000000005</v>
      </c>
      <c r="AL104" s="105">
        <v>0</v>
      </c>
      <c r="AM104" s="118">
        <f t="shared" si="14"/>
        <v>0</v>
      </c>
      <c r="AN104" s="105">
        <v>1600</v>
      </c>
      <c r="AO104" s="118">
        <f t="shared" si="2"/>
        <v>896.00000000000011</v>
      </c>
      <c r="AP104" s="105">
        <v>3300</v>
      </c>
      <c r="AQ104" s="127">
        <f t="shared" si="3"/>
        <v>1848.0000000000002</v>
      </c>
      <c r="AR104" s="5">
        <v>0</v>
      </c>
      <c r="AS104" s="118">
        <f t="shared" si="15"/>
        <v>0</v>
      </c>
      <c r="AT104" s="105">
        <v>1000</v>
      </c>
      <c r="AU104" s="118">
        <f t="shared" si="16"/>
        <v>560</v>
      </c>
      <c r="AV104" s="105">
        <v>0</v>
      </c>
      <c r="AW104" s="127">
        <f t="shared" si="17"/>
        <v>0</v>
      </c>
      <c r="AX104" s="105">
        <v>0</v>
      </c>
      <c r="AY104" s="118">
        <f t="shared" si="18"/>
        <v>0</v>
      </c>
      <c r="AZ104" s="105">
        <v>500</v>
      </c>
      <c r="BA104" s="118">
        <f t="shared" si="19"/>
        <v>280</v>
      </c>
      <c r="BB104" s="5">
        <v>500</v>
      </c>
      <c r="BC104" s="127">
        <f t="shared" si="20"/>
        <v>280</v>
      </c>
      <c r="BD104" s="105">
        <v>500</v>
      </c>
      <c r="BE104" s="118">
        <f t="shared" si="21"/>
        <v>280</v>
      </c>
      <c r="BF104" s="5">
        <v>500</v>
      </c>
      <c r="BG104" s="118">
        <f t="shared" si="22"/>
        <v>280</v>
      </c>
      <c r="BH104" s="5">
        <v>500</v>
      </c>
      <c r="BI104" s="127">
        <f t="shared" si="23"/>
        <v>280</v>
      </c>
      <c r="BJ104" s="220" t="s">
        <v>581</v>
      </c>
      <c r="BL104" s="1" t="s">
        <v>578</v>
      </c>
      <c r="BM104" s="233" t="s">
        <v>592</v>
      </c>
      <c r="BN104" s="233"/>
      <c r="BO104" s="234"/>
    </row>
    <row r="105" spans="1:67">
      <c r="A105" s="219" t="s">
        <v>823</v>
      </c>
      <c r="B105" s="106" t="s">
        <v>244</v>
      </c>
      <c r="C105" s="66" t="s">
        <v>175</v>
      </c>
      <c r="D105" s="284"/>
      <c r="E105" s="77" t="s">
        <v>253</v>
      </c>
      <c r="F105" s="282"/>
      <c r="G105" s="71" t="s">
        <v>202</v>
      </c>
      <c r="H105" s="70" t="s">
        <v>580</v>
      </c>
      <c r="I105" s="70" t="s">
        <v>180</v>
      </c>
      <c r="J105" s="71" t="s">
        <v>567</v>
      </c>
      <c r="K105" s="70" t="s">
        <v>250</v>
      </c>
      <c r="L105" s="69" t="s">
        <v>257</v>
      </c>
      <c r="M105" s="180" t="s">
        <v>568</v>
      </c>
      <c r="N105" s="144">
        <v>13.63</v>
      </c>
      <c r="O105" s="144">
        <v>13.63</v>
      </c>
      <c r="P105" s="144">
        <v>13.63</v>
      </c>
      <c r="Q105" s="144">
        <v>13.63</v>
      </c>
      <c r="R105" s="144">
        <v>13.63</v>
      </c>
      <c r="S105" s="144">
        <v>13.63</v>
      </c>
      <c r="T105" s="144">
        <v>13.63</v>
      </c>
      <c r="U105" s="144">
        <v>13.63</v>
      </c>
      <c r="V105" s="144">
        <v>13.63</v>
      </c>
      <c r="W105" s="144">
        <v>13.63</v>
      </c>
      <c r="X105" s="144">
        <v>13.63</v>
      </c>
      <c r="Y105" s="259">
        <v>13.63</v>
      </c>
      <c r="Z105" s="144">
        <v>0.56000000000000005</v>
      </c>
      <c r="AA105" s="144">
        <v>0.56000000000000005</v>
      </c>
      <c r="AB105" s="144">
        <v>0.56000000000000005</v>
      </c>
      <c r="AC105" s="144">
        <v>0.56000000000000005</v>
      </c>
      <c r="AD105" s="144">
        <v>0.56000000000000005</v>
      </c>
      <c r="AE105" s="144">
        <v>0.56000000000000005</v>
      </c>
      <c r="AF105" s="144">
        <v>0.56000000000000005</v>
      </c>
      <c r="AG105" s="144">
        <v>0.56000000000000005</v>
      </c>
      <c r="AH105" s="144">
        <v>0.56000000000000005</v>
      </c>
      <c r="AI105" s="144">
        <v>0.56000000000000005</v>
      </c>
      <c r="AJ105" s="144">
        <v>0.56000000000000005</v>
      </c>
      <c r="AK105" s="259">
        <v>0.56000000000000005</v>
      </c>
      <c r="AL105" s="105">
        <v>0</v>
      </c>
      <c r="AM105" s="118">
        <f t="shared" si="14"/>
        <v>0</v>
      </c>
      <c r="AN105" s="105">
        <v>0</v>
      </c>
      <c r="AO105" s="118">
        <f t="shared" si="2"/>
        <v>0</v>
      </c>
      <c r="AP105" s="105">
        <v>0</v>
      </c>
      <c r="AQ105" s="127">
        <f t="shared" si="3"/>
        <v>0</v>
      </c>
      <c r="AR105" s="5">
        <v>0</v>
      </c>
      <c r="AS105" s="118">
        <f t="shared" si="15"/>
        <v>0</v>
      </c>
      <c r="AT105" s="105">
        <v>0</v>
      </c>
      <c r="AU105" s="118">
        <f t="shared" si="16"/>
        <v>0</v>
      </c>
      <c r="AV105" s="105">
        <v>0</v>
      </c>
      <c r="AW105" s="127">
        <f t="shared" si="17"/>
        <v>0</v>
      </c>
      <c r="AX105" s="105">
        <v>0</v>
      </c>
      <c r="AY105" s="118">
        <f t="shared" si="18"/>
        <v>0</v>
      </c>
      <c r="AZ105" s="105">
        <v>0</v>
      </c>
      <c r="BA105" s="118">
        <f t="shared" si="19"/>
        <v>0</v>
      </c>
      <c r="BB105" s="5">
        <v>0</v>
      </c>
      <c r="BC105" s="127">
        <f t="shared" si="20"/>
        <v>0</v>
      </c>
      <c r="BD105" s="105">
        <v>0</v>
      </c>
      <c r="BE105" s="118">
        <f t="shared" si="21"/>
        <v>0</v>
      </c>
      <c r="BF105" s="5">
        <v>0</v>
      </c>
      <c r="BG105" s="118">
        <f t="shared" si="22"/>
        <v>0</v>
      </c>
      <c r="BH105" s="5">
        <v>0</v>
      </c>
      <c r="BI105" s="127">
        <f t="shared" si="23"/>
        <v>0</v>
      </c>
      <c r="BJ105" s="220" t="s">
        <v>581</v>
      </c>
      <c r="BL105" s="1" t="s">
        <v>573</v>
      </c>
      <c r="BM105" s="233" t="s">
        <v>593</v>
      </c>
      <c r="BN105" s="233"/>
      <c r="BO105" s="234"/>
    </row>
    <row r="106" spans="1:67">
      <c r="A106" s="219" t="s">
        <v>823</v>
      </c>
      <c r="B106" s="106" t="s">
        <v>244</v>
      </c>
      <c r="C106" s="66" t="s">
        <v>175</v>
      </c>
      <c r="D106" s="284"/>
      <c r="E106" s="77" t="s">
        <v>253</v>
      </c>
      <c r="F106" s="282"/>
      <c r="G106" s="71" t="s">
        <v>202</v>
      </c>
      <c r="H106" s="70" t="s">
        <v>580</v>
      </c>
      <c r="I106" s="70" t="s">
        <v>180</v>
      </c>
      <c r="J106" s="71" t="s">
        <v>567</v>
      </c>
      <c r="K106" s="70" t="s">
        <v>250</v>
      </c>
      <c r="L106" s="69" t="s">
        <v>257</v>
      </c>
      <c r="M106" s="180" t="s">
        <v>568</v>
      </c>
      <c r="N106" s="144">
        <v>13.63</v>
      </c>
      <c r="O106" s="144">
        <v>13.63</v>
      </c>
      <c r="P106" s="144">
        <v>13.63</v>
      </c>
      <c r="Q106" s="144">
        <v>13.63</v>
      </c>
      <c r="R106" s="144">
        <v>13.63</v>
      </c>
      <c r="S106" s="144">
        <v>13.63</v>
      </c>
      <c r="T106" s="144">
        <v>13.63</v>
      </c>
      <c r="U106" s="144">
        <v>13.63</v>
      </c>
      <c r="V106" s="144">
        <v>13.63</v>
      </c>
      <c r="W106" s="144">
        <v>13.63</v>
      </c>
      <c r="X106" s="144">
        <v>13.63</v>
      </c>
      <c r="Y106" s="259">
        <v>13.63</v>
      </c>
      <c r="Z106" s="144">
        <v>0.56000000000000005</v>
      </c>
      <c r="AA106" s="144">
        <v>0.56000000000000005</v>
      </c>
      <c r="AB106" s="144">
        <v>0.56000000000000005</v>
      </c>
      <c r="AC106" s="144">
        <v>0.56000000000000005</v>
      </c>
      <c r="AD106" s="144">
        <v>0.56000000000000005</v>
      </c>
      <c r="AE106" s="144">
        <v>0.56000000000000005</v>
      </c>
      <c r="AF106" s="144">
        <v>0.56000000000000005</v>
      </c>
      <c r="AG106" s="144">
        <v>0.56000000000000005</v>
      </c>
      <c r="AH106" s="144">
        <v>0.56000000000000005</v>
      </c>
      <c r="AI106" s="144">
        <v>0.56000000000000005</v>
      </c>
      <c r="AJ106" s="144">
        <v>0.56000000000000005</v>
      </c>
      <c r="AK106" s="259">
        <v>0.56000000000000005</v>
      </c>
      <c r="AL106" s="105">
        <v>0</v>
      </c>
      <c r="AM106" s="118">
        <f t="shared" si="14"/>
        <v>0</v>
      </c>
      <c r="AN106" s="105">
        <v>0</v>
      </c>
      <c r="AO106" s="118">
        <f t="shared" si="2"/>
        <v>0</v>
      </c>
      <c r="AP106" s="105">
        <v>0</v>
      </c>
      <c r="AQ106" s="127">
        <f t="shared" si="3"/>
        <v>0</v>
      </c>
      <c r="AR106" s="5">
        <v>0</v>
      </c>
      <c r="AS106" s="118">
        <f t="shared" si="15"/>
        <v>0</v>
      </c>
      <c r="AT106" s="105">
        <v>0</v>
      </c>
      <c r="AU106" s="118">
        <f t="shared" si="16"/>
        <v>0</v>
      </c>
      <c r="AV106" s="105">
        <v>0</v>
      </c>
      <c r="AW106" s="127">
        <f t="shared" si="17"/>
        <v>0</v>
      </c>
      <c r="AX106" s="105">
        <v>0</v>
      </c>
      <c r="AY106" s="118">
        <f t="shared" si="18"/>
        <v>0</v>
      </c>
      <c r="AZ106" s="105">
        <v>0</v>
      </c>
      <c r="BA106" s="118">
        <f t="shared" si="19"/>
        <v>0</v>
      </c>
      <c r="BB106" s="5">
        <v>0</v>
      </c>
      <c r="BC106" s="127">
        <f t="shared" si="20"/>
        <v>0</v>
      </c>
      <c r="BD106" s="105">
        <v>0</v>
      </c>
      <c r="BE106" s="118">
        <f t="shared" si="21"/>
        <v>0</v>
      </c>
      <c r="BF106" s="5">
        <v>0</v>
      </c>
      <c r="BG106" s="118">
        <f t="shared" si="22"/>
        <v>0</v>
      </c>
      <c r="BH106" s="5">
        <v>0</v>
      </c>
      <c r="BI106" s="127">
        <f t="shared" si="23"/>
        <v>0</v>
      </c>
      <c r="BJ106" s="220" t="s">
        <v>581</v>
      </c>
      <c r="BL106" s="1" t="s">
        <v>575</v>
      </c>
      <c r="BM106" s="233" t="s">
        <v>594</v>
      </c>
      <c r="BN106" s="233"/>
      <c r="BO106" s="234"/>
    </row>
    <row r="107" spans="1:67">
      <c r="A107" s="219" t="s">
        <v>823</v>
      </c>
      <c r="B107" s="106" t="s">
        <v>244</v>
      </c>
      <c r="C107" s="66" t="s">
        <v>175</v>
      </c>
      <c r="D107" s="284"/>
      <c r="E107" s="77" t="s">
        <v>253</v>
      </c>
      <c r="F107" s="282"/>
      <c r="G107" s="71" t="s">
        <v>202</v>
      </c>
      <c r="H107" s="70" t="s">
        <v>580</v>
      </c>
      <c r="I107" s="70" t="s">
        <v>180</v>
      </c>
      <c r="J107" s="71" t="s">
        <v>567</v>
      </c>
      <c r="K107" s="70" t="s">
        <v>250</v>
      </c>
      <c r="L107" s="69" t="s">
        <v>257</v>
      </c>
      <c r="M107" s="180" t="s">
        <v>568</v>
      </c>
      <c r="N107" s="144">
        <v>13.63</v>
      </c>
      <c r="O107" s="144">
        <v>13.63</v>
      </c>
      <c r="P107" s="144">
        <v>13.63</v>
      </c>
      <c r="Q107" s="144">
        <v>13.63</v>
      </c>
      <c r="R107" s="144">
        <v>13.63</v>
      </c>
      <c r="S107" s="144">
        <v>13.63</v>
      </c>
      <c r="T107" s="144">
        <v>13.63</v>
      </c>
      <c r="U107" s="144">
        <v>13.63</v>
      </c>
      <c r="V107" s="144">
        <v>13.63</v>
      </c>
      <c r="W107" s="144">
        <v>13.63</v>
      </c>
      <c r="X107" s="144">
        <v>13.63</v>
      </c>
      <c r="Y107" s="259">
        <v>13.63</v>
      </c>
      <c r="Z107" s="144">
        <v>0.56000000000000005</v>
      </c>
      <c r="AA107" s="144">
        <v>0.56000000000000005</v>
      </c>
      <c r="AB107" s="144">
        <v>0.56000000000000005</v>
      </c>
      <c r="AC107" s="144">
        <v>0.56000000000000005</v>
      </c>
      <c r="AD107" s="144">
        <v>0.56000000000000005</v>
      </c>
      <c r="AE107" s="144">
        <v>0.56000000000000005</v>
      </c>
      <c r="AF107" s="144">
        <v>0.56000000000000005</v>
      </c>
      <c r="AG107" s="144">
        <v>0.56000000000000005</v>
      </c>
      <c r="AH107" s="144">
        <v>0.56000000000000005</v>
      </c>
      <c r="AI107" s="144">
        <v>0.56000000000000005</v>
      </c>
      <c r="AJ107" s="144">
        <v>0.56000000000000005</v>
      </c>
      <c r="AK107" s="259">
        <v>0.56000000000000005</v>
      </c>
      <c r="AL107" s="105">
        <v>0</v>
      </c>
      <c r="AM107" s="118">
        <f t="shared" si="14"/>
        <v>0</v>
      </c>
      <c r="AN107" s="105">
        <v>0</v>
      </c>
      <c r="AO107" s="118">
        <f t="shared" si="2"/>
        <v>0</v>
      </c>
      <c r="AP107" s="105">
        <v>0</v>
      </c>
      <c r="AQ107" s="127">
        <f t="shared" si="3"/>
        <v>0</v>
      </c>
      <c r="AR107" s="5">
        <v>0</v>
      </c>
      <c r="AS107" s="118">
        <f t="shared" si="15"/>
        <v>0</v>
      </c>
      <c r="AT107" s="105">
        <v>0</v>
      </c>
      <c r="AU107" s="118">
        <f t="shared" si="16"/>
        <v>0</v>
      </c>
      <c r="AV107" s="105">
        <v>0</v>
      </c>
      <c r="AW107" s="127">
        <f t="shared" si="17"/>
        <v>0</v>
      </c>
      <c r="AX107" s="105">
        <v>0</v>
      </c>
      <c r="AY107" s="118">
        <f t="shared" si="18"/>
        <v>0</v>
      </c>
      <c r="AZ107" s="105">
        <v>0</v>
      </c>
      <c r="BA107" s="118">
        <f t="shared" si="19"/>
        <v>0</v>
      </c>
      <c r="BB107" s="5">
        <v>0</v>
      </c>
      <c r="BC107" s="127">
        <f t="shared" si="20"/>
        <v>0</v>
      </c>
      <c r="BD107" s="105">
        <v>0</v>
      </c>
      <c r="BE107" s="118">
        <f t="shared" si="21"/>
        <v>0</v>
      </c>
      <c r="BF107" s="5">
        <v>0</v>
      </c>
      <c r="BG107" s="118">
        <f t="shared" si="22"/>
        <v>0</v>
      </c>
      <c r="BH107" s="5">
        <v>0</v>
      </c>
      <c r="BI107" s="127">
        <f t="shared" si="23"/>
        <v>0</v>
      </c>
      <c r="BJ107" s="220" t="s">
        <v>581</v>
      </c>
      <c r="BL107" s="1" t="s">
        <v>570</v>
      </c>
      <c r="BM107" s="233" t="s">
        <v>595</v>
      </c>
      <c r="BN107" s="233"/>
      <c r="BO107" s="234"/>
    </row>
    <row r="108" spans="1:67">
      <c r="A108" s="219" t="s">
        <v>823</v>
      </c>
      <c r="B108" s="106" t="s">
        <v>244</v>
      </c>
      <c r="C108" s="66" t="s">
        <v>175</v>
      </c>
      <c r="D108" s="284"/>
      <c r="E108" s="77" t="s">
        <v>253</v>
      </c>
      <c r="F108" s="282"/>
      <c r="G108" s="71" t="s">
        <v>202</v>
      </c>
      <c r="H108" s="70" t="s">
        <v>580</v>
      </c>
      <c r="I108" s="70" t="s">
        <v>180</v>
      </c>
      <c r="J108" s="71" t="s">
        <v>567</v>
      </c>
      <c r="K108" s="70" t="s">
        <v>250</v>
      </c>
      <c r="L108" s="69" t="s">
        <v>257</v>
      </c>
      <c r="M108" s="180" t="s">
        <v>568</v>
      </c>
      <c r="N108" s="144">
        <v>13.63</v>
      </c>
      <c r="O108" s="144">
        <v>13.63</v>
      </c>
      <c r="P108" s="144">
        <v>13.63</v>
      </c>
      <c r="Q108" s="144">
        <v>13.63</v>
      </c>
      <c r="R108" s="144">
        <v>13.63</v>
      </c>
      <c r="S108" s="144">
        <v>13.63</v>
      </c>
      <c r="T108" s="144">
        <v>13.63</v>
      </c>
      <c r="U108" s="144">
        <v>13.63</v>
      </c>
      <c r="V108" s="144">
        <v>13.63</v>
      </c>
      <c r="W108" s="144">
        <v>13.63</v>
      </c>
      <c r="X108" s="144">
        <v>13.63</v>
      </c>
      <c r="Y108" s="259">
        <v>13.63</v>
      </c>
      <c r="Z108" s="144">
        <v>0.56000000000000005</v>
      </c>
      <c r="AA108" s="144">
        <v>0.56000000000000005</v>
      </c>
      <c r="AB108" s="144">
        <v>0.56000000000000005</v>
      </c>
      <c r="AC108" s="144">
        <v>0.56000000000000005</v>
      </c>
      <c r="AD108" s="144">
        <v>0.56000000000000005</v>
      </c>
      <c r="AE108" s="144">
        <v>0.56000000000000005</v>
      </c>
      <c r="AF108" s="144">
        <v>0.56000000000000005</v>
      </c>
      <c r="AG108" s="144">
        <v>0.56000000000000005</v>
      </c>
      <c r="AH108" s="144">
        <v>0.56000000000000005</v>
      </c>
      <c r="AI108" s="144">
        <v>0.56000000000000005</v>
      </c>
      <c r="AJ108" s="144">
        <v>0.56000000000000005</v>
      </c>
      <c r="AK108" s="259">
        <v>0.56000000000000005</v>
      </c>
      <c r="AL108" s="105">
        <v>0</v>
      </c>
      <c r="AM108" s="118">
        <f t="shared" si="14"/>
        <v>0</v>
      </c>
      <c r="AN108" s="105">
        <v>0</v>
      </c>
      <c r="AO108" s="118">
        <f t="shared" si="2"/>
        <v>0</v>
      </c>
      <c r="AP108" s="105">
        <v>0</v>
      </c>
      <c r="AQ108" s="127">
        <f t="shared" si="3"/>
        <v>0</v>
      </c>
      <c r="AR108" s="5">
        <v>0</v>
      </c>
      <c r="AS108" s="118">
        <f t="shared" si="15"/>
        <v>0</v>
      </c>
      <c r="AT108" s="105">
        <v>0</v>
      </c>
      <c r="AU108" s="118">
        <f t="shared" si="16"/>
        <v>0</v>
      </c>
      <c r="AV108" s="105">
        <v>0</v>
      </c>
      <c r="AW108" s="127">
        <f t="shared" si="17"/>
        <v>0</v>
      </c>
      <c r="AX108" s="105">
        <v>0</v>
      </c>
      <c r="AY108" s="118">
        <f t="shared" si="18"/>
        <v>0</v>
      </c>
      <c r="AZ108" s="105">
        <v>0</v>
      </c>
      <c r="BA108" s="118">
        <f t="shared" si="19"/>
        <v>0</v>
      </c>
      <c r="BB108" s="5">
        <v>0</v>
      </c>
      <c r="BC108" s="127">
        <f t="shared" si="20"/>
        <v>0</v>
      </c>
      <c r="BD108" s="105">
        <v>0</v>
      </c>
      <c r="BE108" s="118">
        <f t="shared" si="21"/>
        <v>0</v>
      </c>
      <c r="BF108" s="5">
        <v>0</v>
      </c>
      <c r="BG108" s="118">
        <f t="shared" si="22"/>
        <v>0</v>
      </c>
      <c r="BH108" s="5">
        <v>0</v>
      </c>
      <c r="BI108" s="127">
        <f t="shared" si="23"/>
        <v>0</v>
      </c>
      <c r="BJ108" s="220" t="s">
        <v>581</v>
      </c>
      <c r="BL108" s="1" t="s">
        <v>570</v>
      </c>
      <c r="BM108" s="233" t="s">
        <v>596</v>
      </c>
      <c r="BN108" s="233"/>
      <c r="BO108" s="234"/>
    </row>
    <row r="109" spans="1:67">
      <c r="A109" s="219" t="s">
        <v>823</v>
      </c>
      <c r="B109" s="106" t="s">
        <v>244</v>
      </c>
      <c r="C109" s="66" t="s">
        <v>175</v>
      </c>
      <c r="D109" s="284"/>
      <c r="E109" s="77" t="s">
        <v>253</v>
      </c>
      <c r="F109" s="282"/>
      <c r="G109" s="71" t="s">
        <v>202</v>
      </c>
      <c r="H109" s="70" t="s">
        <v>580</v>
      </c>
      <c r="I109" s="70" t="s">
        <v>180</v>
      </c>
      <c r="J109" s="71" t="s">
        <v>567</v>
      </c>
      <c r="K109" s="70" t="s">
        <v>250</v>
      </c>
      <c r="L109" s="69" t="s">
        <v>257</v>
      </c>
      <c r="M109" s="180" t="s">
        <v>568</v>
      </c>
      <c r="N109" s="144">
        <v>13.63</v>
      </c>
      <c r="O109" s="144">
        <v>13.63</v>
      </c>
      <c r="P109" s="144">
        <v>13.63</v>
      </c>
      <c r="Q109" s="144">
        <v>13.63</v>
      </c>
      <c r="R109" s="144">
        <v>13.63</v>
      </c>
      <c r="S109" s="144">
        <v>13.63</v>
      </c>
      <c r="T109" s="144">
        <v>13.63</v>
      </c>
      <c r="U109" s="144">
        <v>13.63</v>
      </c>
      <c r="V109" s="144">
        <v>13.63</v>
      </c>
      <c r="W109" s="144">
        <v>13.63</v>
      </c>
      <c r="X109" s="144">
        <v>13.63</v>
      </c>
      <c r="Y109" s="259">
        <v>13.63</v>
      </c>
      <c r="Z109" s="144">
        <v>0.56000000000000005</v>
      </c>
      <c r="AA109" s="144">
        <v>0.56000000000000005</v>
      </c>
      <c r="AB109" s="144">
        <v>0.56000000000000005</v>
      </c>
      <c r="AC109" s="144">
        <v>0.56000000000000005</v>
      </c>
      <c r="AD109" s="144">
        <v>0.56000000000000005</v>
      </c>
      <c r="AE109" s="144">
        <v>0.56000000000000005</v>
      </c>
      <c r="AF109" s="144">
        <v>0.56000000000000005</v>
      </c>
      <c r="AG109" s="144">
        <v>0.56000000000000005</v>
      </c>
      <c r="AH109" s="144">
        <v>0.56000000000000005</v>
      </c>
      <c r="AI109" s="144">
        <v>0.56000000000000005</v>
      </c>
      <c r="AJ109" s="144">
        <v>0.56000000000000005</v>
      </c>
      <c r="AK109" s="259">
        <v>0.56000000000000005</v>
      </c>
      <c r="AL109" s="105">
        <v>0</v>
      </c>
      <c r="AM109" s="118">
        <f t="shared" si="14"/>
        <v>0</v>
      </c>
      <c r="AN109" s="105">
        <v>0</v>
      </c>
      <c r="AO109" s="118">
        <f t="shared" si="2"/>
        <v>0</v>
      </c>
      <c r="AP109" s="105">
        <v>0</v>
      </c>
      <c r="AQ109" s="127">
        <f t="shared" si="3"/>
        <v>0</v>
      </c>
      <c r="AR109" s="5">
        <v>0</v>
      </c>
      <c r="AS109" s="118">
        <f t="shared" si="15"/>
        <v>0</v>
      </c>
      <c r="AT109" s="105">
        <v>0</v>
      </c>
      <c r="AU109" s="118">
        <f t="shared" si="16"/>
        <v>0</v>
      </c>
      <c r="AV109" s="105">
        <v>0</v>
      </c>
      <c r="AW109" s="127">
        <f t="shared" si="17"/>
        <v>0</v>
      </c>
      <c r="AX109" s="105">
        <v>0</v>
      </c>
      <c r="AY109" s="118">
        <f t="shared" si="18"/>
        <v>0</v>
      </c>
      <c r="AZ109" s="105">
        <v>0</v>
      </c>
      <c r="BA109" s="118">
        <f t="shared" si="19"/>
        <v>0</v>
      </c>
      <c r="BB109" s="5">
        <v>0</v>
      </c>
      <c r="BC109" s="127">
        <f t="shared" si="20"/>
        <v>0</v>
      </c>
      <c r="BD109" s="105">
        <v>0</v>
      </c>
      <c r="BE109" s="118">
        <f t="shared" si="21"/>
        <v>0</v>
      </c>
      <c r="BF109" s="5">
        <v>0</v>
      </c>
      <c r="BG109" s="118">
        <f t="shared" si="22"/>
        <v>0</v>
      </c>
      <c r="BH109" s="5">
        <v>0</v>
      </c>
      <c r="BI109" s="127">
        <f t="shared" si="23"/>
        <v>0</v>
      </c>
      <c r="BJ109" s="220" t="s">
        <v>581</v>
      </c>
      <c r="BL109" s="1" t="s">
        <v>570</v>
      </c>
      <c r="BM109" s="233" t="s">
        <v>597</v>
      </c>
      <c r="BN109" s="233"/>
      <c r="BO109" s="234"/>
    </row>
    <row r="110" spans="1:67">
      <c r="A110" s="219" t="s">
        <v>823</v>
      </c>
      <c r="B110" s="106" t="s">
        <v>244</v>
      </c>
      <c r="C110" s="66" t="s">
        <v>175</v>
      </c>
      <c r="D110" s="284"/>
      <c r="E110" s="77" t="s">
        <v>253</v>
      </c>
      <c r="F110" s="282"/>
      <c r="G110" s="71" t="s">
        <v>202</v>
      </c>
      <c r="H110" s="70" t="s">
        <v>580</v>
      </c>
      <c r="I110" s="70" t="s">
        <v>180</v>
      </c>
      <c r="J110" s="71" t="s">
        <v>567</v>
      </c>
      <c r="K110" s="70" t="s">
        <v>250</v>
      </c>
      <c r="L110" s="69" t="s">
        <v>257</v>
      </c>
      <c r="M110" s="180" t="s">
        <v>568</v>
      </c>
      <c r="N110" s="144">
        <v>13.63</v>
      </c>
      <c r="O110" s="144">
        <v>13.63</v>
      </c>
      <c r="P110" s="144">
        <v>13.63</v>
      </c>
      <c r="Q110" s="144">
        <v>13.63</v>
      </c>
      <c r="R110" s="144">
        <v>13.63</v>
      </c>
      <c r="S110" s="144">
        <v>13.63</v>
      </c>
      <c r="T110" s="144">
        <v>13.63</v>
      </c>
      <c r="U110" s="144">
        <v>13.63</v>
      </c>
      <c r="V110" s="144">
        <v>13.63</v>
      </c>
      <c r="W110" s="144">
        <v>13.63</v>
      </c>
      <c r="X110" s="144">
        <v>13.63</v>
      </c>
      <c r="Y110" s="259">
        <v>13.63</v>
      </c>
      <c r="Z110" s="144">
        <v>0.56000000000000005</v>
      </c>
      <c r="AA110" s="144">
        <v>0.56000000000000005</v>
      </c>
      <c r="AB110" s="144">
        <v>0.56000000000000005</v>
      </c>
      <c r="AC110" s="144">
        <v>0.56000000000000005</v>
      </c>
      <c r="AD110" s="144">
        <v>0.56000000000000005</v>
      </c>
      <c r="AE110" s="144">
        <v>0.56000000000000005</v>
      </c>
      <c r="AF110" s="144">
        <v>0.56000000000000005</v>
      </c>
      <c r="AG110" s="144">
        <v>0.56000000000000005</v>
      </c>
      <c r="AH110" s="144">
        <v>0.56000000000000005</v>
      </c>
      <c r="AI110" s="144">
        <v>0.56000000000000005</v>
      </c>
      <c r="AJ110" s="144">
        <v>0.56000000000000005</v>
      </c>
      <c r="AK110" s="259">
        <v>0.56000000000000005</v>
      </c>
      <c r="AL110" s="105">
        <v>0</v>
      </c>
      <c r="AM110" s="118">
        <f t="shared" si="14"/>
        <v>0</v>
      </c>
      <c r="AN110" s="105">
        <v>0</v>
      </c>
      <c r="AO110" s="118">
        <f t="shared" si="2"/>
        <v>0</v>
      </c>
      <c r="AP110" s="105">
        <v>0</v>
      </c>
      <c r="AQ110" s="127">
        <f t="shared" si="3"/>
        <v>0</v>
      </c>
      <c r="AR110" s="5">
        <v>0</v>
      </c>
      <c r="AS110" s="118">
        <f t="shared" si="15"/>
        <v>0</v>
      </c>
      <c r="AT110" s="105">
        <v>0</v>
      </c>
      <c r="AU110" s="118">
        <f t="shared" si="16"/>
        <v>0</v>
      </c>
      <c r="AV110" s="105">
        <v>0</v>
      </c>
      <c r="AW110" s="127">
        <f t="shared" si="17"/>
        <v>0</v>
      </c>
      <c r="AX110" s="105">
        <v>0</v>
      </c>
      <c r="AY110" s="118">
        <f t="shared" si="18"/>
        <v>0</v>
      </c>
      <c r="AZ110" s="105">
        <v>0</v>
      </c>
      <c r="BA110" s="118">
        <f t="shared" si="19"/>
        <v>0</v>
      </c>
      <c r="BB110" s="5">
        <v>0</v>
      </c>
      <c r="BC110" s="127">
        <f t="shared" si="20"/>
        <v>0</v>
      </c>
      <c r="BD110" s="105">
        <v>0</v>
      </c>
      <c r="BE110" s="118">
        <f t="shared" si="21"/>
        <v>0</v>
      </c>
      <c r="BF110" s="5">
        <v>0</v>
      </c>
      <c r="BG110" s="118">
        <f t="shared" si="22"/>
        <v>0</v>
      </c>
      <c r="BH110" s="5">
        <v>0</v>
      </c>
      <c r="BI110" s="127">
        <f t="shared" si="23"/>
        <v>0</v>
      </c>
      <c r="BJ110" s="220" t="s">
        <v>581</v>
      </c>
      <c r="BL110" s="1" t="s">
        <v>570</v>
      </c>
      <c r="BM110" s="233" t="s">
        <v>598</v>
      </c>
      <c r="BN110" s="233"/>
      <c r="BO110" s="234"/>
    </row>
    <row r="111" spans="1:67">
      <c r="A111" s="219" t="s">
        <v>823</v>
      </c>
      <c r="B111" s="106" t="s">
        <v>244</v>
      </c>
      <c r="C111" s="66" t="s">
        <v>175</v>
      </c>
      <c r="D111" s="284"/>
      <c r="E111" s="77" t="s">
        <v>253</v>
      </c>
      <c r="F111" s="282"/>
      <c r="G111" s="71" t="s">
        <v>202</v>
      </c>
      <c r="H111" s="70" t="s">
        <v>580</v>
      </c>
      <c r="I111" s="70" t="s">
        <v>180</v>
      </c>
      <c r="J111" s="71" t="s">
        <v>567</v>
      </c>
      <c r="K111" s="70" t="s">
        <v>250</v>
      </c>
      <c r="L111" s="69" t="s">
        <v>257</v>
      </c>
      <c r="M111" s="180" t="s">
        <v>568</v>
      </c>
      <c r="N111" s="144">
        <v>13.63</v>
      </c>
      <c r="O111" s="144">
        <v>13.63</v>
      </c>
      <c r="P111" s="144">
        <v>13.63</v>
      </c>
      <c r="Q111" s="144">
        <v>13.63</v>
      </c>
      <c r="R111" s="144">
        <v>13.63</v>
      </c>
      <c r="S111" s="144">
        <v>13.63</v>
      </c>
      <c r="T111" s="144">
        <v>13.63</v>
      </c>
      <c r="U111" s="144">
        <v>13.63</v>
      </c>
      <c r="V111" s="144">
        <v>13.63</v>
      </c>
      <c r="W111" s="144">
        <v>13.63</v>
      </c>
      <c r="X111" s="144">
        <v>13.63</v>
      </c>
      <c r="Y111" s="259">
        <v>13.63</v>
      </c>
      <c r="Z111" s="144">
        <v>0.56000000000000005</v>
      </c>
      <c r="AA111" s="144">
        <v>0.56000000000000005</v>
      </c>
      <c r="AB111" s="144">
        <v>0.56000000000000005</v>
      </c>
      <c r="AC111" s="144">
        <v>0.56000000000000005</v>
      </c>
      <c r="AD111" s="144">
        <v>0.56000000000000005</v>
      </c>
      <c r="AE111" s="144">
        <v>0.56000000000000005</v>
      </c>
      <c r="AF111" s="144">
        <v>0.56000000000000005</v>
      </c>
      <c r="AG111" s="144">
        <v>0.56000000000000005</v>
      </c>
      <c r="AH111" s="144">
        <v>0.56000000000000005</v>
      </c>
      <c r="AI111" s="144">
        <v>0.56000000000000005</v>
      </c>
      <c r="AJ111" s="144">
        <v>0.56000000000000005</v>
      </c>
      <c r="AK111" s="259">
        <v>0.56000000000000005</v>
      </c>
      <c r="AL111" s="105">
        <v>0</v>
      </c>
      <c r="AM111" s="118">
        <f t="shared" si="14"/>
        <v>0</v>
      </c>
      <c r="AN111" s="105">
        <v>0</v>
      </c>
      <c r="AO111" s="118">
        <f t="shared" si="2"/>
        <v>0</v>
      </c>
      <c r="AP111" s="105">
        <v>0</v>
      </c>
      <c r="AQ111" s="127">
        <f t="shared" si="3"/>
        <v>0</v>
      </c>
      <c r="AR111" s="5">
        <v>0</v>
      </c>
      <c r="AS111" s="118">
        <f t="shared" si="15"/>
        <v>0</v>
      </c>
      <c r="AT111" s="105">
        <v>0</v>
      </c>
      <c r="AU111" s="118">
        <f t="shared" si="16"/>
        <v>0</v>
      </c>
      <c r="AV111" s="105">
        <v>0</v>
      </c>
      <c r="AW111" s="127">
        <f t="shared" si="17"/>
        <v>0</v>
      </c>
      <c r="AX111" s="105">
        <v>0</v>
      </c>
      <c r="AY111" s="118">
        <f t="shared" si="18"/>
        <v>0</v>
      </c>
      <c r="AZ111" s="105">
        <v>0</v>
      </c>
      <c r="BA111" s="118">
        <f t="shared" si="19"/>
        <v>0</v>
      </c>
      <c r="BB111" s="5">
        <v>0</v>
      </c>
      <c r="BC111" s="127">
        <f t="shared" si="20"/>
        <v>0</v>
      </c>
      <c r="BD111" s="105">
        <v>0</v>
      </c>
      <c r="BE111" s="118">
        <f t="shared" si="21"/>
        <v>0</v>
      </c>
      <c r="BF111" s="5">
        <v>0</v>
      </c>
      <c r="BG111" s="118">
        <f t="shared" si="22"/>
        <v>0</v>
      </c>
      <c r="BH111" s="5">
        <v>0</v>
      </c>
      <c r="BI111" s="127">
        <f t="shared" si="23"/>
        <v>0</v>
      </c>
      <c r="BJ111" s="220" t="s">
        <v>581</v>
      </c>
      <c r="BL111" s="1" t="s">
        <v>570</v>
      </c>
      <c r="BM111" s="233" t="s">
        <v>599</v>
      </c>
      <c r="BN111" s="233"/>
      <c r="BO111" s="234"/>
    </row>
    <row r="112" spans="1:67">
      <c r="A112" s="219" t="s">
        <v>823</v>
      </c>
      <c r="B112" s="106" t="s">
        <v>244</v>
      </c>
      <c r="C112" s="66" t="s">
        <v>175</v>
      </c>
      <c r="D112" s="284"/>
      <c r="E112" s="77" t="s">
        <v>253</v>
      </c>
      <c r="F112" s="282"/>
      <c r="G112" s="71" t="s">
        <v>202</v>
      </c>
      <c r="H112" s="70" t="s">
        <v>580</v>
      </c>
      <c r="I112" s="70" t="s">
        <v>180</v>
      </c>
      <c r="J112" s="71" t="s">
        <v>567</v>
      </c>
      <c r="K112" s="70" t="s">
        <v>250</v>
      </c>
      <c r="L112" s="69" t="s">
        <v>257</v>
      </c>
      <c r="M112" s="180" t="s">
        <v>568</v>
      </c>
      <c r="N112" s="144">
        <v>13.63</v>
      </c>
      <c r="O112" s="144">
        <v>13.63</v>
      </c>
      <c r="P112" s="144">
        <v>13.63</v>
      </c>
      <c r="Q112" s="144">
        <v>13.63</v>
      </c>
      <c r="R112" s="144">
        <v>13.63</v>
      </c>
      <c r="S112" s="144">
        <v>13.63</v>
      </c>
      <c r="T112" s="144">
        <v>13.63</v>
      </c>
      <c r="U112" s="144">
        <v>13.63</v>
      </c>
      <c r="V112" s="144">
        <v>13.63</v>
      </c>
      <c r="W112" s="144">
        <v>13.63</v>
      </c>
      <c r="X112" s="144">
        <v>13.63</v>
      </c>
      <c r="Y112" s="259">
        <v>13.63</v>
      </c>
      <c r="Z112" s="144">
        <v>0.56000000000000005</v>
      </c>
      <c r="AA112" s="144">
        <v>0.56000000000000005</v>
      </c>
      <c r="AB112" s="144">
        <v>0.56000000000000005</v>
      </c>
      <c r="AC112" s="144">
        <v>0.56000000000000005</v>
      </c>
      <c r="AD112" s="144">
        <v>0.56000000000000005</v>
      </c>
      <c r="AE112" s="144">
        <v>0.56000000000000005</v>
      </c>
      <c r="AF112" s="144">
        <v>0.56000000000000005</v>
      </c>
      <c r="AG112" s="144">
        <v>0.56000000000000005</v>
      </c>
      <c r="AH112" s="144">
        <v>0.56000000000000005</v>
      </c>
      <c r="AI112" s="144">
        <v>0.56000000000000005</v>
      </c>
      <c r="AJ112" s="144">
        <v>0.56000000000000005</v>
      </c>
      <c r="AK112" s="259">
        <v>0.56000000000000005</v>
      </c>
      <c r="AL112" s="105">
        <v>0</v>
      </c>
      <c r="AM112" s="118">
        <f t="shared" si="14"/>
        <v>0</v>
      </c>
      <c r="AN112" s="105">
        <v>0</v>
      </c>
      <c r="AO112" s="118">
        <f t="shared" si="2"/>
        <v>0</v>
      </c>
      <c r="AP112" s="105">
        <v>0</v>
      </c>
      <c r="AQ112" s="127">
        <f t="shared" si="3"/>
        <v>0</v>
      </c>
      <c r="AR112" s="5">
        <v>0</v>
      </c>
      <c r="AS112" s="118">
        <f t="shared" si="15"/>
        <v>0</v>
      </c>
      <c r="AT112" s="105">
        <v>0</v>
      </c>
      <c r="AU112" s="118">
        <f t="shared" si="16"/>
        <v>0</v>
      </c>
      <c r="AV112" s="105">
        <v>0</v>
      </c>
      <c r="AW112" s="127">
        <f t="shared" si="17"/>
        <v>0</v>
      </c>
      <c r="AX112" s="105">
        <v>0</v>
      </c>
      <c r="AY112" s="118">
        <f t="shared" si="18"/>
        <v>0</v>
      </c>
      <c r="AZ112" s="105">
        <v>0</v>
      </c>
      <c r="BA112" s="118">
        <f t="shared" si="19"/>
        <v>0</v>
      </c>
      <c r="BB112" s="5">
        <v>0</v>
      </c>
      <c r="BC112" s="127">
        <f t="shared" si="20"/>
        <v>0</v>
      </c>
      <c r="BD112" s="105">
        <v>0</v>
      </c>
      <c r="BE112" s="118">
        <f t="shared" si="21"/>
        <v>0</v>
      </c>
      <c r="BF112" s="5">
        <v>0</v>
      </c>
      <c r="BG112" s="118">
        <f t="shared" si="22"/>
        <v>0</v>
      </c>
      <c r="BH112" s="5">
        <v>0</v>
      </c>
      <c r="BI112" s="127">
        <f t="shared" si="23"/>
        <v>0</v>
      </c>
      <c r="BJ112" s="220" t="s">
        <v>581</v>
      </c>
      <c r="BL112" s="1" t="s">
        <v>570</v>
      </c>
      <c r="BM112" s="233" t="s">
        <v>600</v>
      </c>
      <c r="BN112" s="233"/>
      <c r="BO112" s="234"/>
    </row>
    <row r="113" spans="1:67">
      <c r="A113" s="219" t="s">
        <v>823</v>
      </c>
      <c r="B113" s="106" t="s">
        <v>244</v>
      </c>
      <c r="C113" s="66" t="s">
        <v>175</v>
      </c>
      <c r="D113" s="284"/>
      <c r="E113" s="77" t="s">
        <v>253</v>
      </c>
      <c r="F113" s="282"/>
      <c r="G113" s="71" t="s">
        <v>202</v>
      </c>
      <c r="H113" s="70" t="s">
        <v>580</v>
      </c>
      <c r="I113" s="70" t="s">
        <v>180</v>
      </c>
      <c r="J113" s="71" t="s">
        <v>567</v>
      </c>
      <c r="K113" s="70" t="s">
        <v>250</v>
      </c>
      <c r="L113" s="69" t="s">
        <v>257</v>
      </c>
      <c r="M113" s="180" t="s">
        <v>568</v>
      </c>
      <c r="N113" s="144">
        <v>13.63</v>
      </c>
      <c r="O113" s="144">
        <v>13.63</v>
      </c>
      <c r="P113" s="144">
        <v>13.63</v>
      </c>
      <c r="Q113" s="144">
        <v>13.63</v>
      </c>
      <c r="R113" s="144">
        <v>13.63</v>
      </c>
      <c r="S113" s="144">
        <v>13.63</v>
      </c>
      <c r="T113" s="144">
        <v>13.63</v>
      </c>
      <c r="U113" s="144">
        <v>13.63</v>
      </c>
      <c r="V113" s="144">
        <v>13.63</v>
      </c>
      <c r="W113" s="144">
        <v>13.63</v>
      </c>
      <c r="X113" s="144">
        <v>13.63</v>
      </c>
      <c r="Y113" s="259">
        <v>13.63</v>
      </c>
      <c r="Z113" s="144">
        <v>0.56000000000000005</v>
      </c>
      <c r="AA113" s="144">
        <v>0.56000000000000005</v>
      </c>
      <c r="AB113" s="144">
        <v>0.56000000000000005</v>
      </c>
      <c r="AC113" s="144">
        <v>0.56000000000000005</v>
      </c>
      <c r="AD113" s="144">
        <v>0.56000000000000005</v>
      </c>
      <c r="AE113" s="144">
        <v>0.56000000000000005</v>
      </c>
      <c r="AF113" s="144">
        <v>0.56000000000000005</v>
      </c>
      <c r="AG113" s="144">
        <v>0.56000000000000005</v>
      </c>
      <c r="AH113" s="144">
        <v>0.56000000000000005</v>
      </c>
      <c r="AI113" s="144">
        <v>0.56000000000000005</v>
      </c>
      <c r="AJ113" s="144">
        <v>0.56000000000000005</v>
      </c>
      <c r="AK113" s="259">
        <v>0.56000000000000005</v>
      </c>
      <c r="AL113" s="105">
        <v>0</v>
      </c>
      <c r="AM113" s="118">
        <f t="shared" si="14"/>
        <v>0</v>
      </c>
      <c r="AN113" s="105">
        <v>0</v>
      </c>
      <c r="AO113" s="118">
        <f t="shared" si="2"/>
        <v>0</v>
      </c>
      <c r="AP113" s="105">
        <v>0</v>
      </c>
      <c r="AQ113" s="127">
        <f t="shared" si="3"/>
        <v>0</v>
      </c>
      <c r="AR113" s="5">
        <v>0</v>
      </c>
      <c r="AS113" s="118">
        <f t="shared" si="15"/>
        <v>0</v>
      </c>
      <c r="AT113" s="105">
        <v>0</v>
      </c>
      <c r="AU113" s="118">
        <f t="shared" si="16"/>
        <v>0</v>
      </c>
      <c r="AV113" s="105">
        <v>0</v>
      </c>
      <c r="AW113" s="127">
        <f t="shared" si="17"/>
        <v>0</v>
      </c>
      <c r="AX113" s="105">
        <v>0</v>
      </c>
      <c r="AY113" s="118">
        <f t="shared" si="18"/>
        <v>0</v>
      </c>
      <c r="AZ113" s="105">
        <v>0</v>
      </c>
      <c r="BA113" s="118">
        <f t="shared" si="19"/>
        <v>0</v>
      </c>
      <c r="BB113" s="5">
        <v>0</v>
      </c>
      <c r="BC113" s="127">
        <f t="shared" si="20"/>
        <v>0</v>
      </c>
      <c r="BD113" s="105">
        <v>0</v>
      </c>
      <c r="BE113" s="118">
        <f t="shared" si="21"/>
        <v>0</v>
      </c>
      <c r="BF113" s="5">
        <v>0</v>
      </c>
      <c r="BG113" s="118">
        <f t="shared" si="22"/>
        <v>0</v>
      </c>
      <c r="BH113" s="5">
        <v>0</v>
      </c>
      <c r="BI113" s="127">
        <f t="shared" si="23"/>
        <v>0</v>
      </c>
      <c r="BJ113" s="220" t="s">
        <v>581</v>
      </c>
      <c r="BL113" s="1" t="s">
        <v>570</v>
      </c>
      <c r="BM113" s="233" t="s">
        <v>601</v>
      </c>
      <c r="BN113" s="233"/>
      <c r="BO113" s="234"/>
    </row>
    <row r="114" spans="1:67">
      <c r="A114" s="219" t="s">
        <v>823</v>
      </c>
      <c r="B114" s="106" t="s">
        <v>244</v>
      </c>
      <c r="C114" s="66" t="s">
        <v>175</v>
      </c>
      <c r="D114" s="284"/>
      <c r="E114" s="77" t="s">
        <v>253</v>
      </c>
      <c r="F114" s="282"/>
      <c r="G114" s="71" t="s">
        <v>202</v>
      </c>
      <c r="H114" s="70" t="s">
        <v>580</v>
      </c>
      <c r="I114" s="70" t="s">
        <v>180</v>
      </c>
      <c r="J114" s="71" t="s">
        <v>567</v>
      </c>
      <c r="K114" s="70" t="s">
        <v>250</v>
      </c>
      <c r="L114" s="69" t="s">
        <v>257</v>
      </c>
      <c r="M114" s="180" t="s">
        <v>568</v>
      </c>
      <c r="N114" s="144">
        <v>13.63</v>
      </c>
      <c r="O114" s="144">
        <v>13.63</v>
      </c>
      <c r="P114" s="144">
        <v>13.63</v>
      </c>
      <c r="Q114" s="144">
        <v>13.63</v>
      </c>
      <c r="R114" s="144">
        <v>13.63</v>
      </c>
      <c r="S114" s="144">
        <v>13.63</v>
      </c>
      <c r="T114" s="144">
        <v>13.63</v>
      </c>
      <c r="U114" s="144">
        <v>13.63</v>
      </c>
      <c r="V114" s="144">
        <v>13.63</v>
      </c>
      <c r="W114" s="144">
        <v>13.63</v>
      </c>
      <c r="X114" s="144">
        <v>13.63</v>
      </c>
      <c r="Y114" s="259">
        <v>13.63</v>
      </c>
      <c r="Z114" s="144">
        <v>0.56000000000000005</v>
      </c>
      <c r="AA114" s="144">
        <v>0.56000000000000005</v>
      </c>
      <c r="AB114" s="144">
        <v>0.56000000000000005</v>
      </c>
      <c r="AC114" s="144">
        <v>0.56000000000000005</v>
      </c>
      <c r="AD114" s="144">
        <v>0.56000000000000005</v>
      </c>
      <c r="AE114" s="144">
        <v>0.56000000000000005</v>
      </c>
      <c r="AF114" s="144">
        <v>0.56000000000000005</v>
      </c>
      <c r="AG114" s="144">
        <v>0.56000000000000005</v>
      </c>
      <c r="AH114" s="144">
        <v>0.56000000000000005</v>
      </c>
      <c r="AI114" s="144">
        <v>0.56000000000000005</v>
      </c>
      <c r="AJ114" s="144">
        <v>0.56000000000000005</v>
      </c>
      <c r="AK114" s="259">
        <v>0.56000000000000005</v>
      </c>
      <c r="AL114" s="105">
        <v>0</v>
      </c>
      <c r="AM114" s="118">
        <f t="shared" si="14"/>
        <v>0</v>
      </c>
      <c r="AN114" s="105">
        <v>0</v>
      </c>
      <c r="AO114" s="118">
        <f t="shared" si="2"/>
        <v>0</v>
      </c>
      <c r="AP114" s="105">
        <v>0</v>
      </c>
      <c r="AQ114" s="127">
        <f t="shared" si="3"/>
        <v>0</v>
      </c>
      <c r="AR114" s="5">
        <v>0</v>
      </c>
      <c r="AS114" s="118">
        <f t="shared" si="15"/>
        <v>0</v>
      </c>
      <c r="AT114" s="105">
        <v>0</v>
      </c>
      <c r="AU114" s="118">
        <f t="shared" si="16"/>
        <v>0</v>
      </c>
      <c r="AV114" s="105">
        <v>0</v>
      </c>
      <c r="AW114" s="127">
        <f t="shared" si="17"/>
        <v>0</v>
      </c>
      <c r="AX114" s="105">
        <v>0</v>
      </c>
      <c r="AY114" s="118">
        <f t="shared" si="18"/>
        <v>0</v>
      </c>
      <c r="AZ114" s="105">
        <v>0</v>
      </c>
      <c r="BA114" s="118">
        <f t="shared" si="19"/>
        <v>0</v>
      </c>
      <c r="BB114" s="5">
        <v>0</v>
      </c>
      <c r="BC114" s="127">
        <f t="shared" si="20"/>
        <v>0</v>
      </c>
      <c r="BD114" s="105">
        <v>0</v>
      </c>
      <c r="BE114" s="118">
        <f t="shared" si="21"/>
        <v>0</v>
      </c>
      <c r="BF114" s="5">
        <v>0</v>
      </c>
      <c r="BG114" s="118">
        <f t="shared" si="22"/>
        <v>0</v>
      </c>
      <c r="BH114" s="5">
        <v>0</v>
      </c>
      <c r="BI114" s="127">
        <f t="shared" si="23"/>
        <v>0</v>
      </c>
      <c r="BJ114" s="220" t="s">
        <v>581</v>
      </c>
      <c r="BL114" s="1" t="s">
        <v>570</v>
      </c>
      <c r="BM114" s="233" t="s">
        <v>602</v>
      </c>
      <c r="BN114" s="233"/>
      <c r="BO114" s="234"/>
    </row>
    <row r="115" spans="1:67">
      <c r="A115" s="219" t="s">
        <v>823</v>
      </c>
      <c r="B115" s="106" t="s">
        <v>244</v>
      </c>
      <c r="C115" s="66" t="s">
        <v>175</v>
      </c>
      <c r="D115" s="284"/>
      <c r="E115" s="77" t="s">
        <v>253</v>
      </c>
      <c r="F115" s="282"/>
      <c r="G115" s="71" t="s">
        <v>202</v>
      </c>
      <c r="H115" s="70" t="s">
        <v>580</v>
      </c>
      <c r="I115" s="70" t="s">
        <v>180</v>
      </c>
      <c r="J115" s="71" t="s">
        <v>567</v>
      </c>
      <c r="K115" s="70" t="s">
        <v>250</v>
      </c>
      <c r="L115" s="69" t="s">
        <v>257</v>
      </c>
      <c r="M115" s="180" t="s">
        <v>577</v>
      </c>
      <c r="N115" s="144">
        <v>13.63</v>
      </c>
      <c r="O115" s="144">
        <v>13.63</v>
      </c>
      <c r="P115" s="144">
        <v>13.63</v>
      </c>
      <c r="Q115" s="144">
        <v>13.63</v>
      </c>
      <c r="R115" s="144">
        <v>13.63</v>
      </c>
      <c r="S115" s="144">
        <v>13.63</v>
      </c>
      <c r="T115" s="144">
        <v>13.63</v>
      </c>
      <c r="U115" s="144">
        <v>13.63</v>
      </c>
      <c r="V115" s="144">
        <v>13.63</v>
      </c>
      <c r="W115" s="144">
        <v>13.63</v>
      </c>
      <c r="X115" s="144">
        <v>13.63</v>
      </c>
      <c r="Y115" s="259">
        <v>13.63</v>
      </c>
      <c r="Z115" s="144">
        <v>0.56000000000000005</v>
      </c>
      <c r="AA115" s="144">
        <v>0.56000000000000005</v>
      </c>
      <c r="AB115" s="144">
        <v>0.56000000000000005</v>
      </c>
      <c r="AC115" s="144">
        <v>0.56000000000000005</v>
      </c>
      <c r="AD115" s="144">
        <v>0.56000000000000005</v>
      </c>
      <c r="AE115" s="144">
        <v>0.56000000000000005</v>
      </c>
      <c r="AF115" s="144">
        <v>0.56000000000000005</v>
      </c>
      <c r="AG115" s="144">
        <v>0.56000000000000005</v>
      </c>
      <c r="AH115" s="144">
        <v>0.56000000000000005</v>
      </c>
      <c r="AI115" s="144">
        <v>0.56000000000000005</v>
      </c>
      <c r="AJ115" s="144">
        <v>0.56000000000000005</v>
      </c>
      <c r="AK115" s="259">
        <v>0.56000000000000005</v>
      </c>
      <c r="AL115" s="105">
        <v>0</v>
      </c>
      <c r="AM115" s="118">
        <f t="shared" si="14"/>
        <v>0</v>
      </c>
      <c r="AN115" s="105">
        <v>0</v>
      </c>
      <c r="AO115" s="118">
        <f t="shared" si="2"/>
        <v>0</v>
      </c>
      <c r="AP115" s="105">
        <v>0</v>
      </c>
      <c r="AQ115" s="127">
        <f t="shared" si="3"/>
        <v>0</v>
      </c>
      <c r="AR115" s="5">
        <v>0</v>
      </c>
      <c r="AS115" s="118">
        <f t="shared" si="15"/>
        <v>0</v>
      </c>
      <c r="AT115" s="105">
        <v>0</v>
      </c>
      <c r="AU115" s="118">
        <f t="shared" si="16"/>
        <v>0</v>
      </c>
      <c r="AV115" s="105">
        <v>0</v>
      </c>
      <c r="AW115" s="127">
        <f t="shared" si="17"/>
        <v>0</v>
      </c>
      <c r="AX115" s="105">
        <v>0</v>
      </c>
      <c r="AY115" s="118">
        <f t="shared" si="18"/>
        <v>0</v>
      </c>
      <c r="AZ115" s="105">
        <v>0</v>
      </c>
      <c r="BA115" s="118">
        <f t="shared" si="19"/>
        <v>0</v>
      </c>
      <c r="BB115" s="5">
        <v>0</v>
      </c>
      <c r="BC115" s="127">
        <f t="shared" si="20"/>
        <v>0</v>
      </c>
      <c r="BD115" s="105">
        <v>0</v>
      </c>
      <c r="BE115" s="118">
        <f t="shared" si="21"/>
        <v>0</v>
      </c>
      <c r="BF115" s="5">
        <v>0</v>
      </c>
      <c r="BG115" s="118">
        <f t="shared" si="22"/>
        <v>0</v>
      </c>
      <c r="BH115" s="5">
        <v>0</v>
      </c>
      <c r="BI115" s="127">
        <f t="shared" si="23"/>
        <v>0</v>
      </c>
      <c r="BJ115" s="220" t="s">
        <v>581</v>
      </c>
      <c r="BL115" s="1" t="s">
        <v>570</v>
      </c>
      <c r="BM115" s="233" t="s">
        <v>603</v>
      </c>
      <c r="BN115" s="233"/>
      <c r="BO115" s="234"/>
    </row>
    <row r="116" spans="1:67">
      <c r="A116" s="219" t="s">
        <v>823</v>
      </c>
      <c r="B116" s="106" t="s">
        <v>244</v>
      </c>
      <c r="C116" s="66" t="s">
        <v>175</v>
      </c>
      <c r="D116" s="284"/>
      <c r="E116" s="77" t="s">
        <v>253</v>
      </c>
      <c r="F116" s="282"/>
      <c r="G116" s="71" t="s">
        <v>202</v>
      </c>
      <c r="H116" s="70" t="s">
        <v>604</v>
      </c>
      <c r="I116" s="70" t="s">
        <v>180</v>
      </c>
      <c r="J116" s="71" t="s">
        <v>605</v>
      </c>
      <c r="K116" s="70" t="s">
        <v>250</v>
      </c>
      <c r="L116" s="69" t="s">
        <v>257</v>
      </c>
      <c r="M116" s="180" t="s">
        <v>568</v>
      </c>
      <c r="N116" s="144">
        <v>12.97</v>
      </c>
      <c r="O116" s="144">
        <v>12.97</v>
      </c>
      <c r="P116" s="144">
        <v>12.97</v>
      </c>
      <c r="Q116" s="144">
        <v>12.97</v>
      </c>
      <c r="R116" s="144">
        <v>12.97</v>
      </c>
      <c r="S116" s="144">
        <v>12.97</v>
      </c>
      <c r="T116" s="144">
        <v>12.97</v>
      </c>
      <c r="U116" s="144">
        <v>12.97</v>
      </c>
      <c r="V116" s="144">
        <v>12.97</v>
      </c>
      <c r="W116" s="144">
        <v>12.97</v>
      </c>
      <c r="X116" s="144">
        <v>12.97</v>
      </c>
      <c r="Y116" s="259">
        <v>12.97</v>
      </c>
      <c r="Z116" s="144">
        <v>0.46</v>
      </c>
      <c r="AA116" s="144">
        <v>0.46</v>
      </c>
      <c r="AB116" s="144">
        <v>0.46</v>
      </c>
      <c r="AC116" s="144">
        <v>0.46</v>
      </c>
      <c r="AD116" s="144">
        <v>0.46</v>
      </c>
      <c r="AE116" s="144">
        <v>0.46</v>
      </c>
      <c r="AF116" s="144">
        <v>0.46</v>
      </c>
      <c r="AG116" s="144">
        <v>0.46</v>
      </c>
      <c r="AH116" s="144">
        <v>0.46</v>
      </c>
      <c r="AI116" s="144">
        <v>0.46</v>
      </c>
      <c r="AJ116" s="144">
        <v>0.46</v>
      </c>
      <c r="AK116" s="259">
        <v>0.46</v>
      </c>
      <c r="AL116" s="105">
        <v>0</v>
      </c>
      <c r="AM116" s="118">
        <f t="shared" si="14"/>
        <v>0</v>
      </c>
      <c r="AN116" s="105">
        <v>0</v>
      </c>
      <c r="AO116" s="118">
        <f t="shared" si="2"/>
        <v>0</v>
      </c>
      <c r="AP116" s="105">
        <v>0</v>
      </c>
      <c r="AQ116" s="127">
        <f t="shared" si="3"/>
        <v>0</v>
      </c>
      <c r="AR116" s="5">
        <v>0</v>
      </c>
      <c r="AS116" s="118">
        <f t="shared" si="15"/>
        <v>0</v>
      </c>
      <c r="AT116" s="105">
        <v>0</v>
      </c>
      <c r="AU116" s="118">
        <f t="shared" si="16"/>
        <v>0</v>
      </c>
      <c r="AV116" s="105">
        <v>0</v>
      </c>
      <c r="AW116" s="127">
        <f t="shared" si="17"/>
        <v>0</v>
      </c>
      <c r="AX116" s="105">
        <v>0</v>
      </c>
      <c r="AY116" s="118">
        <f t="shared" si="18"/>
        <v>0</v>
      </c>
      <c r="AZ116" s="105">
        <v>500</v>
      </c>
      <c r="BA116" s="118">
        <f t="shared" si="19"/>
        <v>230</v>
      </c>
      <c r="BB116" s="5">
        <v>0</v>
      </c>
      <c r="BC116" s="127">
        <f t="shared" si="20"/>
        <v>0</v>
      </c>
      <c r="BD116" s="105">
        <v>0</v>
      </c>
      <c r="BE116" s="118">
        <f t="shared" si="21"/>
        <v>0</v>
      </c>
      <c r="BF116" s="5">
        <v>0</v>
      </c>
      <c r="BG116" s="118">
        <f t="shared" si="22"/>
        <v>0</v>
      </c>
      <c r="BH116" s="5">
        <v>0</v>
      </c>
      <c r="BI116" s="127">
        <f t="shared" si="23"/>
        <v>0</v>
      </c>
      <c r="BJ116" s="220" t="s">
        <v>606</v>
      </c>
      <c r="BL116" s="1" t="s">
        <v>573</v>
      </c>
      <c r="BM116" s="233" t="s">
        <v>607</v>
      </c>
      <c r="BN116" s="233"/>
      <c r="BO116" s="234"/>
    </row>
    <row r="117" spans="1:67">
      <c r="A117" s="219" t="s">
        <v>823</v>
      </c>
      <c r="B117" s="106" t="s">
        <v>244</v>
      </c>
      <c r="C117" s="66" t="s">
        <v>175</v>
      </c>
      <c r="D117" s="284"/>
      <c r="E117" s="77" t="s">
        <v>253</v>
      </c>
      <c r="F117" s="282"/>
      <c r="G117" s="71" t="s">
        <v>202</v>
      </c>
      <c r="H117" s="70" t="s">
        <v>604</v>
      </c>
      <c r="I117" s="70" t="s">
        <v>180</v>
      </c>
      <c r="J117" s="71" t="s">
        <v>605</v>
      </c>
      <c r="K117" s="70" t="s">
        <v>250</v>
      </c>
      <c r="L117" s="69" t="s">
        <v>257</v>
      </c>
      <c r="M117" s="180" t="s">
        <v>608</v>
      </c>
      <c r="N117" s="144">
        <v>12.97</v>
      </c>
      <c r="O117" s="144">
        <v>12.97</v>
      </c>
      <c r="P117" s="144">
        <v>12.97</v>
      </c>
      <c r="Q117" s="144">
        <v>12.97</v>
      </c>
      <c r="R117" s="144">
        <v>12.97</v>
      </c>
      <c r="S117" s="144">
        <v>12.97</v>
      </c>
      <c r="T117" s="144">
        <v>12.97</v>
      </c>
      <c r="U117" s="144">
        <v>12.97</v>
      </c>
      <c r="V117" s="144">
        <v>12.97</v>
      </c>
      <c r="W117" s="144">
        <v>12.97</v>
      </c>
      <c r="X117" s="144">
        <v>12.97</v>
      </c>
      <c r="Y117" s="259">
        <v>12.97</v>
      </c>
      <c r="Z117" s="144">
        <v>0.46</v>
      </c>
      <c r="AA117" s="144">
        <v>0.46</v>
      </c>
      <c r="AB117" s="144">
        <v>0.46</v>
      </c>
      <c r="AC117" s="144">
        <v>0.46</v>
      </c>
      <c r="AD117" s="144">
        <v>0.46</v>
      </c>
      <c r="AE117" s="144">
        <v>0.46</v>
      </c>
      <c r="AF117" s="144">
        <v>0.46</v>
      </c>
      <c r="AG117" s="144">
        <v>0.46</v>
      </c>
      <c r="AH117" s="144">
        <v>0.46</v>
      </c>
      <c r="AI117" s="144">
        <v>0.46</v>
      </c>
      <c r="AJ117" s="144">
        <v>0.46</v>
      </c>
      <c r="AK117" s="259">
        <v>0.46</v>
      </c>
      <c r="AL117" s="105">
        <v>0</v>
      </c>
      <c r="AM117" s="118">
        <f t="shared" si="14"/>
        <v>0</v>
      </c>
      <c r="AN117" s="105">
        <v>1000</v>
      </c>
      <c r="AO117" s="118">
        <f t="shared" si="2"/>
        <v>460</v>
      </c>
      <c r="AP117" s="105">
        <v>0</v>
      </c>
      <c r="AQ117" s="127">
        <f t="shared" si="3"/>
        <v>0</v>
      </c>
      <c r="AR117" s="5">
        <v>0</v>
      </c>
      <c r="AS117" s="118">
        <f t="shared" si="15"/>
        <v>0</v>
      </c>
      <c r="AT117" s="105">
        <v>1000</v>
      </c>
      <c r="AU117" s="118">
        <f t="shared" si="16"/>
        <v>460</v>
      </c>
      <c r="AV117" s="105">
        <v>0</v>
      </c>
      <c r="AW117" s="127">
        <f t="shared" si="17"/>
        <v>0</v>
      </c>
      <c r="AX117" s="105">
        <v>500</v>
      </c>
      <c r="AY117" s="118">
        <f t="shared" si="18"/>
        <v>230</v>
      </c>
      <c r="AZ117" s="105">
        <v>0</v>
      </c>
      <c r="BA117" s="118">
        <f t="shared" si="19"/>
        <v>0</v>
      </c>
      <c r="BB117" s="5">
        <v>0</v>
      </c>
      <c r="BC117" s="127">
        <f t="shared" si="20"/>
        <v>0</v>
      </c>
      <c r="BD117" s="105">
        <v>500</v>
      </c>
      <c r="BE117" s="118">
        <f t="shared" si="21"/>
        <v>230</v>
      </c>
      <c r="BF117" s="5">
        <v>500</v>
      </c>
      <c r="BG117" s="118">
        <f t="shared" si="22"/>
        <v>230</v>
      </c>
      <c r="BH117" s="5">
        <v>500</v>
      </c>
      <c r="BI117" s="127">
        <f t="shared" si="23"/>
        <v>230</v>
      </c>
      <c r="BJ117" s="220" t="s">
        <v>606</v>
      </c>
      <c r="BL117" s="1" t="s">
        <v>578</v>
      </c>
      <c r="BM117" s="233" t="s">
        <v>609</v>
      </c>
      <c r="BN117" s="233"/>
      <c r="BO117" s="234"/>
    </row>
    <row r="118" spans="1:67">
      <c r="A118" s="219" t="s">
        <v>823</v>
      </c>
      <c r="B118" s="106" t="s">
        <v>244</v>
      </c>
      <c r="C118" s="66" t="s">
        <v>175</v>
      </c>
      <c r="D118" s="284"/>
      <c r="E118" s="77" t="s">
        <v>253</v>
      </c>
      <c r="F118" s="282"/>
      <c r="G118" s="71" t="s">
        <v>202</v>
      </c>
      <c r="H118" s="70" t="s">
        <v>604</v>
      </c>
      <c r="I118" s="70" t="s">
        <v>180</v>
      </c>
      <c r="J118" s="71" t="s">
        <v>605</v>
      </c>
      <c r="K118" s="70" t="s">
        <v>250</v>
      </c>
      <c r="L118" s="69" t="s">
        <v>257</v>
      </c>
      <c r="M118" s="180" t="s">
        <v>568</v>
      </c>
      <c r="N118" s="144">
        <v>12.97</v>
      </c>
      <c r="O118" s="144">
        <v>12.97</v>
      </c>
      <c r="P118" s="144">
        <v>12.97</v>
      </c>
      <c r="Q118" s="144">
        <v>12.97</v>
      </c>
      <c r="R118" s="144">
        <v>12.97</v>
      </c>
      <c r="S118" s="144">
        <v>12.97</v>
      </c>
      <c r="T118" s="144">
        <v>12.97</v>
      </c>
      <c r="U118" s="144">
        <v>12.97</v>
      </c>
      <c r="V118" s="144">
        <v>12.97</v>
      </c>
      <c r="W118" s="144">
        <v>12.97</v>
      </c>
      <c r="X118" s="144">
        <v>12.97</v>
      </c>
      <c r="Y118" s="259">
        <v>12.97</v>
      </c>
      <c r="Z118" s="144">
        <v>0.46</v>
      </c>
      <c r="AA118" s="144">
        <v>0.46</v>
      </c>
      <c r="AB118" s="144">
        <v>0.46</v>
      </c>
      <c r="AC118" s="144">
        <v>0.46</v>
      </c>
      <c r="AD118" s="144">
        <v>0.46</v>
      </c>
      <c r="AE118" s="144">
        <v>0.46</v>
      </c>
      <c r="AF118" s="144">
        <v>0.46</v>
      </c>
      <c r="AG118" s="144">
        <v>0.46</v>
      </c>
      <c r="AH118" s="144">
        <v>0.46</v>
      </c>
      <c r="AI118" s="144">
        <v>0.46</v>
      </c>
      <c r="AJ118" s="144">
        <v>0.46</v>
      </c>
      <c r="AK118" s="259">
        <v>0.46</v>
      </c>
      <c r="AL118" s="105">
        <v>0</v>
      </c>
      <c r="AM118" s="118">
        <f t="shared" si="14"/>
        <v>0</v>
      </c>
      <c r="AN118" s="105">
        <v>0</v>
      </c>
      <c r="AO118" s="118">
        <f t="shared" si="2"/>
        <v>0</v>
      </c>
      <c r="AP118" s="105">
        <v>0</v>
      </c>
      <c r="AQ118" s="127">
        <f t="shared" si="3"/>
        <v>0</v>
      </c>
      <c r="AR118" s="5">
        <v>0</v>
      </c>
      <c r="AS118" s="118">
        <f t="shared" si="15"/>
        <v>0</v>
      </c>
      <c r="AT118" s="105">
        <v>0</v>
      </c>
      <c r="AU118" s="118">
        <f t="shared" si="16"/>
        <v>0</v>
      </c>
      <c r="AV118" s="105">
        <v>0</v>
      </c>
      <c r="AW118" s="127">
        <f t="shared" si="17"/>
        <v>0</v>
      </c>
      <c r="AX118" s="105">
        <v>0</v>
      </c>
      <c r="AY118" s="118">
        <f t="shared" si="18"/>
        <v>0</v>
      </c>
      <c r="AZ118" s="105">
        <v>0</v>
      </c>
      <c r="BA118" s="118">
        <f t="shared" si="19"/>
        <v>0</v>
      </c>
      <c r="BB118" s="5">
        <v>0</v>
      </c>
      <c r="BC118" s="127">
        <f t="shared" si="20"/>
        <v>0</v>
      </c>
      <c r="BD118" s="105">
        <v>200</v>
      </c>
      <c r="BE118" s="118">
        <f t="shared" si="21"/>
        <v>92</v>
      </c>
      <c r="BF118" s="5">
        <v>200</v>
      </c>
      <c r="BG118" s="118">
        <f t="shared" si="22"/>
        <v>92</v>
      </c>
      <c r="BH118" s="5">
        <v>200</v>
      </c>
      <c r="BI118" s="127">
        <f t="shared" si="23"/>
        <v>92</v>
      </c>
      <c r="BJ118" s="220" t="s">
        <v>606</v>
      </c>
      <c r="BL118" s="1" t="s">
        <v>570</v>
      </c>
      <c r="BM118" s="233" t="s">
        <v>610</v>
      </c>
      <c r="BN118" s="233"/>
      <c r="BO118" s="234"/>
    </row>
    <row r="119" spans="1:67">
      <c r="A119" s="219" t="s">
        <v>823</v>
      </c>
      <c r="B119" s="106" t="s">
        <v>244</v>
      </c>
      <c r="C119" s="66" t="s">
        <v>175</v>
      </c>
      <c r="D119" s="284"/>
      <c r="E119" s="77" t="s">
        <v>253</v>
      </c>
      <c r="F119" s="282"/>
      <c r="G119" s="71" t="s">
        <v>202</v>
      </c>
      <c r="H119" s="70" t="s">
        <v>611</v>
      </c>
      <c r="I119" s="70" t="s">
        <v>180</v>
      </c>
      <c r="J119" s="71" t="s">
        <v>605</v>
      </c>
      <c r="K119" s="70" t="s">
        <v>250</v>
      </c>
      <c r="L119" s="69" t="s">
        <v>257</v>
      </c>
      <c r="M119" s="180" t="s">
        <v>568</v>
      </c>
      <c r="N119" s="144">
        <v>12.97</v>
      </c>
      <c r="O119" s="144">
        <v>12.97</v>
      </c>
      <c r="P119" s="144">
        <v>12.97</v>
      </c>
      <c r="Q119" s="144">
        <v>12.97</v>
      </c>
      <c r="R119" s="144">
        <v>12.97</v>
      </c>
      <c r="S119" s="144">
        <v>12.97</v>
      </c>
      <c r="T119" s="144">
        <v>12.97</v>
      </c>
      <c r="U119" s="144">
        <v>12.97</v>
      </c>
      <c r="V119" s="144">
        <v>12.97</v>
      </c>
      <c r="W119" s="144">
        <v>12.97</v>
      </c>
      <c r="X119" s="144">
        <v>12.97</v>
      </c>
      <c r="Y119" s="259">
        <v>12.97</v>
      </c>
      <c r="Z119" s="144">
        <v>0.46</v>
      </c>
      <c r="AA119" s="144">
        <v>0.46</v>
      </c>
      <c r="AB119" s="144">
        <v>0.46</v>
      </c>
      <c r="AC119" s="144">
        <v>0.46</v>
      </c>
      <c r="AD119" s="144">
        <v>0.46</v>
      </c>
      <c r="AE119" s="144">
        <v>0.46</v>
      </c>
      <c r="AF119" s="144">
        <v>0.46</v>
      </c>
      <c r="AG119" s="144">
        <v>0.46</v>
      </c>
      <c r="AH119" s="144">
        <v>0.46</v>
      </c>
      <c r="AI119" s="144">
        <v>0.46</v>
      </c>
      <c r="AJ119" s="144">
        <v>0.46</v>
      </c>
      <c r="AK119" s="259">
        <v>0.46</v>
      </c>
      <c r="AL119" s="105">
        <v>0</v>
      </c>
      <c r="AM119" s="118">
        <f t="shared" si="14"/>
        <v>0</v>
      </c>
      <c r="AN119" s="105">
        <v>0</v>
      </c>
      <c r="AO119" s="118">
        <f t="shared" si="2"/>
        <v>0</v>
      </c>
      <c r="AP119" s="105">
        <v>0</v>
      </c>
      <c r="AQ119" s="127">
        <f t="shared" si="3"/>
        <v>0</v>
      </c>
      <c r="AR119" s="5">
        <v>0</v>
      </c>
      <c r="AS119" s="118">
        <f t="shared" si="15"/>
        <v>0</v>
      </c>
      <c r="AT119" s="105">
        <v>0</v>
      </c>
      <c r="AU119" s="118">
        <f t="shared" si="16"/>
        <v>0</v>
      </c>
      <c r="AV119" s="105">
        <v>0</v>
      </c>
      <c r="AW119" s="127">
        <f t="shared" si="17"/>
        <v>0</v>
      </c>
      <c r="AX119" s="105">
        <v>0</v>
      </c>
      <c r="AY119" s="118">
        <f t="shared" si="18"/>
        <v>0</v>
      </c>
      <c r="AZ119" s="105">
        <v>0</v>
      </c>
      <c r="BA119" s="118">
        <f t="shared" si="19"/>
        <v>0</v>
      </c>
      <c r="BB119" s="5">
        <v>0</v>
      </c>
      <c r="BC119" s="127">
        <f t="shared" si="20"/>
        <v>0</v>
      </c>
      <c r="BD119" s="105">
        <v>0</v>
      </c>
      <c r="BE119" s="118">
        <f t="shared" si="21"/>
        <v>0</v>
      </c>
      <c r="BF119" s="5">
        <v>0</v>
      </c>
      <c r="BG119" s="118">
        <f t="shared" si="22"/>
        <v>0</v>
      </c>
      <c r="BH119" s="5">
        <v>0</v>
      </c>
      <c r="BI119" s="127">
        <f t="shared" si="23"/>
        <v>0</v>
      </c>
      <c r="BJ119" s="220" t="s">
        <v>606</v>
      </c>
      <c r="BL119" s="1" t="s">
        <v>573</v>
      </c>
      <c r="BM119" s="233" t="s">
        <v>612</v>
      </c>
      <c r="BN119" s="233"/>
      <c r="BO119" s="234"/>
    </row>
    <row r="120" spans="1:67">
      <c r="A120" s="219" t="s">
        <v>823</v>
      </c>
      <c r="B120" s="106" t="s">
        <v>244</v>
      </c>
      <c r="C120" s="66" t="s">
        <v>175</v>
      </c>
      <c r="D120" s="284"/>
      <c r="E120" s="77" t="s">
        <v>253</v>
      </c>
      <c r="F120" s="282"/>
      <c r="G120" s="71" t="s">
        <v>202</v>
      </c>
      <c r="H120" s="70" t="s">
        <v>611</v>
      </c>
      <c r="I120" s="70" t="s">
        <v>180</v>
      </c>
      <c r="J120" s="71" t="s">
        <v>605</v>
      </c>
      <c r="K120" s="70" t="s">
        <v>250</v>
      </c>
      <c r="L120" s="69" t="s">
        <v>257</v>
      </c>
      <c r="M120" s="180" t="s">
        <v>608</v>
      </c>
      <c r="N120" s="144">
        <v>12.97</v>
      </c>
      <c r="O120" s="144">
        <v>12.97</v>
      </c>
      <c r="P120" s="144">
        <v>12.97</v>
      </c>
      <c r="Q120" s="144">
        <v>12.97</v>
      </c>
      <c r="R120" s="144">
        <v>12.97</v>
      </c>
      <c r="S120" s="144">
        <v>12.97</v>
      </c>
      <c r="T120" s="144">
        <v>12.97</v>
      </c>
      <c r="U120" s="144">
        <v>12.97</v>
      </c>
      <c r="V120" s="144">
        <v>12.97</v>
      </c>
      <c r="W120" s="144">
        <v>12.97</v>
      </c>
      <c r="X120" s="144">
        <v>12.97</v>
      </c>
      <c r="Y120" s="259">
        <v>12.97</v>
      </c>
      <c r="Z120" s="144">
        <v>0.46</v>
      </c>
      <c r="AA120" s="144">
        <v>0.46</v>
      </c>
      <c r="AB120" s="144">
        <v>0.46</v>
      </c>
      <c r="AC120" s="144">
        <v>0.46</v>
      </c>
      <c r="AD120" s="144">
        <v>0.46</v>
      </c>
      <c r="AE120" s="144">
        <v>0.46</v>
      </c>
      <c r="AF120" s="144">
        <v>0.46</v>
      </c>
      <c r="AG120" s="144">
        <v>0.46</v>
      </c>
      <c r="AH120" s="144">
        <v>0.46</v>
      </c>
      <c r="AI120" s="144">
        <v>0.46</v>
      </c>
      <c r="AJ120" s="144">
        <v>0.46</v>
      </c>
      <c r="AK120" s="259">
        <v>0.46</v>
      </c>
      <c r="AL120" s="105">
        <v>0</v>
      </c>
      <c r="AM120" s="118">
        <f t="shared" si="14"/>
        <v>0</v>
      </c>
      <c r="AN120" s="105">
        <v>1000</v>
      </c>
      <c r="AO120" s="118">
        <f t="shared" si="2"/>
        <v>460</v>
      </c>
      <c r="AP120" s="105">
        <v>0</v>
      </c>
      <c r="AQ120" s="127">
        <f t="shared" si="3"/>
        <v>0</v>
      </c>
      <c r="AR120" s="5">
        <v>0</v>
      </c>
      <c r="AS120" s="118">
        <f t="shared" si="15"/>
        <v>0</v>
      </c>
      <c r="AT120" s="105">
        <v>1000</v>
      </c>
      <c r="AU120" s="118">
        <f t="shared" si="16"/>
        <v>460</v>
      </c>
      <c r="AV120" s="105">
        <v>0</v>
      </c>
      <c r="AW120" s="127">
        <f t="shared" si="17"/>
        <v>0</v>
      </c>
      <c r="AX120" s="105">
        <v>0</v>
      </c>
      <c r="AY120" s="118">
        <f t="shared" si="18"/>
        <v>0</v>
      </c>
      <c r="AZ120" s="105">
        <v>500</v>
      </c>
      <c r="BA120" s="118">
        <f t="shared" si="19"/>
        <v>230</v>
      </c>
      <c r="BB120" s="5">
        <v>0</v>
      </c>
      <c r="BC120" s="127">
        <f t="shared" si="20"/>
        <v>0</v>
      </c>
      <c r="BD120" s="105">
        <v>0</v>
      </c>
      <c r="BE120" s="118">
        <f t="shared" si="21"/>
        <v>0</v>
      </c>
      <c r="BF120" s="5">
        <v>0</v>
      </c>
      <c r="BG120" s="118">
        <f t="shared" si="22"/>
        <v>0</v>
      </c>
      <c r="BH120" s="5">
        <v>0</v>
      </c>
      <c r="BI120" s="127">
        <f t="shared" si="23"/>
        <v>0</v>
      </c>
      <c r="BJ120" s="220" t="s">
        <v>606</v>
      </c>
      <c r="BL120" s="1" t="s">
        <v>570</v>
      </c>
      <c r="BM120" s="233" t="s">
        <v>613</v>
      </c>
      <c r="BN120" s="233"/>
      <c r="BO120" s="234"/>
    </row>
    <row r="121" spans="1:67">
      <c r="A121" s="219" t="s">
        <v>823</v>
      </c>
      <c r="B121" s="106" t="s">
        <v>244</v>
      </c>
      <c r="C121" s="66" t="s">
        <v>175</v>
      </c>
      <c r="D121" s="284"/>
      <c r="E121" s="77" t="s">
        <v>253</v>
      </c>
      <c r="F121" s="282"/>
      <c r="G121" s="71" t="s">
        <v>202</v>
      </c>
      <c r="H121" s="70" t="s">
        <v>611</v>
      </c>
      <c r="I121" s="70" t="s">
        <v>180</v>
      </c>
      <c r="J121" s="71" t="s">
        <v>605</v>
      </c>
      <c r="K121" s="70" t="s">
        <v>250</v>
      </c>
      <c r="L121" s="69" t="s">
        <v>257</v>
      </c>
      <c r="M121" s="180" t="s">
        <v>568</v>
      </c>
      <c r="N121" s="144">
        <v>12.97</v>
      </c>
      <c r="O121" s="144">
        <v>12.97</v>
      </c>
      <c r="P121" s="144">
        <v>12.97</v>
      </c>
      <c r="Q121" s="144">
        <v>12.97</v>
      </c>
      <c r="R121" s="144">
        <v>12.97</v>
      </c>
      <c r="S121" s="144">
        <v>12.97</v>
      </c>
      <c r="T121" s="144">
        <v>12.97</v>
      </c>
      <c r="U121" s="144">
        <v>12.97</v>
      </c>
      <c r="V121" s="144">
        <v>12.97</v>
      </c>
      <c r="W121" s="144">
        <v>12.97</v>
      </c>
      <c r="X121" s="144">
        <v>12.97</v>
      </c>
      <c r="Y121" s="259">
        <v>12.97</v>
      </c>
      <c r="Z121" s="144">
        <v>0.46</v>
      </c>
      <c r="AA121" s="144">
        <v>0.46</v>
      </c>
      <c r="AB121" s="144">
        <v>0.46</v>
      </c>
      <c r="AC121" s="144">
        <v>0.46</v>
      </c>
      <c r="AD121" s="144">
        <v>0.46</v>
      </c>
      <c r="AE121" s="144">
        <v>0.46</v>
      </c>
      <c r="AF121" s="144">
        <v>0.46</v>
      </c>
      <c r="AG121" s="144">
        <v>0.46</v>
      </c>
      <c r="AH121" s="144">
        <v>0.46</v>
      </c>
      <c r="AI121" s="144">
        <v>0.46</v>
      </c>
      <c r="AJ121" s="144">
        <v>0.46</v>
      </c>
      <c r="AK121" s="259">
        <v>0.46</v>
      </c>
      <c r="AL121" s="105">
        <v>0</v>
      </c>
      <c r="AM121" s="118">
        <f t="shared" si="14"/>
        <v>0</v>
      </c>
      <c r="AN121" s="105">
        <v>0</v>
      </c>
      <c r="AO121" s="118">
        <f t="shared" si="2"/>
        <v>0</v>
      </c>
      <c r="AP121" s="105">
        <v>0</v>
      </c>
      <c r="AQ121" s="127">
        <f t="shared" si="3"/>
        <v>0</v>
      </c>
      <c r="AR121" s="5">
        <v>0</v>
      </c>
      <c r="AS121" s="118">
        <f t="shared" si="15"/>
        <v>0</v>
      </c>
      <c r="AT121" s="105">
        <v>0</v>
      </c>
      <c r="AU121" s="118">
        <f t="shared" si="16"/>
        <v>0</v>
      </c>
      <c r="AV121" s="105">
        <v>0</v>
      </c>
      <c r="AW121" s="127">
        <f t="shared" si="17"/>
        <v>0</v>
      </c>
      <c r="AX121" s="105">
        <v>0</v>
      </c>
      <c r="AY121" s="118">
        <f t="shared" si="18"/>
        <v>0</v>
      </c>
      <c r="AZ121" s="105">
        <v>0</v>
      </c>
      <c r="BA121" s="118">
        <f t="shared" si="19"/>
        <v>0</v>
      </c>
      <c r="BB121" s="5">
        <v>0</v>
      </c>
      <c r="BC121" s="127">
        <f t="shared" si="20"/>
        <v>0</v>
      </c>
      <c r="BD121" s="105">
        <v>0</v>
      </c>
      <c r="BE121" s="118">
        <f t="shared" si="21"/>
        <v>0</v>
      </c>
      <c r="BF121" s="5">
        <v>0</v>
      </c>
      <c r="BG121" s="118">
        <f t="shared" si="22"/>
        <v>0</v>
      </c>
      <c r="BH121" s="5">
        <v>0</v>
      </c>
      <c r="BI121" s="127">
        <f t="shared" si="23"/>
        <v>0</v>
      </c>
      <c r="BJ121" s="220" t="s">
        <v>606</v>
      </c>
      <c r="BL121" s="1" t="s">
        <v>570</v>
      </c>
      <c r="BM121" s="233" t="s">
        <v>614</v>
      </c>
      <c r="BN121" s="233"/>
      <c r="BO121" s="234"/>
    </row>
    <row r="122" spans="1:67">
      <c r="A122" s="219" t="s">
        <v>823</v>
      </c>
      <c r="B122" s="106" t="s">
        <v>244</v>
      </c>
      <c r="C122" s="66" t="s">
        <v>175</v>
      </c>
      <c r="D122" s="284"/>
      <c r="E122" s="77" t="s">
        <v>253</v>
      </c>
      <c r="F122" s="282"/>
      <c r="G122" s="71" t="s">
        <v>202</v>
      </c>
      <c r="H122" s="70" t="s">
        <v>615</v>
      </c>
      <c r="I122" s="70" t="s">
        <v>184</v>
      </c>
      <c r="J122" s="71" t="s">
        <v>567</v>
      </c>
      <c r="K122" s="70" t="s">
        <v>250</v>
      </c>
      <c r="L122" s="69" t="s">
        <v>257</v>
      </c>
      <c r="M122" s="180" t="s">
        <v>568</v>
      </c>
      <c r="N122" s="144">
        <v>15.75</v>
      </c>
      <c r="O122" s="144">
        <v>15.75</v>
      </c>
      <c r="P122" s="144">
        <v>15.75</v>
      </c>
      <c r="Q122" s="144">
        <v>15.75</v>
      </c>
      <c r="R122" s="144">
        <v>15.75</v>
      </c>
      <c r="S122" s="144">
        <v>15.75</v>
      </c>
      <c r="T122" s="144">
        <v>15.75</v>
      </c>
      <c r="U122" s="144">
        <v>15.75</v>
      </c>
      <c r="V122" s="144">
        <v>15.75</v>
      </c>
      <c r="W122" s="144">
        <v>15.75</v>
      </c>
      <c r="X122" s="144">
        <v>15.75</v>
      </c>
      <c r="Y122" s="259">
        <v>15.75</v>
      </c>
      <c r="Z122" s="144">
        <v>0.46</v>
      </c>
      <c r="AA122" s="144">
        <v>0.46</v>
      </c>
      <c r="AB122" s="144">
        <v>0.46</v>
      </c>
      <c r="AC122" s="144">
        <v>0.46</v>
      </c>
      <c r="AD122" s="144">
        <v>0.46</v>
      </c>
      <c r="AE122" s="144">
        <v>0.46</v>
      </c>
      <c r="AF122" s="144">
        <v>0.46</v>
      </c>
      <c r="AG122" s="144">
        <v>0.46</v>
      </c>
      <c r="AH122" s="144">
        <v>0.46</v>
      </c>
      <c r="AI122" s="144">
        <v>0.46</v>
      </c>
      <c r="AJ122" s="144">
        <v>0.46</v>
      </c>
      <c r="AK122" s="259">
        <v>0.46</v>
      </c>
      <c r="AL122" s="105">
        <v>0</v>
      </c>
      <c r="AM122" s="118">
        <f t="shared" si="14"/>
        <v>0</v>
      </c>
      <c r="AN122" s="105">
        <v>0</v>
      </c>
      <c r="AO122" s="118">
        <f t="shared" si="2"/>
        <v>0</v>
      </c>
      <c r="AP122" s="105">
        <v>0</v>
      </c>
      <c r="AQ122" s="127">
        <f t="shared" si="3"/>
        <v>0</v>
      </c>
      <c r="AR122" s="5">
        <v>1000</v>
      </c>
      <c r="AS122" s="118">
        <f t="shared" si="15"/>
        <v>460</v>
      </c>
      <c r="AT122" s="105">
        <v>0</v>
      </c>
      <c r="AU122" s="118">
        <f t="shared" si="16"/>
        <v>0</v>
      </c>
      <c r="AV122" s="105">
        <v>0</v>
      </c>
      <c r="AW122" s="127">
        <f t="shared" si="17"/>
        <v>0</v>
      </c>
      <c r="AX122" s="105">
        <v>0</v>
      </c>
      <c r="AY122" s="118">
        <f t="shared" si="18"/>
        <v>0</v>
      </c>
      <c r="AZ122" s="105">
        <v>0</v>
      </c>
      <c r="BA122" s="118">
        <f t="shared" si="19"/>
        <v>0</v>
      </c>
      <c r="BB122" s="5">
        <v>0</v>
      </c>
      <c r="BC122" s="127">
        <f t="shared" si="20"/>
        <v>0</v>
      </c>
      <c r="BD122" s="105">
        <v>0</v>
      </c>
      <c r="BE122" s="118">
        <f t="shared" si="21"/>
        <v>0</v>
      </c>
      <c r="BF122" s="5">
        <v>0</v>
      </c>
      <c r="BG122" s="118">
        <f t="shared" si="22"/>
        <v>0</v>
      </c>
      <c r="BH122" s="5">
        <v>0</v>
      </c>
      <c r="BI122" s="127">
        <f t="shared" si="23"/>
        <v>0</v>
      </c>
      <c r="BJ122" s="220" t="s">
        <v>616</v>
      </c>
      <c r="BL122" s="1" t="s">
        <v>573</v>
      </c>
      <c r="BM122" s="233" t="s">
        <v>617</v>
      </c>
      <c r="BN122" s="233"/>
      <c r="BO122" s="234"/>
    </row>
    <row r="123" spans="1:67">
      <c r="A123" s="219" t="s">
        <v>823</v>
      </c>
      <c r="B123" s="106" t="s">
        <v>244</v>
      </c>
      <c r="C123" s="66" t="s">
        <v>175</v>
      </c>
      <c r="D123" s="284"/>
      <c r="E123" s="77" t="s">
        <v>253</v>
      </c>
      <c r="F123" s="282"/>
      <c r="G123" s="71" t="s">
        <v>202</v>
      </c>
      <c r="H123" s="70" t="s">
        <v>615</v>
      </c>
      <c r="I123" s="70" t="s">
        <v>184</v>
      </c>
      <c r="J123" s="71" t="s">
        <v>567</v>
      </c>
      <c r="K123" s="70" t="s">
        <v>250</v>
      </c>
      <c r="L123" s="69" t="s">
        <v>257</v>
      </c>
      <c r="M123" s="180" t="s">
        <v>568</v>
      </c>
      <c r="N123" s="144">
        <v>15.75</v>
      </c>
      <c r="O123" s="144">
        <v>15.75</v>
      </c>
      <c r="P123" s="144">
        <v>15.75</v>
      </c>
      <c r="Q123" s="144">
        <v>15.75</v>
      </c>
      <c r="R123" s="144">
        <v>15.75</v>
      </c>
      <c r="S123" s="144">
        <v>15.75</v>
      </c>
      <c r="T123" s="144">
        <v>15.75</v>
      </c>
      <c r="U123" s="144">
        <v>15.75</v>
      </c>
      <c r="V123" s="144">
        <v>15.75</v>
      </c>
      <c r="W123" s="144">
        <v>15.75</v>
      </c>
      <c r="X123" s="144">
        <v>15.75</v>
      </c>
      <c r="Y123" s="259">
        <v>15.75</v>
      </c>
      <c r="Z123" s="144">
        <v>0.46</v>
      </c>
      <c r="AA123" s="144">
        <v>0.46</v>
      </c>
      <c r="AB123" s="144">
        <v>0.46</v>
      </c>
      <c r="AC123" s="144">
        <v>0.46</v>
      </c>
      <c r="AD123" s="144">
        <v>0.46</v>
      </c>
      <c r="AE123" s="144">
        <v>0.46</v>
      </c>
      <c r="AF123" s="144">
        <v>0.46</v>
      </c>
      <c r="AG123" s="144">
        <v>0.46</v>
      </c>
      <c r="AH123" s="144">
        <v>0.46</v>
      </c>
      <c r="AI123" s="144">
        <v>0.46</v>
      </c>
      <c r="AJ123" s="144">
        <v>0.46</v>
      </c>
      <c r="AK123" s="259">
        <v>0.46</v>
      </c>
      <c r="AL123" s="105">
        <v>0</v>
      </c>
      <c r="AM123" s="118">
        <f t="shared" si="14"/>
        <v>0</v>
      </c>
      <c r="AN123" s="105">
        <v>0</v>
      </c>
      <c r="AO123" s="118">
        <f t="shared" si="2"/>
        <v>0</v>
      </c>
      <c r="AP123" s="105">
        <v>0</v>
      </c>
      <c r="AQ123" s="127">
        <f t="shared" si="3"/>
        <v>0</v>
      </c>
      <c r="AR123" s="5">
        <v>0</v>
      </c>
      <c r="AS123" s="118">
        <f t="shared" si="15"/>
        <v>0</v>
      </c>
      <c r="AT123" s="105">
        <v>0</v>
      </c>
      <c r="AU123" s="118">
        <f t="shared" si="16"/>
        <v>0</v>
      </c>
      <c r="AV123" s="105">
        <v>0</v>
      </c>
      <c r="AW123" s="127">
        <f t="shared" si="17"/>
        <v>0</v>
      </c>
      <c r="AX123" s="105">
        <v>0</v>
      </c>
      <c r="AY123" s="118">
        <f t="shared" si="18"/>
        <v>0</v>
      </c>
      <c r="AZ123" s="105">
        <v>0</v>
      </c>
      <c r="BA123" s="118">
        <f t="shared" si="19"/>
        <v>0</v>
      </c>
      <c r="BB123" s="5">
        <v>0</v>
      </c>
      <c r="BC123" s="127">
        <f t="shared" si="20"/>
        <v>0</v>
      </c>
      <c r="BD123" s="105">
        <v>0</v>
      </c>
      <c r="BE123" s="118">
        <f t="shared" si="21"/>
        <v>0</v>
      </c>
      <c r="BF123" s="5">
        <v>0</v>
      </c>
      <c r="BG123" s="118">
        <f t="shared" si="22"/>
        <v>0</v>
      </c>
      <c r="BH123" s="5">
        <v>0</v>
      </c>
      <c r="BI123" s="127">
        <f t="shared" si="23"/>
        <v>0</v>
      </c>
      <c r="BJ123" s="220" t="s">
        <v>616</v>
      </c>
      <c r="BL123" s="1" t="s">
        <v>575</v>
      </c>
      <c r="BM123" s="233" t="s">
        <v>618</v>
      </c>
      <c r="BN123" s="233"/>
      <c r="BO123" s="234"/>
    </row>
    <row r="124" spans="1:67">
      <c r="A124" s="219" t="s">
        <v>823</v>
      </c>
      <c r="B124" s="106" t="s">
        <v>244</v>
      </c>
      <c r="C124" s="66" t="s">
        <v>175</v>
      </c>
      <c r="D124" s="284"/>
      <c r="E124" s="77" t="s">
        <v>253</v>
      </c>
      <c r="F124" s="282"/>
      <c r="G124" s="71" t="s">
        <v>202</v>
      </c>
      <c r="H124" s="70" t="s">
        <v>615</v>
      </c>
      <c r="I124" s="70" t="s">
        <v>184</v>
      </c>
      <c r="J124" s="71" t="s">
        <v>567</v>
      </c>
      <c r="K124" s="70" t="s">
        <v>250</v>
      </c>
      <c r="L124" s="69" t="s">
        <v>257</v>
      </c>
      <c r="M124" s="180" t="s">
        <v>568</v>
      </c>
      <c r="N124" s="144">
        <v>15.75</v>
      </c>
      <c r="O124" s="144">
        <v>15.75</v>
      </c>
      <c r="P124" s="144">
        <v>15.75</v>
      </c>
      <c r="Q124" s="144">
        <v>15.75</v>
      </c>
      <c r="R124" s="144">
        <v>15.75</v>
      </c>
      <c r="S124" s="144">
        <v>15.75</v>
      </c>
      <c r="T124" s="144">
        <v>15.75</v>
      </c>
      <c r="U124" s="144">
        <v>15.75</v>
      </c>
      <c r="V124" s="144">
        <v>15.75</v>
      </c>
      <c r="W124" s="144">
        <v>15.75</v>
      </c>
      <c r="X124" s="144">
        <v>15.75</v>
      </c>
      <c r="Y124" s="259">
        <v>15.75</v>
      </c>
      <c r="Z124" s="144">
        <v>0.46</v>
      </c>
      <c r="AA124" s="144">
        <v>0.46</v>
      </c>
      <c r="AB124" s="144">
        <v>0.46</v>
      </c>
      <c r="AC124" s="144">
        <v>0.46</v>
      </c>
      <c r="AD124" s="144">
        <v>0.46</v>
      </c>
      <c r="AE124" s="144">
        <v>0.46</v>
      </c>
      <c r="AF124" s="144">
        <v>0.46</v>
      </c>
      <c r="AG124" s="144">
        <v>0.46</v>
      </c>
      <c r="AH124" s="144">
        <v>0.46</v>
      </c>
      <c r="AI124" s="144">
        <v>0.46</v>
      </c>
      <c r="AJ124" s="144">
        <v>0.46</v>
      </c>
      <c r="AK124" s="259">
        <v>0.46</v>
      </c>
      <c r="AL124" s="105">
        <v>0</v>
      </c>
      <c r="AM124" s="118">
        <f t="shared" si="14"/>
        <v>0</v>
      </c>
      <c r="AN124" s="105">
        <v>0</v>
      </c>
      <c r="AO124" s="118">
        <f t="shared" si="2"/>
        <v>0</v>
      </c>
      <c r="AP124" s="105">
        <v>0</v>
      </c>
      <c r="AQ124" s="127">
        <f t="shared" si="3"/>
        <v>0</v>
      </c>
      <c r="AR124" s="5">
        <v>0</v>
      </c>
      <c r="AS124" s="118">
        <f t="shared" si="15"/>
        <v>0</v>
      </c>
      <c r="AT124" s="105">
        <v>0</v>
      </c>
      <c r="AU124" s="118">
        <f t="shared" si="16"/>
        <v>0</v>
      </c>
      <c r="AV124" s="105">
        <v>0</v>
      </c>
      <c r="AW124" s="127">
        <f t="shared" si="17"/>
        <v>0</v>
      </c>
      <c r="AX124" s="105">
        <v>0</v>
      </c>
      <c r="AY124" s="118">
        <f t="shared" si="18"/>
        <v>0</v>
      </c>
      <c r="AZ124" s="105">
        <v>0</v>
      </c>
      <c r="BA124" s="118">
        <f t="shared" si="19"/>
        <v>0</v>
      </c>
      <c r="BB124" s="5">
        <v>0</v>
      </c>
      <c r="BC124" s="127">
        <f t="shared" si="20"/>
        <v>0</v>
      </c>
      <c r="BD124" s="105">
        <v>0</v>
      </c>
      <c r="BE124" s="118">
        <f t="shared" si="21"/>
        <v>0</v>
      </c>
      <c r="BF124" s="5">
        <v>0</v>
      </c>
      <c r="BG124" s="118">
        <f t="shared" si="22"/>
        <v>0</v>
      </c>
      <c r="BH124" s="5">
        <v>0</v>
      </c>
      <c r="BI124" s="127">
        <f t="shared" si="23"/>
        <v>0</v>
      </c>
      <c r="BJ124" s="220" t="s">
        <v>616</v>
      </c>
      <c r="BL124" s="1" t="s">
        <v>570</v>
      </c>
      <c r="BM124" s="233" t="s">
        <v>619</v>
      </c>
      <c r="BN124" s="233"/>
      <c r="BO124" s="234"/>
    </row>
    <row r="125" spans="1:67">
      <c r="A125" s="219" t="s">
        <v>823</v>
      </c>
      <c r="B125" s="106" t="s">
        <v>244</v>
      </c>
      <c r="C125" s="66" t="s">
        <v>175</v>
      </c>
      <c r="D125" s="284"/>
      <c r="E125" s="77" t="s">
        <v>253</v>
      </c>
      <c r="F125" s="282"/>
      <c r="G125" s="71" t="s">
        <v>202</v>
      </c>
      <c r="H125" s="70" t="s">
        <v>615</v>
      </c>
      <c r="I125" s="70" t="s">
        <v>184</v>
      </c>
      <c r="J125" s="71" t="s">
        <v>567</v>
      </c>
      <c r="K125" s="70" t="s">
        <v>250</v>
      </c>
      <c r="L125" s="69" t="s">
        <v>257</v>
      </c>
      <c r="M125" s="180" t="s">
        <v>568</v>
      </c>
      <c r="N125" s="144">
        <v>15.75</v>
      </c>
      <c r="O125" s="144">
        <v>15.75</v>
      </c>
      <c r="P125" s="144">
        <v>15.75</v>
      </c>
      <c r="Q125" s="144">
        <v>15.75</v>
      </c>
      <c r="R125" s="144">
        <v>15.75</v>
      </c>
      <c r="S125" s="144">
        <v>15.75</v>
      </c>
      <c r="T125" s="144">
        <v>15.75</v>
      </c>
      <c r="U125" s="144">
        <v>15.75</v>
      </c>
      <c r="V125" s="144">
        <v>15.75</v>
      </c>
      <c r="W125" s="144">
        <v>15.75</v>
      </c>
      <c r="X125" s="144">
        <v>15.75</v>
      </c>
      <c r="Y125" s="259">
        <v>15.75</v>
      </c>
      <c r="Z125" s="144">
        <v>0.46</v>
      </c>
      <c r="AA125" s="144">
        <v>0.46</v>
      </c>
      <c r="AB125" s="144">
        <v>0.46</v>
      </c>
      <c r="AC125" s="144">
        <v>0.46</v>
      </c>
      <c r="AD125" s="144">
        <v>0.46</v>
      </c>
      <c r="AE125" s="144">
        <v>0.46</v>
      </c>
      <c r="AF125" s="144">
        <v>0.46</v>
      </c>
      <c r="AG125" s="144">
        <v>0.46</v>
      </c>
      <c r="AH125" s="144">
        <v>0.46</v>
      </c>
      <c r="AI125" s="144">
        <v>0.46</v>
      </c>
      <c r="AJ125" s="144">
        <v>0.46</v>
      </c>
      <c r="AK125" s="259">
        <v>0.46</v>
      </c>
      <c r="AL125" s="105">
        <v>0</v>
      </c>
      <c r="AM125" s="118">
        <f t="shared" si="14"/>
        <v>0</v>
      </c>
      <c r="AN125" s="105">
        <v>0</v>
      </c>
      <c r="AO125" s="118">
        <f t="shared" si="2"/>
        <v>0</v>
      </c>
      <c r="AP125" s="105">
        <v>0</v>
      </c>
      <c r="AQ125" s="127">
        <f t="shared" si="3"/>
        <v>0</v>
      </c>
      <c r="AR125" s="5">
        <v>0</v>
      </c>
      <c r="AS125" s="118">
        <f t="shared" si="15"/>
        <v>0</v>
      </c>
      <c r="AT125" s="105">
        <v>0</v>
      </c>
      <c r="AU125" s="118">
        <f t="shared" si="16"/>
        <v>0</v>
      </c>
      <c r="AV125" s="105">
        <v>0</v>
      </c>
      <c r="AW125" s="127">
        <f t="shared" si="17"/>
        <v>0</v>
      </c>
      <c r="AX125" s="105">
        <v>0</v>
      </c>
      <c r="AY125" s="118">
        <f t="shared" si="18"/>
        <v>0</v>
      </c>
      <c r="AZ125" s="105">
        <v>0</v>
      </c>
      <c r="BA125" s="118">
        <f t="shared" si="19"/>
        <v>0</v>
      </c>
      <c r="BB125" s="5">
        <v>0</v>
      </c>
      <c r="BC125" s="127">
        <f t="shared" si="20"/>
        <v>0</v>
      </c>
      <c r="BD125" s="105">
        <v>500</v>
      </c>
      <c r="BE125" s="118">
        <f t="shared" si="21"/>
        <v>230</v>
      </c>
      <c r="BF125" s="5">
        <v>1000</v>
      </c>
      <c r="BG125" s="118">
        <f t="shared" si="22"/>
        <v>460</v>
      </c>
      <c r="BH125" s="5">
        <v>500</v>
      </c>
      <c r="BI125" s="127">
        <f t="shared" si="23"/>
        <v>230</v>
      </c>
      <c r="BJ125" s="220" t="s">
        <v>616</v>
      </c>
      <c r="BL125" s="1" t="s">
        <v>570</v>
      </c>
      <c r="BM125" s="233" t="s">
        <v>620</v>
      </c>
      <c r="BN125" s="233"/>
      <c r="BO125" s="234"/>
    </row>
    <row r="126" spans="1:67">
      <c r="A126" s="219" t="s">
        <v>823</v>
      </c>
      <c r="B126" s="106" t="s">
        <v>244</v>
      </c>
      <c r="C126" s="66" t="s">
        <v>175</v>
      </c>
      <c r="D126" s="284"/>
      <c r="E126" s="77" t="s">
        <v>253</v>
      </c>
      <c r="F126" s="282"/>
      <c r="G126" s="71" t="s">
        <v>202</v>
      </c>
      <c r="H126" s="70" t="s">
        <v>615</v>
      </c>
      <c r="I126" s="70" t="s">
        <v>184</v>
      </c>
      <c r="J126" s="71" t="s">
        <v>567</v>
      </c>
      <c r="K126" s="70" t="s">
        <v>250</v>
      </c>
      <c r="L126" s="69" t="s">
        <v>257</v>
      </c>
      <c r="M126" s="180" t="s">
        <v>608</v>
      </c>
      <c r="N126" s="144">
        <v>15.75</v>
      </c>
      <c r="O126" s="144">
        <v>15.75</v>
      </c>
      <c r="P126" s="144">
        <v>15.75</v>
      </c>
      <c r="Q126" s="144">
        <v>15.75</v>
      </c>
      <c r="R126" s="144">
        <v>15.75</v>
      </c>
      <c r="S126" s="144">
        <v>15.75</v>
      </c>
      <c r="T126" s="144">
        <v>15.75</v>
      </c>
      <c r="U126" s="144">
        <v>15.75</v>
      </c>
      <c r="V126" s="144">
        <v>15.75</v>
      </c>
      <c r="W126" s="144">
        <v>15.75</v>
      </c>
      <c r="X126" s="144">
        <v>15.75</v>
      </c>
      <c r="Y126" s="259">
        <v>15.75</v>
      </c>
      <c r="Z126" s="144">
        <v>0.46</v>
      </c>
      <c r="AA126" s="144">
        <v>0.46</v>
      </c>
      <c r="AB126" s="144">
        <v>0.46</v>
      </c>
      <c r="AC126" s="144">
        <v>0.46</v>
      </c>
      <c r="AD126" s="144">
        <v>0.46</v>
      </c>
      <c r="AE126" s="144">
        <v>0.46</v>
      </c>
      <c r="AF126" s="144">
        <v>0.46</v>
      </c>
      <c r="AG126" s="144">
        <v>0.46</v>
      </c>
      <c r="AH126" s="144">
        <v>0.46</v>
      </c>
      <c r="AI126" s="144">
        <v>0.46</v>
      </c>
      <c r="AJ126" s="144">
        <v>0.46</v>
      </c>
      <c r="AK126" s="259">
        <v>0.46</v>
      </c>
      <c r="AL126" s="105">
        <v>0</v>
      </c>
      <c r="AM126" s="118">
        <f t="shared" si="14"/>
        <v>0</v>
      </c>
      <c r="AN126" s="105">
        <v>0</v>
      </c>
      <c r="AO126" s="118">
        <f t="shared" si="2"/>
        <v>0</v>
      </c>
      <c r="AP126" s="105">
        <v>0</v>
      </c>
      <c r="AQ126" s="127">
        <f t="shared" si="3"/>
        <v>0</v>
      </c>
      <c r="AR126" s="5">
        <v>0</v>
      </c>
      <c r="AS126" s="118">
        <f t="shared" si="15"/>
        <v>0</v>
      </c>
      <c r="AT126" s="105">
        <v>0</v>
      </c>
      <c r="AU126" s="118">
        <f t="shared" si="16"/>
        <v>0</v>
      </c>
      <c r="AV126" s="105">
        <v>0</v>
      </c>
      <c r="AW126" s="127">
        <f t="shared" si="17"/>
        <v>0</v>
      </c>
      <c r="AX126" s="105">
        <v>0</v>
      </c>
      <c r="AY126" s="118">
        <f t="shared" si="18"/>
        <v>0</v>
      </c>
      <c r="AZ126" s="105">
        <v>0</v>
      </c>
      <c r="BA126" s="118">
        <f t="shared" si="19"/>
        <v>0</v>
      </c>
      <c r="BB126" s="5">
        <v>0</v>
      </c>
      <c r="BC126" s="127">
        <f t="shared" si="20"/>
        <v>0</v>
      </c>
      <c r="BD126" s="105">
        <v>0</v>
      </c>
      <c r="BE126" s="118">
        <f t="shared" si="21"/>
        <v>0</v>
      </c>
      <c r="BF126" s="5">
        <v>0</v>
      </c>
      <c r="BG126" s="118">
        <f t="shared" si="22"/>
        <v>0</v>
      </c>
      <c r="BH126" s="5">
        <v>0</v>
      </c>
      <c r="BI126" s="127">
        <f t="shared" si="23"/>
        <v>0</v>
      </c>
      <c r="BJ126" s="220" t="s">
        <v>616</v>
      </c>
      <c r="BL126" s="1" t="s">
        <v>578</v>
      </c>
      <c r="BM126" s="233" t="s">
        <v>621</v>
      </c>
      <c r="BN126" s="233"/>
      <c r="BO126" s="234"/>
    </row>
    <row r="127" spans="1:67">
      <c r="A127" s="219" t="s">
        <v>823</v>
      </c>
      <c r="B127" s="106" t="s">
        <v>244</v>
      </c>
      <c r="C127" s="66" t="s">
        <v>175</v>
      </c>
      <c r="D127" s="284"/>
      <c r="E127" s="77" t="s">
        <v>253</v>
      </c>
      <c r="F127" s="282"/>
      <c r="G127" s="71" t="s">
        <v>202</v>
      </c>
      <c r="H127" s="70" t="s">
        <v>615</v>
      </c>
      <c r="I127" s="70" t="s">
        <v>184</v>
      </c>
      <c r="J127" s="71" t="s">
        <v>567</v>
      </c>
      <c r="K127" s="70" t="s">
        <v>250</v>
      </c>
      <c r="L127" s="69" t="s">
        <v>257</v>
      </c>
      <c r="M127" s="180" t="s">
        <v>608</v>
      </c>
      <c r="N127" s="144">
        <v>15.75</v>
      </c>
      <c r="O127" s="144">
        <v>15.75</v>
      </c>
      <c r="P127" s="144">
        <v>15.75</v>
      </c>
      <c r="Q127" s="144">
        <v>15.75</v>
      </c>
      <c r="R127" s="144">
        <v>15.75</v>
      </c>
      <c r="S127" s="144">
        <v>15.75</v>
      </c>
      <c r="T127" s="144">
        <v>15.75</v>
      </c>
      <c r="U127" s="144">
        <v>15.75</v>
      </c>
      <c r="V127" s="144">
        <v>15.75</v>
      </c>
      <c r="W127" s="144">
        <v>15.75</v>
      </c>
      <c r="X127" s="144">
        <v>15.75</v>
      </c>
      <c r="Y127" s="259">
        <v>15.75</v>
      </c>
      <c r="Z127" s="144">
        <v>0.46</v>
      </c>
      <c r="AA127" s="144">
        <v>0.46</v>
      </c>
      <c r="AB127" s="144">
        <v>0.46</v>
      </c>
      <c r="AC127" s="144">
        <v>0.46</v>
      </c>
      <c r="AD127" s="144">
        <v>0.46</v>
      </c>
      <c r="AE127" s="144">
        <v>0.46</v>
      </c>
      <c r="AF127" s="144">
        <v>0.46</v>
      </c>
      <c r="AG127" s="144">
        <v>0.46</v>
      </c>
      <c r="AH127" s="144">
        <v>0.46</v>
      </c>
      <c r="AI127" s="144">
        <v>0.46</v>
      </c>
      <c r="AJ127" s="144">
        <v>0.46</v>
      </c>
      <c r="AK127" s="259">
        <v>0.46</v>
      </c>
      <c r="AL127" s="105">
        <v>0</v>
      </c>
      <c r="AM127" s="118">
        <f t="shared" si="14"/>
        <v>0</v>
      </c>
      <c r="AN127" s="105">
        <v>0</v>
      </c>
      <c r="AO127" s="118">
        <f t="shared" si="2"/>
        <v>0</v>
      </c>
      <c r="AP127" s="105">
        <v>0</v>
      </c>
      <c r="AQ127" s="127">
        <f t="shared" si="3"/>
        <v>0</v>
      </c>
      <c r="AR127" s="5">
        <v>0</v>
      </c>
      <c r="AS127" s="118">
        <f t="shared" si="15"/>
        <v>0</v>
      </c>
      <c r="AT127" s="105">
        <v>0</v>
      </c>
      <c r="AU127" s="118">
        <f t="shared" si="16"/>
        <v>0</v>
      </c>
      <c r="AV127" s="105">
        <v>0</v>
      </c>
      <c r="AW127" s="127">
        <f t="shared" si="17"/>
        <v>0</v>
      </c>
      <c r="AX127" s="105">
        <v>0</v>
      </c>
      <c r="AY127" s="118">
        <f t="shared" si="18"/>
        <v>0</v>
      </c>
      <c r="AZ127" s="105">
        <v>0</v>
      </c>
      <c r="BA127" s="118">
        <f t="shared" si="19"/>
        <v>0</v>
      </c>
      <c r="BB127" s="5">
        <v>0</v>
      </c>
      <c r="BC127" s="127">
        <f t="shared" si="20"/>
        <v>0</v>
      </c>
      <c r="BD127" s="105">
        <v>0</v>
      </c>
      <c r="BE127" s="118">
        <f t="shared" si="21"/>
        <v>0</v>
      </c>
      <c r="BF127" s="5">
        <v>0</v>
      </c>
      <c r="BG127" s="118">
        <f t="shared" si="22"/>
        <v>0</v>
      </c>
      <c r="BH127" s="5">
        <v>0</v>
      </c>
      <c r="BI127" s="127">
        <f t="shared" si="23"/>
        <v>0</v>
      </c>
      <c r="BJ127" s="220" t="s">
        <v>616</v>
      </c>
      <c r="BL127" s="1" t="s">
        <v>578</v>
      </c>
      <c r="BM127" s="233" t="s">
        <v>622</v>
      </c>
      <c r="BN127" s="233"/>
      <c r="BO127" s="234"/>
    </row>
    <row r="128" spans="1:67">
      <c r="A128" s="219" t="s">
        <v>823</v>
      </c>
      <c r="B128" s="106" t="s">
        <v>244</v>
      </c>
      <c r="C128" s="66" t="s">
        <v>175</v>
      </c>
      <c r="D128" s="284"/>
      <c r="E128" s="77" t="s">
        <v>253</v>
      </c>
      <c r="F128" s="282"/>
      <c r="G128" s="71" t="s">
        <v>202</v>
      </c>
      <c r="H128" s="70" t="s">
        <v>615</v>
      </c>
      <c r="I128" s="70" t="s">
        <v>184</v>
      </c>
      <c r="J128" s="71" t="s">
        <v>567</v>
      </c>
      <c r="K128" s="70" t="s">
        <v>250</v>
      </c>
      <c r="L128" s="69" t="s">
        <v>257</v>
      </c>
      <c r="M128" s="180" t="s">
        <v>608</v>
      </c>
      <c r="N128" s="144">
        <v>15.75</v>
      </c>
      <c r="O128" s="144">
        <v>15.75</v>
      </c>
      <c r="P128" s="144">
        <v>15.75</v>
      </c>
      <c r="Q128" s="144">
        <v>15.75</v>
      </c>
      <c r="R128" s="144">
        <v>15.75</v>
      </c>
      <c r="S128" s="144">
        <v>15.75</v>
      </c>
      <c r="T128" s="144">
        <v>15.75</v>
      </c>
      <c r="U128" s="144">
        <v>15.75</v>
      </c>
      <c r="V128" s="144">
        <v>15.75</v>
      </c>
      <c r="W128" s="144">
        <v>15.75</v>
      </c>
      <c r="X128" s="144">
        <v>15.75</v>
      </c>
      <c r="Y128" s="259">
        <v>15.75</v>
      </c>
      <c r="Z128" s="144">
        <v>0.46</v>
      </c>
      <c r="AA128" s="144">
        <v>0.46</v>
      </c>
      <c r="AB128" s="144">
        <v>0.46</v>
      </c>
      <c r="AC128" s="144">
        <v>0.46</v>
      </c>
      <c r="AD128" s="144">
        <v>0.46</v>
      </c>
      <c r="AE128" s="144">
        <v>0.46</v>
      </c>
      <c r="AF128" s="144">
        <v>0.46</v>
      </c>
      <c r="AG128" s="144">
        <v>0.46</v>
      </c>
      <c r="AH128" s="144">
        <v>0.46</v>
      </c>
      <c r="AI128" s="144">
        <v>0.46</v>
      </c>
      <c r="AJ128" s="144">
        <v>0.46</v>
      </c>
      <c r="AK128" s="259">
        <v>0.46</v>
      </c>
      <c r="AL128" s="105">
        <v>0</v>
      </c>
      <c r="AM128" s="118">
        <f t="shared" si="14"/>
        <v>0</v>
      </c>
      <c r="AN128" s="105">
        <v>0</v>
      </c>
      <c r="AO128" s="118">
        <f t="shared" si="2"/>
        <v>0</v>
      </c>
      <c r="AP128" s="105">
        <v>0</v>
      </c>
      <c r="AQ128" s="127">
        <f t="shared" si="3"/>
        <v>0</v>
      </c>
      <c r="AR128" s="5">
        <v>0</v>
      </c>
      <c r="AS128" s="118">
        <f t="shared" si="15"/>
        <v>0</v>
      </c>
      <c r="AT128" s="105">
        <v>0</v>
      </c>
      <c r="AU128" s="118">
        <f t="shared" si="16"/>
        <v>0</v>
      </c>
      <c r="AV128" s="105">
        <v>0</v>
      </c>
      <c r="AW128" s="127">
        <f t="shared" si="17"/>
        <v>0</v>
      </c>
      <c r="AX128" s="105">
        <v>0</v>
      </c>
      <c r="AY128" s="118">
        <f t="shared" si="18"/>
        <v>0</v>
      </c>
      <c r="AZ128" s="105">
        <v>0</v>
      </c>
      <c r="BA128" s="118">
        <f t="shared" si="19"/>
        <v>0</v>
      </c>
      <c r="BB128" s="5">
        <v>0</v>
      </c>
      <c r="BC128" s="127">
        <f t="shared" si="20"/>
        <v>0</v>
      </c>
      <c r="BD128" s="105">
        <v>0</v>
      </c>
      <c r="BE128" s="118">
        <f t="shared" si="21"/>
        <v>0</v>
      </c>
      <c r="BF128" s="5">
        <v>0</v>
      </c>
      <c r="BG128" s="118">
        <f t="shared" si="22"/>
        <v>0</v>
      </c>
      <c r="BH128" s="5">
        <v>0</v>
      </c>
      <c r="BI128" s="127">
        <f t="shared" si="23"/>
        <v>0</v>
      </c>
      <c r="BJ128" s="220" t="s">
        <v>616</v>
      </c>
      <c r="BL128" s="1" t="s">
        <v>578</v>
      </c>
      <c r="BM128" s="233" t="s">
        <v>623</v>
      </c>
      <c r="BN128" s="233"/>
      <c r="BO128" s="234"/>
    </row>
    <row r="129" spans="1:67">
      <c r="A129" s="219" t="s">
        <v>823</v>
      </c>
      <c r="B129" s="106" t="s">
        <v>244</v>
      </c>
      <c r="C129" s="66" t="s">
        <v>175</v>
      </c>
      <c r="D129" s="284"/>
      <c r="E129" s="77" t="s">
        <v>253</v>
      </c>
      <c r="F129" s="282"/>
      <c r="G129" s="71" t="s">
        <v>202</v>
      </c>
      <c r="H129" s="70" t="s">
        <v>615</v>
      </c>
      <c r="I129" s="70" t="s">
        <v>184</v>
      </c>
      <c r="J129" s="71" t="s">
        <v>567</v>
      </c>
      <c r="K129" s="70" t="s">
        <v>250</v>
      </c>
      <c r="L129" s="69" t="s">
        <v>257</v>
      </c>
      <c r="M129" s="180" t="s">
        <v>608</v>
      </c>
      <c r="N129" s="144">
        <v>15.75</v>
      </c>
      <c r="O129" s="144">
        <v>15.75</v>
      </c>
      <c r="P129" s="144">
        <v>15.75</v>
      </c>
      <c r="Q129" s="144">
        <v>15.75</v>
      </c>
      <c r="R129" s="144">
        <v>15.75</v>
      </c>
      <c r="S129" s="144">
        <v>15.75</v>
      </c>
      <c r="T129" s="144">
        <v>15.75</v>
      </c>
      <c r="U129" s="144">
        <v>15.75</v>
      </c>
      <c r="V129" s="144">
        <v>15.75</v>
      </c>
      <c r="W129" s="144">
        <v>15.75</v>
      </c>
      <c r="X129" s="144">
        <v>15.75</v>
      </c>
      <c r="Y129" s="259">
        <v>15.75</v>
      </c>
      <c r="Z129" s="144">
        <v>0.46</v>
      </c>
      <c r="AA129" s="144">
        <v>0.46</v>
      </c>
      <c r="AB129" s="144">
        <v>0.46</v>
      </c>
      <c r="AC129" s="144">
        <v>0.46</v>
      </c>
      <c r="AD129" s="144">
        <v>0.46</v>
      </c>
      <c r="AE129" s="144">
        <v>0.46</v>
      </c>
      <c r="AF129" s="144">
        <v>0.46</v>
      </c>
      <c r="AG129" s="144">
        <v>0.46</v>
      </c>
      <c r="AH129" s="144">
        <v>0.46</v>
      </c>
      <c r="AI129" s="144">
        <v>0.46</v>
      </c>
      <c r="AJ129" s="144">
        <v>0.46</v>
      </c>
      <c r="AK129" s="259">
        <v>0.46</v>
      </c>
      <c r="AL129" s="105">
        <v>0</v>
      </c>
      <c r="AM129" s="118">
        <f t="shared" si="14"/>
        <v>0</v>
      </c>
      <c r="AN129" s="105">
        <v>0</v>
      </c>
      <c r="AO129" s="118">
        <f t="shared" si="2"/>
        <v>0</v>
      </c>
      <c r="AP129" s="105">
        <v>0</v>
      </c>
      <c r="AQ129" s="127">
        <f t="shared" si="3"/>
        <v>0</v>
      </c>
      <c r="AR129" s="5">
        <v>0</v>
      </c>
      <c r="AS129" s="118">
        <f t="shared" si="15"/>
        <v>0</v>
      </c>
      <c r="AT129" s="105">
        <v>0</v>
      </c>
      <c r="AU129" s="118">
        <f t="shared" si="16"/>
        <v>0</v>
      </c>
      <c r="AV129" s="105">
        <v>0</v>
      </c>
      <c r="AW129" s="127">
        <f t="shared" si="17"/>
        <v>0</v>
      </c>
      <c r="AX129" s="105">
        <v>0</v>
      </c>
      <c r="AY129" s="118">
        <f t="shared" si="18"/>
        <v>0</v>
      </c>
      <c r="AZ129" s="105">
        <v>0</v>
      </c>
      <c r="BA129" s="118">
        <f t="shared" si="19"/>
        <v>0</v>
      </c>
      <c r="BB129" s="5">
        <v>0</v>
      </c>
      <c r="BC129" s="127">
        <f t="shared" si="20"/>
        <v>0</v>
      </c>
      <c r="BD129" s="105">
        <v>0</v>
      </c>
      <c r="BE129" s="118">
        <f t="shared" si="21"/>
        <v>0</v>
      </c>
      <c r="BF129" s="5">
        <v>0</v>
      </c>
      <c r="BG129" s="118">
        <f t="shared" si="22"/>
        <v>0</v>
      </c>
      <c r="BH129" s="5">
        <v>0</v>
      </c>
      <c r="BI129" s="127">
        <f t="shared" si="23"/>
        <v>0</v>
      </c>
      <c r="BJ129" s="220" t="s">
        <v>616</v>
      </c>
      <c r="BL129" s="1" t="s">
        <v>578</v>
      </c>
      <c r="BM129" s="233" t="s">
        <v>624</v>
      </c>
      <c r="BN129" s="233"/>
      <c r="BO129" s="234"/>
    </row>
    <row r="130" spans="1:67">
      <c r="A130" s="219" t="s">
        <v>823</v>
      </c>
      <c r="B130" s="106" t="s">
        <v>244</v>
      </c>
      <c r="C130" s="66" t="s">
        <v>175</v>
      </c>
      <c r="D130" s="284"/>
      <c r="E130" s="77" t="s">
        <v>253</v>
      </c>
      <c r="F130" s="282"/>
      <c r="G130" s="71" t="s">
        <v>202</v>
      </c>
      <c r="H130" s="70" t="s">
        <v>615</v>
      </c>
      <c r="I130" s="70" t="s">
        <v>184</v>
      </c>
      <c r="J130" s="71" t="s">
        <v>567</v>
      </c>
      <c r="K130" s="70" t="s">
        <v>250</v>
      </c>
      <c r="L130" s="69" t="s">
        <v>257</v>
      </c>
      <c r="M130" s="180" t="s">
        <v>608</v>
      </c>
      <c r="N130" s="144">
        <v>15.75</v>
      </c>
      <c r="O130" s="144">
        <v>15.75</v>
      </c>
      <c r="P130" s="144">
        <v>15.75</v>
      </c>
      <c r="Q130" s="144">
        <v>15.75</v>
      </c>
      <c r="R130" s="144">
        <v>15.75</v>
      </c>
      <c r="S130" s="144">
        <v>15.75</v>
      </c>
      <c r="T130" s="144">
        <v>15.75</v>
      </c>
      <c r="U130" s="144">
        <v>15.75</v>
      </c>
      <c r="V130" s="144">
        <v>15.75</v>
      </c>
      <c r="W130" s="144">
        <v>15.75</v>
      </c>
      <c r="X130" s="144">
        <v>15.75</v>
      </c>
      <c r="Y130" s="259">
        <v>15.75</v>
      </c>
      <c r="Z130" s="144">
        <v>0.46</v>
      </c>
      <c r="AA130" s="144">
        <v>0.46</v>
      </c>
      <c r="AB130" s="144">
        <v>0.46</v>
      </c>
      <c r="AC130" s="144">
        <v>0.46</v>
      </c>
      <c r="AD130" s="144">
        <v>0.46</v>
      </c>
      <c r="AE130" s="144">
        <v>0.46</v>
      </c>
      <c r="AF130" s="144">
        <v>0.46</v>
      </c>
      <c r="AG130" s="144">
        <v>0.46</v>
      </c>
      <c r="AH130" s="144">
        <v>0.46</v>
      </c>
      <c r="AI130" s="144">
        <v>0.46</v>
      </c>
      <c r="AJ130" s="144">
        <v>0.46</v>
      </c>
      <c r="AK130" s="259">
        <v>0.46</v>
      </c>
      <c r="AL130" s="105">
        <v>0</v>
      </c>
      <c r="AM130" s="118">
        <f t="shared" si="14"/>
        <v>0</v>
      </c>
      <c r="AN130" s="105">
        <v>0</v>
      </c>
      <c r="AO130" s="118">
        <f t="shared" si="2"/>
        <v>0</v>
      </c>
      <c r="AP130" s="105">
        <v>0</v>
      </c>
      <c r="AQ130" s="127">
        <f t="shared" si="3"/>
        <v>0</v>
      </c>
      <c r="AR130" s="5">
        <v>0</v>
      </c>
      <c r="AS130" s="118">
        <f t="shared" si="15"/>
        <v>0</v>
      </c>
      <c r="AT130" s="105">
        <v>0</v>
      </c>
      <c r="AU130" s="118">
        <f t="shared" si="16"/>
        <v>0</v>
      </c>
      <c r="AV130" s="105">
        <v>0</v>
      </c>
      <c r="AW130" s="127">
        <f t="shared" si="17"/>
        <v>0</v>
      </c>
      <c r="AX130" s="105">
        <v>0</v>
      </c>
      <c r="AY130" s="118">
        <f t="shared" si="18"/>
        <v>0</v>
      </c>
      <c r="AZ130" s="105">
        <v>0</v>
      </c>
      <c r="BA130" s="118">
        <f t="shared" si="19"/>
        <v>0</v>
      </c>
      <c r="BB130" s="5">
        <v>0</v>
      </c>
      <c r="BC130" s="127">
        <f t="shared" si="20"/>
        <v>0</v>
      </c>
      <c r="BD130" s="105">
        <v>0</v>
      </c>
      <c r="BE130" s="118">
        <f t="shared" si="21"/>
        <v>0</v>
      </c>
      <c r="BF130" s="5">
        <v>0</v>
      </c>
      <c r="BG130" s="118">
        <f t="shared" si="22"/>
        <v>0</v>
      </c>
      <c r="BH130" s="5">
        <v>0</v>
      </c>
      <c r="BI130" s="127">
        <f t="shared" si="23"/>
        <v>0</v>
      </c>
      <c r="BJ130" s="220" t="s">
        <v>616</v>
      </c>
      <c r="BL130" s="1" t="s">
        <v>578</v>
      </c>
      <c r="BM130" s="233" t="s">
        <v>625</v>
      </c>
      <c r="BN130" s="233"/>
      <c r="BO130" s="234"/>
    </row>
    <row r="131" spans="1:67">
      <c r="A131" s="219" t="s">
        <v>823</v>
      </c>
      <c r="B131" s="106" t="s">
        <v>244</v>
      </c>
      <c r="C131" s="66" t="s">
        <v>175</v>
      </c>
      <c r="D131" s="284"/>
      <c r="E131" s="77" t="s">
        <v>253</v>
      </c>
      <c r="F131" s="282"/>
      <c r="G131" s="71" t="s">
        <v>202</v>
      </c>
      <c r="H131" s="70" t="s">
        <v>615</v>
      </c>
      <c r="I131" s="70" t="s">
        <v>184</v>
      </c>
      <c r="J131" s="71" t="s">
        <v>567</v>
      </c>
      <c r="K131" s="70" t="s">
        <v>250</v>
      </c>
      <c r="L131" s="69" t="s">
        <v>257</v>
      </c>
      <c r="M131" s="180" t="s">
        <v>608</v>
      </c>
      <c r="N131" s="144">
        <v>15.75</v>
      </c>
      <c r="O131" s="144">
        <v>15.75</v>
      </c>
      <c r="P131" s="144">
        <v>15.75</v>
      </c>
      <c r="Q131" s="144">
        <v>15.75</v>
      </c>
      <c r="R131" s="144">
        <v>15.75</v>
      </c>
      <c r="S131" s="144">
        <v>15.75</v>
      </c>
      <c r="T131" s="144">
        <v>15.75</v>
      </c>
      <c r="U131" s="144">
        <v>15.75</v>
      </c>
      <c r="V131" s="144">
        <v>15.75</v>
      </c>
      <c r="W131" s="144">
        <v>15.75</v>
      </c>
      <c r="X131" s="144">
        <v>15.75</v>
      </c>
      <c r="Y131" s="259">
        <v>15.75</v>
      </c>
      <c r="Z131" s="144">
        <v>0.46</v>
      </c>
      <c r="AA131" s="144">
        <v>0.46</v>
      </c>
      <c r="AB131" s="144">
        <v>0.46</v>
      </c>
      <c r="AC131" s="144">
        <v>0.46</v>
      </c>
      <c r="AD131" s="144">
        <v>0.46</v>
      </c>
      <c r="AE131" s="144">
        <v>0.46</v>
      </c>
      <c r="AF131" s="144">
        <v>0.46</v>
      </c>
      <c r="AG131" s="144">
        <v>0.46</v>
      </c>
      <c r="AH131" s="144">
        <v>0.46</v>
      </c>
      <c r="AI131" s="144">
        <v>0.46</v>
      </c>
      <c r="AJ131" s="144">
        <v>0.46</v>
      </c>
      <c r="AK131" s="259">
        <v>0.46</v>
      </c>
      <c r="AL131" s="105">
        <v>0</v>
      </c>
      <c r="AM131" s="118">
        <f t="shared" si="14"/>
        <v>0</v>
      </c>
      <c r="AN131" s="105">
        <v>0</v>
      </c>
      <c r="AO131" s="118">
        <f t="shared" si="2"/>
        <v>0</v>
      </c>
      <c r="AP131" s="105">
        <v>0</v>
      </c>
      <c r="AQ131" s="127">
        <f t="shared" si="3"/>
        <v>0</v>
      </c>
      <c r="AR131" s="5">
        <v>0</v>
      </c>
      <c r="AS131" s="118">
        <f t="shared" si="15"/>
        <v>0</v>
      </c>
      <c r="AT131" s="105">
        <v>0</v>
      </c>
      <c r="AU131" s="118">
        <f t="shared" si="16"/>
        <v>0</v>
      </c>
      <c r="AV131" s="105">
        <v>0</v>
      </c>
      <c r="AW131" s="127">
        <f t="shared" si="17"/>
        <v>0</v>
      </c>
      <c r="AX131" s="105">
        <v>0</v>
      </c>
      <c r="AY131" s="118">
        <f t="shared" si="18"/>
        <v>0</v>
      </c>
      <c r="AZ131" s="105">
        <v>0</v>
      </c>
      <c r="BA131" s="118">
        <f t="shared" si="19"/>
        <v>0</v>
      </c>
      <c r="BB131" s="5">
        <v>0</v>
      </c>
      <c r="BC131" s="127">
        <f t="shared" si="20"/>
        <v>0</v>
      </c>
      <c r="BD131" s="105">
        <v>0</v>
      </c>
      <c r="BE131" s="118">
        <f t="shared" si="21"/>
        <v>0</v>
      </c>
      <c r="BF131" s="5">
        <v>0</v>
      </c>
      <c r="BG131" s="118">
        <f t="shared" si="22"/>
        <v>0</v>
      </c>
      <c r="BH131" s="5">
        <v>0</v>
      </c>
      <c r="BI131" s="127">
        <f t="shared" si="23"/>
        <v>0</v>
      </c>
      <c r="BJ131" s="220" t="s">
        <v>616</v>
      </c>
      <c r="BL131" s="1" t="s">
        <v>578</v>
      </c>
      <c r="BM131" s="233" t="s">
        <v>626</v>
      </c>
      <c r="BN131" s="233"/>
      <c r="BO131" s="234"/>
    </row>
    <row r="132" spans="1:67">
      <c r="A132" s="219" t="s">
        <v>823</v>
      </c>
      <c r="B132" s="106" t="s">
        <v>244</v>
      </c>
      <c r="C132" s="66" t="s">
        <v>175</v>
      </c>
      <c r="D132" s="284"/>
      <c r="E132" s="77" t="s">
        <v>253</v>
      </c>
      <c r="F132" s="282"/>
      <c r="G132" s="71" t="s">
        <v>202</v>
      </c>
      <c r="H132" s="70" t="s">
        <v>615</v>
      </c>
      <c r="I132" s="70" t="s">
        <v>184</v>
      </c>
      <c r="J132" s="71" t="s">
        <v>567</v>
      </c>
      <c r="K132" s="70" t="s">
        <v>250</v>
      </c>
      <c r="L132" s="69" t="s">
        <v>257</v>
      </c>
      <c r="M132" s="180" t="s">
        <v>608</v>
      </c>
      <c r="N132" s="144">
        <v>15.75</v>
      </c>
      <c r="O132" s="144">
        <v>15.75</v>
      </c>
      <c r="P132" s="144">
        <v>15.75</v>
      </c>
      <c r="Q132" s="144">
        <v>15.75</v>
      </c>
      <c r="R132" s="144">
        <v>15.75</v>
      </c>
      <c r="S132" s="144">
        <v>15.75</v>
      </c>
      <c r="T132" s="144">
        <v>15.75</v>
      </c>
      <c r="U132" s="144">
        <v>15.75</v>
      </c>
      <c r="V132" s="144">
        <v>15.75</v>
      </c>
      <c r="W132" s="144">
        <v>15.75</v>
      </c>
      <c r="X132" s="144">
        <v>15.75</v>
      </c>
      <c r="Y132" s="259">
        <v>15.75</v>
      </c>
      <c r="Z132" s="144">
        <v>0.46</v>
      </c>
      <c r="AA132" s="144">
        <v>0.46</v>
      </c>
      <c r="AB132" s="144">
        <v>0.46</v>
      </c>
      <c r="AC132" s="144">
        <v>0.46</v>
      </c>
      <c r="AD132" s="144">
        <v>0.46</v>
      </c>
      <c r="AE132" s="144">
        <v>0.46</v>
      </c>
      <c r="AF132" s="144">
        <v>0.46</v>
      </c>
      <c r="AG132" s="144">
        <v>0.46</v>
      </c>
      <c r="AH132" s="144">
        <v>0.46</v>
      </c>
      <c r="AI132" s="144">
        <v>0.46</v>
      </c>
      <c r="AJ132" s="144">
        <v>0.46</v>
      </c>
      <c r="AK132" s="259">
        <v>0.46</v>
      </c>
      <c r="AL132" s="105">
        <v>0</v>
      </c>
      <c r="AM132" s="118">
        <f t="shared" ref="AM132:AM133" si="24">Z132*AL132</f>
        <v>0</v>
      </c>
      <c r="AN132" s="105">
        <v>0</v>
      </c>
      <c r="AO132" s="118">
        <f t="shared" ref="AO132:AO195" si="25">AA132*AN132</f>
        <v>0</v>
      </c>
      <c r="AP132" s="105">
        <v>0</v>
      </c>
      <c r="AQ132" s="127">
        <f t="shared" si="3"/>
        <v>0</v>
      </c>
      <c r="AR132" s="5">
        <v>0</v>
      </c>
      <c r="AS132" s="118">
        <f t="shared" si="15"/>
        <v>0</v>
      </c>
      <c r="AT132" s="105">
        <v>0</v>
      </c>
      <c r="AU132" s="118">
        <f t="shared" si="16"/>
        <v>0</v>
      </c>
      <c r="AV132" s="105">
        <v>0</v>
      </c>
      <c r="AW132" s="127">
        <f t="shared" si="17"/>
        <v>0</v>
      </c>
      <c r="AX132" s="105">
        <v>0</v>
      </c>
      <c r="AY132" s="118">
        <f t="shared" si="18"/>
        <v>0</v>
      </c>
      <c r="AZ132" s="105">
        <v>0</v>
      </c>
      <c r="BA132" s="118">
        <f t="shared" si="19"/>
        <v>0</v>
      </c>
      <c r="BB132" s="5">
        <v>0</v>
      </c>
      <c r="BC132" s="127">
        <f t="shared" si="20"/>
        <v>0</v>
      </c>
      <c r="BD132" s="105">
        <v>500</v>
      </c>
      <c r="BE132" s="118">
        <f t="shared" si="21"/>
        <v>230</v>
      </c>
      <c r="BF132" s="5">
        <v>1000</v>
      </c>
      <c r="BG132" s="118">
        <f t="shared" si="22"/>
        <v>460</v>
      </c>
      <c r="BH132" s="5">
        <v>500</v>
      </c>
      <c r="BI132" s="127">
        <f t="shared" si="23"/>
        <v>230</v>
      </c>
      <c r="BJ132" s="220" t="s">
        <v>616</v>
      </c>
      <c r="BL132" s="1" t="s">
        <v>578</v>
      </c>
      <c r="BM132" s="233" t="s">
        <v>627</v>
      </c>
      <c r="BN132" s="233"/>
      <c r="BO132" s="234"/>
    </row>
    <row r="133" spans="1:67">
      <c r="A133" s="219" t="s">
        <v>823</v>
      </c>
      <c r="B133" s="106" t="s">
        <v>244</v>
      </c>
      <c r="C133" s="66" t="s">
        <v>175</v>
      </c>
      <c r="D133" s="284"/>
      <c r="E133" s="77" t="s">
        <v>253</v>
      </c>
      <c r="F133" s="282"/>
      <c r="G133" s="71" t="s">
        <v>202</v>
      </c>
      <c r="H133" s="70" t="s">
        <v>615</v>
      </c>
      <c r="I133" s="70" t="s">
        <v>184</v>
      </c>
      <c r="J133" s="71" t="s">
        <v>567</v>
      </c>
      <c r="K133" s="70" t="s">
        <v>250</v>
      </c>
      <c r="L133" s="69" t="s">
        <v>257</v>
      </c>
      <c r="M133" s="180" t="s">
        <v>608</v>
      </c>
      <c r="N133" s="144">
        <v>15.75</v>
      </c>
      <c r="O133" s="144">
        <v>15.75</v>
      </c>
      <c r="P133" s="144">
        <v>15.75</v>
      </c>
      <c r="Q133" s="144">
        <v>15.75</v>
      </c>
      <c r="R133" s="144">
        <v>15.75</v>
      </c>
      <c r="S133" s="144">
        <v>15.75</v>
      </c>
      <c r="T133" s="144">
        <v>15.75</v>
      </c>
      <c r="U133" s="144">
        <v>15.75</v>
      </c>
      <c r="V133" s="144">
        <v>15.75</v>
      </c>
      <c r="W133" s="144">
        <v>15.75</v>
      </c>
      <c r="X133" s="144">
        <v>15.75</v>
      </c>
      <c r="Y133" s="259">
        <v>15.75</v>
      </c>
      <c r="Z133" s="144">
        <v>0.46</v>
      </c>
      <c r="AA133" s="144">
        <v>0.46</v>
      </c>
      <c r="AB133" s="144">
        <v>0.46</v>
      </c>
      <c r="AC133" s="144">
        <v>0.46</v>
      </c>
      <c r="AD133" s="144">
        <v>0.46</v>
      </c>
      <c r="AE133" s="144">
        <v>0.46</v>
      </c>
      <c r="AF133" s="144">
        <v>0.46</v>
      </c>
      <c r="AG133" s="144">
        <v>0.46</v>
      </c>
      <c r="AH133" s="144">
        <v>0.46</v>
      </c>
      <c r="AI133" s="144">
        <v>0.46</v>
      </c>
      <c r="AJ133" s="144">
        <v>0.46</v>
      </c>
      <c r="AK133" s="259">
        <v>0.46</v>
      </c>
      <c r="AL133" s="105">
        <v>0</v>
      </c>
      <c r="AM133" s="118">
        <f t="shared" si="24"/>
        <v>0</v>
      </c>
      <c r="AN133" s="105">
        <v>0</v>
      </c>
      <c r="AO133" s="118">
        <f t="shared" si="25"/>
        <v>0</v>
      </c>
      <c r="AP133" s="105">
        <v>0</v>
      </c>
      <c r="AQ133" s="127">
        <f t="shared" si="3"/>
        <v>0</v>
      </c>
      <c r="AR133" s="5">
        <v>0</v>
      </c>
      <c r="AS133" s="118">
        <f t="shared" si="15"/>
        <v>0</v>
      </c>
      <c r="AT133" s="105">
        <v>0</v>
      </c>
      <c r="AU133" s="118">
        <f t="shared" si="16"/>
        <v>0</v>
      </c>
      <c r="AV133" s="105">
        <v>0</v>
      </c>
      <c r="AW133" s="127">
        <f t="shared" si="17"/>
        <v>0</v>
      </c>
      <c r="AX133" s="105">
        <v>0</v>
      </c>
      <c r="AY133" s="118">
        <f t="shared" si="18"/>
        <v>0</v>
      </c>
      <c r="AZ133" s="105">
        <v>0</v>
      </c>
      <c r="BA133" s="118">
        <f t="shared" si="19"/>
        <v>0</v>
      </c>
      <c r="BB133" s="5">
        <v>0</v>
      </c>
      <c r="BC133" s="127">
        <f t="shared" si="20"/>
        <v>0</v>
      </c>
      <c r="BD133" s="105">
        <v>0</v>
      </c>
      <c r="BE133" s="118">
        <f t="shared" si="21"/>
        <v>0</v>
      </c>
      <c r="BF133" s="5">
        <v>0</v>
      </c>
      <c r="BG133" s="118">
        <f t="shared" si="22"/>
        <v>0</v>
      </c>
      <c r="BH133" s="5">
        <v>0</v>
      </c>
      <c r="BI133" s="127">
        <f t="shared" si="23"/>
        <v>0</v>
      </c>
      <c r="BJ133" s="220" t="s">
        <v>616</v>
      </c>
      <c r="BL133" s="1" t="s">
        <v>578</v>
      </c>
      <c r="BM133" s="233" t="s">
        <v>628</v>
      </c>
      <c r="BN133" s="233"/>
      <c r="BO133" s="234"/>
    </row>
    <row r="134" spans="1:67">
      <c r="A134" s="219" t="s">
        <v>823</v>
      </c>
      <c r="B134" s="106" t="s">
        <v>244</v>
      </c>
      <c r="C134" s="66" t="s">
        <v>175</v>
      </c>
      <c r="D134" s="284"/>
      <c r="E134" s="77" t="s">
        <v>253</v>
      </c>
      <c r="F134" s="282"/>
      <c r="G134" s="71" t="s">
        <v>202</v>
      </c>
      <c r="H134" s="70" t="s">
        <v>615</v>
      </c>
      <c r="I134" s="70" t="s">
        <v>184</v>
      </c>
      <c r="J134" s="71" t="s">
        <v>567</v>
      </c>
      <c r="K134" s="70" t="s">
        <v>250</v>
      </c>
      <c r="L134" s="69" t="s">
        <v>257</v>
      </c>
      <c r="M134" s="180" t="s">
        <v>608</v>
      </c>
      <c r="N134" s="144">
        <v>15.75</v>
      </c>
      <c r="O134" s="144">
        <v>15.75</v>
      </c>
      <c r="P134" s="144">
        <v>15.75</v>
      </c>
      <c r="Q134" s="144">
        <v>15.75</v>
      </c>
      <c r="R134" s="144">
        <v>15.75</v>
      </c>
      <c r="S134" s="144">
        <v>15.75</v>
      </c>
      <c r="T134" s="144">
        <v>15.75</v>
      </c>
      <c r="U134" s="144">
        <v>15.75</v>
      </c>
      <c r="V134" s="144">
        <v>15.75</v>
      </c>
      <c r="W134" s="144">
        <v>15.75</v>
      </c>
      <c r="X134" s="144">
        <v>15.75</v>
      </c>
      <c r="Y134" s="259">
        <v>15.75</v>
      </c>
      <c r="Z134" s="144">
        <v>0.46</v>
      </c>
      <c r="AA134" s="144">
        <v>0.46</v>
      </c>
      <c r="AB134" s="144">
        <v>0.46</v>
      </c>
      <c r="AC134" s="144">
        <v>0.46</v>
      </c>
      <c r="AD134" s="144">
        <v>0.46</v>
      </c>
      <c r="AE134" s="144">
        <v>0.46</v>
      </c>
      <c r="AF134" s="144">
        <v>0.46</v>
      </c>
      <c r="AG134" s="144">
        <v>0.46</v>
      </c>
      <c r="AH134" s="144">
        <v>0.46</v>
      </c>
      <c r="AI134" s="144">
        <v>0.46</v>
      </c>
      <c r="AJ134" s="144">
        <v>0.46</v>
      </c>
      <c r="AK134" s="259">
        <v>0.46</v>
      </c>
      <c r="AL134" s="105">
        <v>0</v>
      </c>
      <c r="AM134" s="118">
        <f t="shared" si="1"/>
        <v>0</v>
      </c>
      <c r="AN134" s="105">
        <v>0</v>
      </c>
      <c r="AO134" s="118">
        <f t="shared" si="25"/>
        <v>0</v>
      </c>
      <c r="AP134" s="105">
        <v>0</v>
      </c>
      <c r="AQ134" s="127">
        <f t="shared" si="3"/>
        <v>0</v>
      </c>
      <c r="AR134" s="5">
        <v>0</v>
      </c>
      <c r="AS134" s="118">
        <f t="shared" si="15"/>
        <v>0</v>
      </c>
      <c r="AT134" s="105">
        <v>0</v>
      </c>
      <c r="AU134" s="118">
        <f t="shared" si="16"/>
        <v>0</v>
      </c>
      <c r="AV134" s="105">
        <v>0</v>
      </c>
      <c r="AW134" s="127">
        <f t="shared" si="17"/>
        <v>0</v>
      </c>
      <c r="AX134" s="105">
        <v>0</v>
      </c>
      <c r="AY134" s="118">
        <f t="shared" si="18"/>
        <v>0</v>
      </c>
      <c r="AZ134" s="105">
        <v>0</v>
      </c>
      <c r="BA134" s="118">
        <f t="shared" si="19"/>
        <v>0</v>
      </c>
      <c r="BB134" s="5">
        <v>0</v>
      </c>
      <c r="BC134" s="127">
        <f t="shared" si="20"/>
        <v>0</v>
      </c>
      <c r="BD134" s="105">
        <v>0</v>
      </c>
      <c r="BE134" s="118">
        <f t="shared" si="21"/>
        <v>0</v>
      </c>
      <c r="BF134" s="5">
        <v>0</v>
      </c>
      <c r="BG134" s="118">
        <f t="shared" si="22"/>
        <v>0</v>
      </c>
      <c r="BH134" s="5">
        <v>0</v>
      </c>
      <c r="BI134" s="127">
        <f t="shared" si="23"/>
        <v>0</v>
      </c>
      <c r="BJ134" s="220" t="s">
        <v>616</v>
      </c>
      <c r="BL134" s="1" t="s">
        <v>578</v>
      </c>
      <c r="BM134" s="233" t="s">
        <v>629</v>
      </c>
      <c r="BN134" s="233"/>
      <c r="BO134" s="234"/>
    </row>
    <row r="135" spans="1:67">
      <c r="A135" s="219" t="s">
        <v>823</v>
      </c>
      <c r="B135" s="106" t="s">
        <v>244</v>
      </c>
      <c r="C135" s="66" t="s">
        <v>175</v>
      </c>
      <c r="D135" s="284"/>
      <c r="E135" s="77" t="s">
        <v>253</v>
      </c>
      <c r="F135" s="282"/>
      <c r="G135" s="71" t="s">
        <v>202</v>
      </c>
      <c r="H135" s="70" t="s">
        <v>615</v>
      </c>
      <c r="I135" s="70" t="s">
        <v>184</v>
      </c>
      <c r="J135" s="71" t="s">
        <v>567</v>
      </c>
      <c r="K135" s="70" t="s">
        <v>250</v>
      </c>
      <c r="L135" s="69" t="s">
        <v>257</v>
      </c>
      <c r="M135" s="180" t="s">
        <v>608</v>
      </c>
      <c r="N135" s="144">
        <v>15.75</v>
      </c>
      <c r="O135" s="144">
        <v>15.75</v>
      </c>
      <c r="P135" s="144">
        <v>15.75</v>
      </c>
      <c r="Q135" s="144">
        <v>15.75</v>
      </c>
      <c r="R135" s="144">
        <v>15.75</v>
      </c>
      <c r="S135" s="144">
        <v>15.75</v>
      </c>
      <c r="T135" s="144">
        <v>15.75</v>
      </c>
      <c r="U135" s="144">
        <v>15.75</v>
      </c>
      <c r="V135" s="144">
        <v>15.75</v>
      </c>
      <c r="W135" s="144">
        <v>15.75</v>
      </c>
      <c r="X135" s="144">
        <v>15.75</v>
      </c>
      <c r="Y135" s="259">
        <v>15.75</v>
      </c>
      <c r="Z135" s="144">
        <v>0.46</v>
      </c>
      <c r="AA135" s="144">
        <v>0.46</v>
      </c>
      <c r="AB135" s="144">
        <v>0.46</v>
      </c>
      <c r="AC135" s="144">
        <v>0.46</v>
      </c>
      <c r="AD135" s="144">
        <v>0.46</v>
      </c>
      <c r="AE135" s="144">
        <v>0.46</v>
      </c>
      <c r="AF135" s="144">
        <v>0.46</v>
      </c>
      <c r="AG135" s="144">
        <v>0.46</v>
      </c>
      <c r="AH135" s="144">
        <v>0.46</v>
      </c>
      <c r="AI135" s="144">
        <v>0.46</v>
      </c>
      <c r="AJ135" s="144">
        <v>0.46</v>
      </c>
      <c r="AK135" s="259">
        <v>0.46</v>
      </c>
      <c r="AL135" s="105">
        <v>0</v>
      </c>
      <c r="AM135" s="118">
        <f t="shared" si="1"/>
        <v>0</v>
      </c>
      <c r="AN135" s="105">
        <v>0</v>
      </c>
      <c r="AO135" s="118">
        <f t="shared" si="25"/>
        <v>0</v>
      </c>
      <c r="AP135" s="105">
        <v>0</v>
      </c>
      <c r="AQ135" s="127">
        <f t="shared" si="3"/>
        <v>0</v>
      </c>
      <c r="AR135" s="5">
        <v>0</v>
      </c>
      <c r="AS135" s="118">
        <f t="shared" si="15"/>
        <v>0</v>
      </c>
      <c r="AT135" s="105">
        <v>0</v>
      </c>
      <c r="AU135" s="118">
        <f t="shared" si="16"/>
        <v>0</v>
      </c>
      <c r="AV135" s="105">
        <v>0</v>
      </c>
      <c r="AW135" s="127">
        <f t="shared" si="17"/>
        <v>0</v>
      </c>
      <c r="AX135" s="105">
        <v>0</v>
      </c>
      <c r="AY135" s="118">
        <f t="shared" si="18"/>
        <v>0</v>
      </c>
      <c r="AZ135" s="105">
        <v>0</v>
      </c>
      <c r="BA135" s="118">
        <f t="shared" si="19"/>
        <v>0</v>
      </c>
      <c r="BB135" s="5">
        <v>0</v>
      </c>
      <c r="BC135" s="127">
        <f t="shared" si="20"/>
        <v>0</v>
      </c>
      <c r="BD135" s="105">
        <v>0</v>
      </c>
      <c r="BE135" s="118">
        <f t="shared" si="21"/>
        <v>0</v>
      </c>
      <c r="BF135" s="5">
        <v>0</v>
      </c>
      <c r="BG135" s="118">
        <f t="shared" si="22"/>
        <v>0</v>
      </c>
      <c r="BH135" s="5">
        <v>0</v>
      </c>
      <c r="BI135" s="127">
        <f t="shared" si="23"/>
        <v>0</v>
      </c>
      <c r="BJ135" s="220" t="s">
        <v>616</v>
      </c>
      <c r="BL135" s="1" t="s">
        <v>578</v>
      </c>
      <c r="BM135" s="233" t="s">
        <v>630</v>
      </c>
      <c r="BN135" s="233"/>
      <c r="BO135" s="234"/>
    </row>
    <row r="136" spans="1:67">
      <c r="A136" s="219" t="s">
        <v>823</v>
      </c>
      <c r="B136" s="106" t="s">
        <v>244</v>
      </c>
      <c r="C136" s="66" t="s">
        <v>175</v>
      </c>
      <c r="D136" s="284"/>
      <c r="E136" s="77" t="s">
        <v>253</v>
      </c>
      <c r="F136" s="282"/>
      <c r="G136" s="71" t="s">
        <v>202</v>
      </c>
      <c r="H136" s="70" t="s">
        <v>615</v>
      </c>
      <c r="I136" s="70" t="s">
        <v>184</v>
      </c>
      <c r="J136" s="71" t="s">
        <v>567</v>
      </c>
      <c r="K136" s="70" t="s">
        <v>250</v>
      </c>
      <c r="L136" s="69" t="s">
        <v>257</v>
      </c>
      <c r="M136" s="180" t="s">
        <v>608</v>
      </c>
      <c r="N136" s="144">
        <v>15.75</v>
      </c>
      <c r="O136" s="144">
        <v>15.75</v>
      </c>
      <c r="P136" s="144">
        <v>15.75</v>
      </c>
      <c r="Q136" s="144">
        <v>15.75</v>
      </c>
      <c r="R136" s="144">
        <v>15.75</v>
      </c>
      <c r="S136" s="144">
        <v>15.75</v>
      </c>
      <c r="T136" s="144">
        <v>15.75</v>
      </c>
      <c r="U136" s="144">
        <v>15.75</v>
      </c>
      <c r="V136" s="144">
        <v>15.75</v>
      </c>
      <c r="W136" s="144">
        <v>15.75</v>
      </c>
      <c r="X136" s="144">
        <v>15.75</v>
      </c>
      <c r="Y136" s="259">
        <v>15.75</v>
      </c>
      <c r="Z136" s="144">
        <v>0.46</v>
      </c>
      <c r="AA136" s="144">
        <v>0.46</v>
      </c>
      <c r="AB136" s="144">
        <v>0.46</v>
      </c>
      <c r="AC136" s="144">
        <v>0.46</v>
      </c>
      <c r="AD136" s="144">
        <v>0.46</v>
      </c>
      <c r="AE136" s="144">
        <v>0.46</v>
      </c>
      <c r="AF136" s="144">
        <v>0.46</v>
      </c>
      <c r="AG136" s="144">
        <v>0.46</v>
      </c>
      <c r="AH136" s="144">
        <v>0.46</v>
      </c>
      <c r="AI136" s="144">
        <v>0.46</v>
      </c>
      <c r="AJ136" s="144">
        <v>0.46</v>
      </c>
      <c r="AK136" s="259">
        <v>0.46</v>
      </c>
      <c r="AL136" s="105">
        <v>0</v>
      </c>
      <c r="AM136" s="118">
        <f t="shared" si="1"/>
        <v>0</v>
      </c>
      <c r="AN136" s="105">
        <v>0</v>
      </c>
      <c r="AO136" s="118">
        <f t="shared" si="25"/>
        <v>0</v>
      </c>
      <c r="AP136" s="105">
        <v>0</v>
      </c>
      <c r="AQ136" s="127">
        <f t="shared" si="3"/>
        <v>0</v>
      </c>
      <c r="AR136" s="5">
        <v>0</v>
      </c>
      <c r="AS136" s="118">
        <f t="shared" si="15"/>
        <v>0</v>
      </c>
      <c r="AT136" s="105">
        <v>0</v>
      </c>
      <c r="AU136" s="118">
        <f t="shared" si="16"/>
        <v>0</v>
      </c>
      <c r="AV136" s="105">
        <v>0</v>
      </c>
      <c r="AW136" s="127">
        <f t="shared" si="17"/>
        <v>0</v>
      </c>
      <c r="AX136" s="105">
        <v>0</v>
      </c>
      <c r="AY136" s="118">
        <f t="shared" si="18"/>
        <v>0</v>
      </c>
      <c r="AZ136" s="105">
        <v>0</v>
      </c>
      <c r="BA136" s="118">
        <f t="shared" si="19"/>
        <v>0</v>
      </c>
      <c r="BB136" s="5">
        <v>0</v>
      </c>
      <c r="BC136" s="127">
        <f t="shared" si="20"/>
        <v>0</v>
      </c>
      <c r="BD136" s="105">
        <v>0</v>
      </c>
      <c r="BE136" s="118">
        <f t="shared" si="21"/>
        <v>0</v>
      </c>
      <c r="BF136" s="5">
        <v>0</v>
      </c>
      <c r="BG136" s="118">
        <f t="shared" si="22"/>
        <v>0</v>
      </c>
      <c r="BH136" s="5">
        <v>0</v>
      </c>
      <c r="BI136" s="127">
        <f t="shared" si="23"/>
        <v>0</v>
      </c>
      <c r="BJ136" s="220" t="s">
        <v>616</v>
      </c>
      <c r="BL136" s="1" t="s">
        <v>578</v>
      </c>
      <c r="BM136" s="233" t="s">
        <v>631</v>
      </c>
      <c r="BN136" s="233"/>
      <c r="BO136" s="234"/>
    </row>
    <row r="137" spans="1:67">
      <c r="A137" s="219" t="s">
        <v>823</v>
      </c>
      <c r="B137" s="106" t="s">
        <v>244</v>
      </c>
      <c r="C137" s="66" t="s">
        <v>175</v>
      </c>
      <c r="D137" s="284"/>
      <c r="E137" s="77" t="s">
        <v>253</v>
      </c>
      <c r="F137" s="282"/>
      <c r="G137" s="71" t="s">
        <v>202</v>
      </c>
      <c r="H137" s="70" t="s">
        <v>615</v>
      </c>
      <c r="I137" s="70" t="s">
        <v>184</v>
      </c>
      <c r="J137" s="71" t="s">
        <v>567</v>
      </c>
      <c r="K137" s="70" t="s">
        <v>250</v>
      </c>
      <c r="L137" s="69" t="s">
        <v>257</v>
      </c>
      <c r="M137" s="180" t="s">
        <v>608</v>
      </c>
      <c r="N137" s="144">
        <v>15.75</v>
      </c>
      <c r="O137" s="144">
        <v>15.75</v>
      </c>
      <c r="P137" s="144">
        <v>15.75</v>
      </c>
      <c r="Q137" s="144">
        <v>15.75</v>
      </c>
      <c r="R137" s="144">
        <v>15.75</v>
      </c>
      <c r="S137" s="144">
        <v>15.75</v>
      </c>
      <c r="T137" s="144">
        <v>15.75</v>
      </c>
      <c r="U137" s="144">
        <v>15.75</v>
      </c>
      <c r="V137" s="144">
        <v>15.75</v>
      </c>
      <c r="W137" s="144">
        <v>15.75</v>
      </c>
      <c r="X137" s="144">
        <v>15.75</v>
      </c>
      <c r="Y137" s="259">
        <v>15.75</v>
      </c>
      <c r="Z137" s="144">
        <v>0.46</v>
      </c>
      <c r="AA137" s="144">
        <v>0.46</v>
      </c>
      <c r="AB137" s="144">
        <v>0.46</v>
      </c>
      <c r="AC137" s="144">
        <v>0.46</v>
      </c>
      <c r="AD137" s="144">
        <v>0.46</v>
      </c>
      <c r="AE137" s="144">
        <v>0.46</v>
      </c>
      <c r="AF137" s="144">
        <v>0.46</v>
      </c>
      <c r="AG137" s="144">
        <v>0.46</v>
      </c>
      <c r="AH137" s="144">
        <v>0.46</v>
      </c>
      <c r="AI137" s="144">
        <v>0.46</v>
      </c>
      <c r="AJ137" s="144">
        <v>0.46</v>
      </c>
      <c r="AK137" s="259">
        <v>0.46</v>
      </c>
      <c r="AL137" s="105">
        <v>1000</v>
      </c>
      <c r="AM137" s="118">
        <f t="shared" si="1"/>
        <v>460</v>
      </c>
      <c r="AN137" s="105">
        <v>0</v>
      </c>
      <c r="AO137" s="118">
        <f t="shared" si="25"/>
        <v>0</v>
      </c>
      <c r="AP137" s="105">
        <v>0</v>
      </c>
      <c r="AQ137" s="127">
        <f t="shared" si="3"/>
        <v>0</v>
      </c>
      <c r="AR137" s="5">
        <v>400</v>
      </c>
      <c r="AS137" s="118">
        <f t="shared" si="15"/>
        <v>184</v>
      </c>
      <c r="AT137" s="105">
        <v>0</v>
      </c>
      <c r="AU137" s="118">
        <f t="shared" si="16"/>
        <v>0</v>
      </c>
      <c r="AV137" s="105">
        <v>0</v>
      </c>
      <c r="AW137" s="127">
        <f t="shared" si="17"/>
        <v>0</v>
      </c>
      <c r="AX137" s="105">
        <v>850</v>
      </c>
      <c r="AY137" s="118">
        <f t="shared" si="18"/>
        <v>391</v>
      </c>
      <c r="AZ137" s="105">
        <v>0</v>
      </c>
      <c r="BA137" s="118">
        <f t="shared" si="19"/>
        <v>0</v>
      </c>
      <c r="BB137" s="5">
        <v>0</v>
      </c>
      <c r="BC137" s="127">
        <f t="shared" si="20"/>
        <v>0</v>
      </c>
      <c r="BD137" s="105">
        <v>0</v>
      </c>
      <c r="BE137" s="118">
        <f t="shared" si="21"/>
        <v>0</v>
      </c>
      <c r="BF137" s="5">
        <v>0</v>
      </c>
      <c r="BG137" s="118">
        <f t="shared" si="22"/>
        <v>0</v>
      </c>
      <c r="BH137" s="5">
        <v>0</v>
      </c>
      <c r="BI137" s="127">
        <f t="shared" si="23"/>
        <v>0</v>
      </c>
      <c r="BJ137" s="220" t="s">
        <v>616</v>
      </c>
      <c r="BL137" s="1" t="s">
        <v>578</v>
      </c>
      <c r="BM137" s="233" t="s">
        <v>632</v>
      </c>
      <c r="BN137" s="233"/>
      <c r="BO137" s="234"/>
    </row>
    <row r="138" spans="1:67">
      <c r="A138" s="219" t="s">
        <v>823</v>
      </c>
      <c r="B138" s="106" t="s">
        <v>244</v>
      </c>
      <c r="C138" s="66" t="s">
        <v>175</v>
      </c>
      <c r="D138" s="284"/>
      <c r="E138" s="77" t="s">
        <v>253</v>
      </c>
      <c r="F138" s="282"/>
      <c r="G138" s="71" t="s">
        <v>202</v>
      </c>
      <c r="H138" s="70" t="s">
        <v>615</v>
      </c>
      <c r="I138" s="70" t="s">
        <v>184</v>
      </c>
      <c r="J138" s="71" t="s">
        <v>567</v>
      </c>
      <c r="K138" s="70" t="s">
        <v>250</v>
      </c>
      <c r="L138" s="69" t="s">
        <v>257</v>
      </c>
      <c r="M138" s="180" t="s">
        <v>608</v>
      </c>
      <c r="N138" s="144">
        <v>15.75</v>
      </c>
      <c r="O138" s="144">
        <v>15.75</v>
      </c>
      <c r="P138" s="144">
        <v>15.75</v>
      </c>
      <c r="Q138" s="144">
        <v>15.75</v>
      </c>
      <c r="R138" s="144">
        <v>15.75</v>
      </c>
      <c r="S138" s="144">
        <v>15.75</v>
      </c>
      <c r="T138" s="144">
        <v>15.75</v>
      </c>
      <c r="U138" s="144">
        <v>15.75</v>
      </c>
      <c r="V138" s="144">
        <v>15.75</v>
      </c>
      <c r="W138" s="144">
        <v>15.75</v>
      </c>
      <c r="X138" s="144">
        <v>15.75</v>
      </c>
      <c r="Y138" s="259">
        <v>15.75</v>
      </c>
      <c r="Z138" s="144">
        <v>0.46</v>
      </c>
      <c r="AA138" s="144">
        <v>0.46</v>
      </c>
      <c r="AB138" s="144">
        <v>0.46</v>
      </c>
      <c r="AC138" s="144">
        <v>0.46</v>
      </c>
      <c r="AD138" s="144">
        <v>0.46</v>
      </c>
      <c r="AE138" s="144">
        <v>0.46</v>
      </c>
      <c r="AF138" s="144">
        <v>0.46</v>
      </c>
      <c r="AG138" s="144">
        <v>0.46</v>
      </c>
      <c r="AH138" s="144">
        <v>0.46</v>
      </c>
      <c r="AI138" s="144">
        <v>0.46</v>
      </c>
      <c r="AJ138" s="144">
        <v>0.46</v>
      </c>
      <c r="AK138" s="259">
        <v>0.46</v>
      </c>
      <c r="AL138" s="105">
        <v>0</v>
      </c>
      <c r="AM138" s="118">
        <f t="shared" si="1"/>
        <v>0</v>
      </c>
      <c r="AN138" s="105">
        <v>0</v>
      </c>
      <c r="AO138" s="118">
        <f t="shared" si="25"/>
        <v>0</v>
      </c>
      <c r="AP138" s="105">
        <v>0</v>
      </c>
      <c r="AQ138" s="127">
        <f t="shared" si="3"/>
        <v>0</v>
      </c>
      <c r="AR138" s="5">
        <v>0</v>
      </c>
      <c r="AS138" s="118">
        <f t="shared" si="15"/>
        <v>0</v>
      </c>
      <c r="AT138" s="105">
        <v>0</v>
      </c>
      <c r="AU138" s="118">
        <f t="shared" si="16"/>
        <v>0</v>
      </c>
      <c r="AV138" s="105">
        <v>0</v>
      </c>
      <c r="AW138" s="127">
        <f t="shared" si="17"/>
        <v>0</v>
      </c>
      <c r="AX138" s="105">
        <v>0</v>
      </c>
      <c r="AY138" s="118">
        <f t="shared" si="18"/>
        <v>0</v>
      </c>
      <c r="AZ138" s="105">
        <v>0</v>
      </c>
      <c r="BA138" s="118">
        <f t="shared" si="19"/>
        <v>0</v>
      </c>
      <c r="BB138" s="5">
        <v>0</v>
      </c>
      <c r="BC138" s="127">
        <f t="shared" si="20"/>
        <v>0</v>
      </c>
      <c r="BD138" s="105">
        <v>0</v>
      </c>
      <c r="BE138" s="118">
        <f t="shared" si="21"/>
        <v>0</v>
      </c>
      <c r="BF138" s="5">
        <v>0</v>
      </c>
      <c r="BG138" s="118">
        <f t="shared" si="22"/>
        <v>0</v>
      </c>
      <c r="BH138" s="5">
        <v>0</v>
      </c>
      <c r="BI138" s="127">
        <f t="shared" si="23"/>
        <v>0</v>
      </c>
      <c r="BJ138" s="220" t="s">
        <v>616</v>
      </c>
      <c r="BL138" s="1" t="s">
        <v>578</v>
      </c>
      <c r="BM138" s="233" t="s">
        <v>633</v>
      </c>
      <c r="BN138" s="233"/>
      <c r="BO138" s="234"/>
    </row>
    <row r="139" spans="1:67">
      <c r="A139" s="219" t="s">
        <v>823</v>
      </c>
      <c r="B139" s="106" t="s">
        <v>244</v>
      </c>
      <c r="C139" s="66" t="s">
        <v>175</v>
      </c>
      <c r="D139" s="284"/>
      <c r="E139" s="77" t="s">
        <v>253</v>
      </c>
      <c r="F139" s="282"/>
      <c r="G139" s="71" t="s">
        <v>202</v>
      </c>
      <c r="H139" s="70" t="s">
        <v>615</v>
      </c>
      <c r="I139" s="70" t="s">
        <v>184</v>
      </c>
      <c r="J139" s="71" t="s">
        <v>567</v>
      </c>
      <c r="K139" s="70" t="s">
        <v>250</v>
      </c>
      <c r="L139" s="69" t="s">
        <v>257</v>
      </c>
      <c r="M139" s="180" t="s">
        <v>608</v>
      </c>
      <c r="N139" s="144">
        <v>15.75</v>
      </c>
      <c r="O139" s="144">
        <v>15.75</v>
      </c>
      <c r="P139" s="144">
        <v>15.75</v>
      </c>
      <c r="Q139" s="144">
        <v>15.75</v>
      </c>
      <c r="R139" s="144">
        <v>15.75</v>
      </c>
      <c r="S139" s="144">
        <v>15.75</v>
      </c>
      <c r="T139" s="144">
        <v>15.75</v>
      </c>
      <c r="U139" s="144">
        <v>15.75</v>
      </c>
      <c r="V139" s="144">
        <v>15.75</v>
      </c>
      <c r="W139" s="144">
        <v>15.75</v>
      </c>
      <c r="X139" s="144">
        <v>15.75</v>
      </c>
      <c r="Y139" s="259">
        <v>15.75</v>
      </c>
      <c r="Z139" s="144">
        <v>0.46</v>
      </c>
      <c r="AA139" s="144">
        <v>0.46</v>
      </c>
      <c r="AB139" s="144">
        <v>0.46</v>
      </c>
      <c r="AC139" s="144">
        <v>0.46</v>
      </c>
      <c r="AD139" s="144">
        <v>0.46</v>
      </c>
      <c r="AE139" s="144">
        <v>0.46</v>
      </c>
      <c r="AF139" s="144">
        <v>0.46</v>
      </c>
      <c r="AG139" s="144">
        <v>0.46</v>
      </c>
      <c r="AH139" s="144">
        <v>0.46</v>
      </c>
      <c r="AI139" s="144">
        <v>0.46</v>
      </c>
      <c r="AJ139" s="144">
        <v>0.46</v>
      </c>
      <c r="AK139" s="259">
        <v>0.46</v>
      </c>
      <c r="AL139" s="105">
        <v>360</v>
      </c>
      <c r="AM139" s="118">
        <f t="shared" si="1"/>
        <v>165.6</v>
      </c>
      <c r="AN139" s="105">
        <v>0</v>
      </c>
      <c r="AO139" s="118">
        <f t="shared" si="25"/>
        <v>0</v>
      </c>
      <c r="AP139" s="105">
        <v>0</v>
      </c>
      <c r="AQ139" s="127">
        <f t="shared" si="3"/>
        <v>0</v>
      </c>
      <c r="AR139" s="5">
        <v>0</v>
      </c>
      <c r="AS139" s="118">
        <f t="shared" si="15"/>
        <v>0</v>
      </c>
      <c r="AT139" s="105">
        <v>0</v>
      </c>
      <c r="AU139" s="118">
        <f t="shared" si="16"/>
        <v>0</v>
      </c>
      <c r="AV139" s="105">
        <v>0</v>
      </c>
      <c r="AW139" s="127">
        <f t="shared" si="17"/>
        <v>0</v>
      </c>
      <c r="AX139" s="105">
        <v>200</v>
      </c>
      <c r="AY139" s="118">
        <f t="shared" si="18"/>
        <v>92</v>
      </c>
      <c r="AZ139" s="105">
        <v>0</v>
      </c>
      <c r="BA139" s="118">
        <f t="shared" si="19"/>
        <v>0</v>
      </c>
      <c r="BB139" s="5">
        <v>0</v>
      </c>
      <c r="BC139" s="127">
        <f t="shared" si="20"/>
        <v>0</v>
      </c>
      <c r="BD139" s="105">
        <v>0</v>
      </c>
      <c r="BE139" s="118">
        <f t="shared" si="21"/>
        <v>0</v>
      </c>
      <c r="BF139" s="5">
        <v>0</v>
      </c>
      <c r="BG139" s="118">
        <f t="shared" si="22"/>
        <v>0</v>
      </c>
      <c r="BH139" s="5">
        <v>0</v>
      </c>
      <c r="BI139" s="127">
        <f t="shared" si="23"/>
        <v>0</v>
      </c>
      <c r="BJ139" s="220" t="s">
        <v>616</v>
      </c>
      <c r="BL139" s="1" t="s">
        <v>578</v>
      </c>
      <c r="BM139" s="233" t="s">
        <v>634</v>
      </c>
      <c r="BN139" s="233"/>
      <c r="BO139" s="234"/>
    </row>
    <row r="140" spans="1:67">
      <c r="A140" s="219" t="s">
        <v>823</v>
      </c>
      <c r="B140" s="106" t="s">
        <v>244</v>
      </c>
      <c r="C140" s="66" t="s">
        <v>175</v>
      </c>
      <c r="D140" s="284"/>
      <c r="E140" s="77" t="s">
        <v>253</v>
      </c>
      <c r="F140" s="282"/>
      <c r="G140" s="71" t="s">
        <v>202</v>
      </c>
      <c r="H140" s="70" t="s">
        <v>615</v>
      </c>
      <c r="I140" s="70" t="s">
        <v>184</v>
      </c>
      <c r="J140" s="71" t="s">
        <v>567</v>
      </c>
      <c r="K140" s="70" t="s">
        <v>250</v>
      </c>
      <c r="L140" s="69" t="s">
        <v>257</v>
      </c>
      <c r="M140" s="180" t="s">
        <v>608</v>
      </c>
      <c r="N140" s="144">
        <v>15.75</v>
      </c>
      <c r="O140" s="144">
        <v>15.75</v>
      </c>
      <c r="P140" s="144">
        <v>15.75</v>
      </c>
      <c r="Q140" s="144">
        <v>15.75</v>
      </c>
      <c r="R140" s="144">
        <v>15.75</v>
      </c>
      <c r="S140" s="144">
        <v>15.75</v>
      </c>
      <c r="T140" s="144">
        <v>15.75</v>
      </c>
      <c r="U140" s="144">
        <v>15.75</v>
      </c>
      <c r="V140" s="144">
        <v>15.75</v>
      </c>
      <c r="W140" s="144">
        <v>15.75</v>
      </c>
      <c r="X140" s="144">
        <v>15.75</v>
      </c>
      <c r="Y140" s="259">
        <v>15.75</v>
      </c>
      <c r="Z140" s="144">
        <v>0.46</v>
      </c>
      <c r="AA140" s="144">
        <v>0.46</v>
      </c>
      <c r="AB140" s="144">
        <v>0.46</v>
      </c>
      <c r="AC140" s="144">
        <v>0.46</v>
      </c>
      <c r="AD140" s="144">
        <v>0.46</v>
      </c>
      <c r="AE140" s="144">
        <v>0.46</v>
      </c>
      <c r="AF140" s="144">
        <v>0.46</v>
      </c>
      <c r="AG140" s="144">
        <v>0.46</v>
      </c>
      <c r="AH140" s="144">
        <v>0.46</v>
      </c>
      <c r="AI140" s="144">
        <v>0.46</v>
      </c>
      <c r="AJ140" s="144">
        <v>0.46</v>
      </c>
      <c r="AK140" s="259">
        <v>0.46</v>
      </c>
      <c r="AL140" s="105">
        <v>0</v>
      </c>
      <c r="AM140" s="118">
        <f t="shared" si="1"/>
        <v>0</v>
      </c>
      <c r="AN140" s="105">
        <v>0</v>
      </c>
      <c r="AO140" s="118">
        <f t="shared" si="25"/>
        <v>0</v>
      </c>
      <c r="AP140" s="105">
        <v>0</v>
      </c>
      <c r="AQ140" s="127">
        <f t="shared" si="3"/>
        <v>0</v>
      </c>
      <c r="AR140" s="5">
        <v>350</v>
      </c>
      <c r="AS140" s="118">
        <f t="shared" si="15"/>
        <v>161</v>
      </c>
      <c r="AT140" s="105">
        <v>0</v>
      </c>
      <c r="AU140" s="118">
        <f t="shared" si="16"/>
        <v>0</v>
      </c>
      <c r="AV140" s="105">
        <v>0</v>
      </c>
      <c r="AW140" s="127">
        <f t="shared" si="17"/>
        <v>0</v>
      </c>
      <c r="AX140" s="105">
        <v>0</v>
      </c>
      <c r="AY140" s="118">
        <f t="shared" si="18"/>
        <v>0</v>
      </c>
      <c r="AZ140" s="105">
        <v>0</v>
      </c>
      <c r="BA140" s="118">
        <f t="shared" si="19"/>
        <v>0</v>
      </c>
      <c r="BB140" s="5">
        <v>0</v>
      </c>
      <c r="BC140" s="127">
        <f t="shared" si="20"/>
        <v>0</v>
      </c>
      <c r="BD140" s="105">
        <v>0</v>
      </c>
      <c r="BE140" s="118">
        <f t="shared" si="21"/>
        <v>0</v>
      </c>
      <c r="BF140" s="5">
        <v>0</v>
      </c>
      <c r="BG140" s="118">
        <f t="shared" si="22"/>
        <v>0</v>
      </c>
      <c r="BH140" s="5">
        <v>0</v>
      </c>
      <c r="BI140" s="127">
        <f t="shared" si="23"/>
        <v>0</v>
      </c>
      <c r="BJ140" s="220" t="s">
        <v>616</v>
      </c>
      <c r="BL140" s="1" t="s">
        <v>578</v>
      </c>
      <c r="BM140" s="233" t="s">
        <v>635</v>
      </c>
      <c r="BN140" s="233"/>
      <c r="BO140" s="234"/>
    </row>
    <row r="141" spans="1:67">
      <c r="A141" s="219" t="s">
        <v>823</v>
      </c>
      <c r="B141" s="106" t="s">
        <v>244</v>
      </c>
      <c r="C141" s="66" t="s">
        <v>175</v>
      </c>
      <c r="D141" s="284"/>
      <c r="E141" s="77" t="s">
        <v>253</v>
      </c>
      <c r="F141" s="282"/>
      <c r="G141" s="71" t="s">
        <v>202</v>
      </c>
      <c r="H141" s="70" t="s">
        <v>615</v>
      </c>
      <c r="I141" s="70" t="s">
        <v>184</v>
      </c>
      <c r="J141" s="71" t="s">
        <v>567</v>
      </c>
      <c r="K141" s="70" t="s">
        <v>250</v>
      </c>
      <c r="L141" s="69" t="s">
        <v>257</v>
      </c>
      <c r="M141" s="180" t="s">
        <v>608</v>
      </c>
      <c r="N141" s="144">
        <v>15.75</v>
      </c>
      <c r="O141" s="144">
        <v>15.75</v>
      </c>
      <c r="P141" s="144">
        <v>15.75</v>
      </c>
      <c r="Q141" s="144">
        <v>15.75</v>
      </c>
      <c r="R141" s="144">
        <v>15.75</v>
      </c>
      <c r="S141" s="144">
        <v>15.75</v>
      </c>
      <c r="T141" s="144">
        <v>15.75</v>
      </c>
      <c r="U141" s="144">
        <v>15.75</v>
      </c>
      <c r="V141" s="144">
        <v>15.75</v>
      </c>
      <c r="W141" s="144">
        <v>15.75</v>
      </c>
      <c r="X141" s="144">
        <v>15.75</v>
      </c>
      <c r="Y141" s="259">
        <v>15.75</v>
      </c>
      <c r="Z141" s="144">
        <v>0.46</v>
      </c>
      <c r="AA141" s="144">
        <v>0.46</v>
      </c>
      <c r="AB141" s="144">
        <v>0.46</v>
      </c>
      <c r="AC141" s="144">
        <v>0.46</v>
      </c>
      <c r="AD141" s="144">
        <v>0.46</v>
      </c>
      <c r="AE141" s="144">
        <v>0.46</v>
      </c>
      <c r="AF141" s="144">
        <v>0.46</v>
      </c>
      <c r="AG141" s="144">
        <v>0.46</v>
      </c>
      <c r="AH141" s="144">
        <v>0.46</v>
      </c>
      <c r="AI141" s="144">
        <v>0.46</v>
      </c>
      <c r="AJ141" s="144">
        <v>0.46</v>
      </c>
      <c r="AK141" s="259">
        <v>0.46</v>
      </c>
      <c r="AL141" s="105">
        <v>0</v>
      </c>
      <c r="AM141" s="118">
        <f t="shared" si="1"/>
        <v>0</v>
      </c>
      <c r="AN141" s="105">
        <v>0</v>
      </c>
      <c r="AO141" s="118">
        <f t="shared" si="25"/>
        <v>0</v>
      </c>
      <c r="AP141" s="105">
        <v>0</v>
      </c>
      <c r="AQ141" s="127">
        <f t="shared" si="3"/>
        <v>0</v>
      </c>
      <c r="AR141" s="5">
        <v>0</v>
      </c>
      <c r="AS141" s="118">
        <f t="shared" si="15"/>
        <v>0</v>
      </c>
      <c r="AT141" s="105">
        <v>0</v>
      </c>
      <c r="AU141" s="118">
        <f t="shared" si="16"/>
        <v>0</v>
      </c>
      <c r="AV141" s="105">
        <v>0</v>
      </c>
      <c r="AW141" s="127">
        <f t="shared" si="17"/>
        <v>0</v>
      </c>
      <c r="AX141" s="105">
        <v>0</v>
      </c>
      <c r="AY141" s="118">
        <f t="shared" si="18"/>
        <v>0</v>
      </c>
      <c r="AZ141" s="105">
        <v>0</v>
      </c>
      <c r="BA141" s="118">
        <f t="shared" si="19"/>
        <v>0</v>
      </c>
      <c r="BB141" s="5">
        <v>0</v>
      </c>
      <c r="BC141" s="127">
        <f t="shared" si="20"/>
        <v>0</v>
      </c>
      <c r="BD141" s="105">
        <v>0</v>
      </c>
      <c r="BE141" s="118">
        <f t="shared" si="21"/>
        <v>0</v>
      </c>
      <c r="BF141" s="5">
        <v>0</v>
      </c>
      <c r="BG141" s="118">
        <f t="shared" si="22"/>
        <v>0</v>
      </c>
      <c r="BH141" s="5">
        <v>0</v>
      </c>
      <c r="BI141" s="127">
        <f t="shared" si="23"/>
        <v>0</v>
      </c>
      <c r="BJ141" s="220" t="s">
        <v>616</v>
      </c>
      <c r="BL141" s="1" t="s">
        <v>578</v>
      </c>
      <c r="BM141" s="233" t="s">
        <v>636</v>
      </c>
      <c r="BN141" s="233"/>
      <c r="BO141" s="234"/>
    </row>
    <row r="142" spans="1:67">
      <c r="A142" s="219" t="s">
        <v>823</v>
      </c>
      <c r="B142" s="106" t="s">
        <v>244</v>
      </c>
      <c r="C142" s="66" t="s">
        <v>175</v>
      </c>
      <c r="D142" s="284"/>
      <c r="E142" s="77" t="s">
        <v>253</v>
      </c>
      <c r="F142" s="282"/>
      <c r="G142" s="71" t="s">
        <v>202</v>
      </c>
      <c r="H142" s="70" t="s">
        <v>615</v>
      </c>
      <c r="I142" s="70" t="s">
        <v>184</v>
      </c>
      <c r="J142" s="71" t="s">
        <v>567</v>
      </c>
      <c r="K142" s="70" t="s">
        <v>250</v>
      </c>
      <c r="L142" s="69" t="s">
        <v>257</v>
      </c>
      <c r="M142" s="180" t="s">
        <v>608</v>
      </c>
      <c r="N142" s="144">
        <v>15.75</v>
      </c>
      <c r="O142" s="144">
        <v>15.75</v>
      </c>
      <c r="P142" s="144">
        <v>15.75</v>
      </c>
      <c r="Q142" s="144">
        <v>15.75</v>
      </c>
      <c r="R142" s="144">
        <v>15.75</v>
      </c>
      <c r="S142" s="144">
        <v>15.75</v>
      </c>
      <c r="T142" s="144">
        <v>15.75</v>
      </c>
      <c r="U142" s="144">
        <v>15.75</v>
      </c>
      <c r="V142" s="144">
        <v>15.75</v>
      </c>
      <c r="W142" s="144">
        <v>15.75</v>
      </c>
      <c r="X142" s="144">
        <v>15.75</v>
      </c>
      <c r="Y142" s="259">
        <v>15.75</v>
      </c>
      <c r="Z142" s="144">
        <v>0.46</v>
      </c>
      <c r="AA142" s="144">
        <v>0.46</v>
      </c>
      <c r="AB142" s="144">
        <v>0.46</v>
      </c>
      <c r="AC142" s="144">
        <v>0.46</v>
      </c>
      <c r="AD142" s="144">
        <v>0.46</v>
      </c>
      <c r="AE142" s="144">
        <v>0.46</v>
      </c>
      <c r="AF142" s="144">
        <v>0.46</v>
      </c>
      <c r="AG142" s="144">
        <v>0.46</v>
      </c>
      <c r="AH142" s="144">
        <v>0.46</v>
      </c>
      <c r="AI142" s="144">
        <v>0.46</v>
      </c>
      <c r="AJ142" s="144">
        <v>0.46</v>
      </c>
      <c r="AK142" s="259">
        <v>0.46</v>
      </c>
      <c r="AL142" s="105">
        <v>0</v>
      </c>
      <c r="AM142" s="118">
        <f t="shared" si="1"/>
        <v>0</v>
      </c>
      <c r="AN142" s="105">
        <v>0</v>
      </c>
      <c r="AO142" s="118">
        <f t="shared" si="25"/>
        <v>0</v>
      </c>
      <c r="AP142" s="105">
        <v>0</v>
      </c>
      <c r="AQ142" s="127">
        <f t="shared" si="3"/>
        <v>0</v>
      </c>
      <c r="AR142" s="5">
        <v>0</v>
      </c>
      <c r="AS142" s="118">
        <f t="shared" si="15"/>
        <v>0</v>
      </c>
      <c r="AT142" s="105">
        <v>0</v>
      </c>
      <c r="AU142" s="118">
        <f t="shared" si="16"/>
        <v>0</v>
      </c>
      <c r="AV142" s="105">
        <v>0</v>
      </c>
      <c r="AW142" s="127">
        <f t="shared" si="17"/>
        <v>0</v>
      </c>
      <c r="AX142" s="105">
        <v>0</v>
      </c>
      <c r="AY142" s="118">
        <f t="shared" si="18"/>
        <v>0</v>
      </c>
      <c r="AZ142" s="105">
        <v>0</v>
      </c>
      <c r="BA142" s="118">
        <f t="shared" si="19"/>
        <v>0</v>
      </c>
      <c r="BB142" s="5">
        <v>0</v>
      </c>
      <c r="BC142" s="127">
        <f t="shared" si="20"/>
        <v>0</v>
      </c>
      <c r="BD142" s="105">
        <v>0</v>
      </c>
      <c r="BE142" s="118">
        <f t="shared" si="21"/>
        <v>0</v>
      </c>
      <c r="BF142" s="5">
        <v>0</v>
      </c>
      <c r="BG142" s="118">
        <f t="shared" si="22"/>
        <v>0</v>
      </c>
      <c r="BH142" s="5">
        <v>0</v>
      </c>
      <c r="BI142" s="127">
        <f t="shared" si="23"/>
        <v>0</v>
      </c>
      <c r="BJ142" s="220" t="s">
        <v>616</v>
      </c>
      <c r="BL142" s="1" t="s">
        <v>578</v>
      </c>
      <c r="BM142" s="233" t="s">
        <v>637</v>
      </c>
      <c r="BN142" s="233"/>
      <c r="BO142" s="234"/>
    </row>
    <row r="143" spans="1:67">
      <c r="A143" s="219" t="s">
        <v>823</v>
      </c>
      <c r="B143" s="106" t="s">
        <v>244</v>
      </c>
      <c r="C143" s="66" t="s">
        <v>175</v>
      </c>
      <c r="D143" s="284"/>
      <c r="E143" s="77" t="s">
        <v>253</v>
      </c>
      <c r="F143" s="282"/>
      <c r="G143" s="71" t="s">
        <v>202</v>
      </c>
      <c r="H143" s="70" t="s">
        <v>615</v>
      </c>
      <c r="I143" s="70" t="s">
        <v>184</v>
      </c>
      <c r="J143" s="71" t="s">
        <v>567</v>
      </c>
      <c r="K143" s="70" t="s">
        <v>250</v>
      </c>
      <c r="L143" s="69" t="s">
        <v>257</v>
      </c>
      <c r="M143" s="180" t="s">
        <v>608</v>
      </c>
      <c r="N143" s="144">
        <v>15.75</v>
      </c>
      <c r="O143" s="144">
        <v>15.75</v>
      </c>
      <c r="P143" s="144">
        <v>15.75</v>
      </c>
      <c r="Q143" s="144">
        <v>15.75</v>
      </c>
      <c r="R143" s="144">
        <v>15.75</v>
      </c>
      <c r="S143" s="144">
        <v>15.75</v>
      </c>
      <c r="T143" s="144">
        <v>15.75</v>
      </c>
      <c r="U143" s="144">
        <v>15.75</v>
      </c>
      <c r="V143" s="144">
        <v>15.75</v>
      </c>
      <c r="W143" s="144">
        <v>15.75</v>
      </c>
      <c r="X143" s="144">
        <v>15.75</v>
      </c>
      <c r="Y143" s="259">
        <v>15.75</v>
      </c>
      <c r="Z143" s="144">
        <v>0.46</v>
      </c>
      <c r="AA143" s="144">
        <v>0.46</v>
      </c>
      <c r="AB143" s="144">
        <v>0.46</v>
      </c>
      <c r="AC143" s="144">
        <v>0.46</v>
      </c>
      <c r="AD143" s="144">
        <v>0.46</v>
      </c>
      <c r="AE143" s="144">
        <v>0.46</v>
      </c>
      <c r="AF143" s="144">
        <v>0.46</v>
      </c>
      <c r="AG143" s="144">
        <v>0.46</v>
      </c>
      <c r="AH143" s="144">
        <v>0.46</v>
      </c>
      <c r="AI143" s="144">
        <v>0.46</v>
      </c>
      <c r="AJ143" s="144">
        <v>0.46</v>
      </c>
      <c r="AK143" s="259">
        <v>0.46</v>
      </c>
      <c r="AL143" s="105">
        <v>0</v>
      </c>
      <c r="AM143" s="118">
        <f t="shared" si="1"/>
        <v>0</v>
      </c>
      <c r="AN143" s="105">
        <v>0</v>
      </c>
      <c r="AO143" s="118">
        <f t="shared" si="25"/>
        <v>0</v>
      </c>
      <c r="AP143" s="105">
        <v>0</v>
      </c>
      <c r="AQ143" s="127">
        <f t="shared" si="3"/>
        <v>0</v>
      </c>
      <c r="AR143" s="5">
        <v>0</v>
      </c>
      <c r="AS143" s="118">
        <f t="shared" si="15"/>
        <v>0</v>
      </c>
      <c r="AT143" s="105">
        <v>0</v>
      </c>
      <c r="AU143" s="118">
        <f t="shared" si="16"/>
        <v>0</v>
      </c>
      <c r="AV143" s="105">
        <v>0</v>
      </c>
      <c r="AW143" s="127">
        <f t="shared" si="17"/>
        <v>0</v>
      </c>
      <c r="AX143" s="105">
        <v>0</v>
      </c>
      <c r="AY143" s="118">
        <f t="shared" si="18"/>
        <v>0</v>
      </c>
      <c r="AZ143" s="105">
        <v>0</v>
      </c>
      <c r="BA143" s="118">
        <f t="shared" si="19"/>
        <v>0</v>
      </c>
      <c r="BB143" s="5">
        <v>0</v>
      </c>
      <c r="BC143" s="127">
        <f t="shared" si="20"/>
        <v>0</v>
      </c>
      <c r="BD143" s="105">
        <v>0</v>
      </c>
      <c r="BE143" s="118">
        <f t="shared" si="21"/>
        <v>0</v>
      </c>
      <c r="BF143" s="5">
        <v>0</v>
      </c>
      <c r="BG143" s="118">
        <f t="shared" si="22"/>
        <v>0</v>
      </c>
      <c r="BH143" s="5">
        <v>0</v>
      </c>
      <c r="BI143" s="127">
        <f t="shared" si="23"/>
        <v>0</v>
      </c>
      <c r="BJ143" s="220" t="s">
        <v>616</v>
      </c>
      <c r="BL143" s="1" t="s">
        <v>578</v>
      </c>
      <c r="BM143" s="233" t="s">
        <v>638</v>
      </c>
      <c r="BN143" s="233"/>
      <c r="BO143" s="234"/>
    </row>
    <row r="144" spans="1:67">
      <c r="A144" s="219" t="s">
        <v>823</v>
      </c>
      <c r="B144" s="106" t="s">
        <v>244</v>
      </c>
      <c r="C144" s="66" t="s">
        <v>175</v>
      </c>
      <c r="D144" s="284"/>
      <c r="E144" s="77" t="s">
        <v>253</v>
      </c>
      <c r="F144" s="282"/>
      <c r="G144" s="71" t="s">
        <v>202</v>
      </c>
      <c r="H144" s="70" t="s">
        <v>615</v>
      </c>
      <c r="I144" s="70" t="s">
        <v>184</v>
      </c>
      <c r="J144" s="71" t="s">
        <v>567</v>
      </c>
      <c r="K144" s="70" t="s">
        <v>250</v>
      </c>
      <c r="L144" s="69" t="s">
        <v>257</v>
      </c>
      <c r="M144" s="180" t="s">
        <v>608</v>
      </c>
      <c r="N144" s="144">
        <v>15.75</v>
      </c>
      <c r="O144" s="144">
        <v>15.75</v>
      </c>
      <c r="P144" s="144">
        <v>15.75</v>
      </c>
      <c r="Q144" s="144">
        <v>15.75</v>
      </c>
      <c r="R144" s="144">
        <v>15.75</v>
      </c>
      <c r="S144" s="144">
        <v>15.75</v>
      </c>
      <c r="T144" s="144">
        <v>15.75</v>
      </c>
      <c r="U144" s="144">
        <v>15.75</v>
      </c>
      <c r="V144" s="144">
        <v>15.75</v>
      </c>
      <c r="W144" s="144">
        <v>15.75</v>
      </c>
      <c r="X144" s="144">
        <v>15.75</v>
      </c>
      <c r="Y144" s="259">
        <v>15.75</v>
      </c>
      <c r="Z144" s="144">
        <v>0.46</v>
      </c>
      <c r="AA144" s="144">
        <v>0.46</v>
      </c>
      <c r="AB144" s="144">
        <v>0.46</v>
      </c>
      <c r="AC144" s="144">
        <v>0.46</v>
      </c>
      <c r="AD144" s="144">
        <v>0.46</v>
      </c>
      <c r="AE144" s="144">
        <v>0.46</v>
      </c>
      <c r="AF144" s="144">
        <v>0.46</v>
      </c>
      <c r="AG144" s="144">
        <v>0.46</v>
      </c>
      <c r="AH144" s="144">
        <v>0.46</v>
      </c>
      <c r="AI144" s="144">
        <v>0.46</v>
      </c>
      <c r="AJ144" s="144">
        <v>0.46</v>
      </c>
      <c r="AK144" s="259">
        <v>0.46</v>
      </c>
      <c r="AL144" s="105">
        <v>0</v>
      </c>
      <c r="AM144" s="118">
        <f t="shared" si="1"/>
        <v>0</v>
      </c>
      <c r="AN144" s="105">
        <v>0</v>
      </c>
      <c r="AO144" s="118">
        <f t="shared" si="25"/>
        <v>0</v>
      </c>
      <c r="AP144" s="105">
        <v>0</v>
      </c>
      <c r="AQ144" s="127">
        <f t="shared" si="3"/>
        <v>0</v>
      </c>
      <c r="AR144" s="5">
        <v>0</v>
      </c>
      <c r="AS144" s="118">
        <f t="shared" si="15"/>
        <v>0</v>
      </c>
      <c r="AT144" s="105">
        <v>0</v>
      </c>
      <c r="AU144" s="118">
        <f t="shared" si="16"/>
        <v>0</v>
      </c>
      <c r="AV144" s="105">
        <v>0</v>
      </c>
      <c r="AW144" s="127">
        <f t="shared" si="17"/>
        <v>0</v>
      </c>
      <c r="AX144" s="105">
        <v>0</v>
      </c>
      <c r="AY144" s="118">
        <f t="shared" si="18"/>
        <v>0</v>
      </c>
      <c r="AZ144" s="105">
        <v>0</v>
      </c>
      <c r="BA144" s="118">
        <f t="shared" si="19"/>
        <v>0</v>
      </c>
      <c r="BB144" s="5">
        <v>0</v>
      </c>
      <c r="BC144" s="127">
        <f t="shared" si="20"/>
        <v>0</v>
      </c>
      <c r="BD144" s="105">
        <v>0</v>
      </c>
      <c r="BE144" s="118">
        <f t="shared" si="21"/>
        <v>0</v>
      </c>
      <c r="BF144" s="5">
        <v>0</v>
      </c>
      <c r="BG144" s="118">
        <f t="shared" si="22"/>
        <v>0</v>
      </c>
      <c r="BH144" s="5">
        <v>0</v>
      </c>
      <c r="BI144" s="127">
        <f t="shared" si="23"/>
        <v>0</v>
      </c>
      <c r="BJ144" s="220" t="s">
        <v>616</v>
      </c>
      <c r="BL144" s="1" t="s">
        <v>578</v>
      </c>
      <c r="BM144" s="233" t="s">
        <v>639</v>
      </c>
      <c r="BN144" s="233"/>
      <c r="BO144" s="234"/>
    </row>
    <row r="145" spans="1:67">
      <c r="A145" s="219" t="s">
        <v>823</v>
      </c>
      <c r="B145" s="106" t="s">
        <v>244</v>
      </c>
      <c r="C145" s="66" t="s">
        <v>175</v>
      </c>
      <c r="D145" s="284"/>
      <c r="E145" s="77" t="s">
        <v>253</v>
      </c>
      <c r="F145" s="282"/>
      <c r="G145" s="71" t="s">
        <v>202</v>
      </c>
      <c r="H145" s="70" t="s">
        <v>615</v>
      </c>
      <c r="I145" s="70" t="s">
        <v>184</v>
      </c>
      <c r="J145" s="71" t="s">
        <v>567</v>
      </c>
      <c r="K145" s="70" t="s">
        <v>250</v>
      </c>
      <c r="L145" s="69" t="s">
        <v>257</v>
      </c>
      <c r="M145" s="180" t="s">
        <v>608</v>
      </c>
      <c r="N145" s="144">
        <v>15.75</v>
      </c>
      <c r="O145" s="144">
        <v>15.75</v>
      </c>
      <c r="P145" s="144">
        <v>15.75</v>
      </c>
      <c r="Q145" s="144">
        <v>15.75</v>
      </c>
      <c r="R145" s="144">
        <v>15.75</v>
      </c>
      <c r="S145" s="144">
        <v>15.75</v>
      </c>
      <c r="T145" s="144">
        <v>15.75</v>
      </c>
      <c r="U145" s="144">
        <v>15.75</v>
      </c>
      <c r="V145" s="144">
        <v>15.75</v>
      </c>
      <c r="W145" s="144">
        <v>15.75</v>
      </c>
      <c r="X145" s="144">
        <v>15.75</v>
      </c>
      <c r="Y145" s="259">
        <v>15.75</v>
      </c>
      <c r="Z145" s="144">
        <v>0.46</v>
      </c>
      <c r="AA145" s="144">
        <v>0.46</v>
      </c>
      <c r="AB145" s="144">
        <v>0.46</v>
      </c>
      <c r="AC145" s="144">
        <v>0.46</v>
      </c>
      <c r="AD145" s="144">
        <v>0.46</v>
      </c>
      <c r="AE145" s="144">
        <v>0.46</v>
      </c>
      <c r="AF145" s="144">
        <v>0.46</v>
      </c>
      <c r="AG145" s="144">
        <v>0.46</v>
      </c>
      <c r="AH145" s="144">
        <v>0.46</v>
      </c>
      <c r="AI145" s="144">
        <v>0.46</v>
      </c>
      <c r="AJ145" s="144">
        <v>0.46</v>
      </c>
      <c r="AK145" s="259">
        <v>0.46</v>
      </c>
      <c r="AL145" s="105">
        <v>0</v>
      </c>
      <c r="AM145" s="118">
        <f t="shared" si="1"/>
        <v>0</v>
      </c>
      <c r="AN145" s="105">
        <v>0</v>
      </c>
      <c r="AO145" s="118">
        <f t="shared" si="25"/>
        <v>0</v>
      </c>
      <c r="AP145" s="105">
        <v>0</v>
      </c>
      <c r="AQ145" s="127">
        <f t="shared" si="3"/>
        <v>0</v>
      </c>
      <c r="AR145" s="5">
        <v>0</v>
      </c>
      <c r="AS145" s="118">
        <f t="shared" si="15"/>
        <v>0</v>
      </c>
      <c r="AT145" s="105">
        <v>0</v>
      </c>
      <c r="AU145" s="118">
        <f t="shared" si="16"/>
        <v>0</v>
      </c>
      <c r="AV145" s="105">
        <v>0</v>
      </c>
      <c r="AW145" s="127">
        <f t="shared" si="17"/>
        <v>0</v>
      </c>
      <c r="AX145" s="105">
        <v>0</v>
      </c>
      <c r="AY145" s="118">
        <f t="shared" si="18"/>
        <v>0</v>
      </c>
      <c r="AZ145" s="105">
        <v>0</v>
      </c>
      <c r="BA145" s="118">
        <f t="shared" si="19"/>
        <v>0</v>
      </c>
      <c r="BB145" s="5">
        <v>0</v>
      </c>
      <c r="BC145" s="127">
        <f t="shared" si="20"/>
        <v>0</v>
      </c>
      <c r="BD145" s="105">
        <v>0</v>
      </c>
      <c r="BE145" s="118">
        <f t="shared" si="21"/>
        <v>0</v>
      </c>
      <c r="BF145" s="5">
        <v>0</v>
      </c>
      <c r="BG145" s="118">
        <f t="shared" si="22"/>
        <v>0</v>
      </c>
      <c r="BH145" s="5">
        <v>0</v>
      </c>
      <c r="BI145" s="127">
        <f t="shared" si="23"/>
        <v>0</v>
      </c>
      <c r="BJ145" s="220" t="s">
        <v>616</v>
      </c>
      <c r="BL145" s="1" t="s">
        <v>578</v>
      </c>
      <c r="BM145" s="233" t="s">
        <v>640</v>
      </c>
      <c r="BN145" s="233"/>
      <c r="BO145" s="234"/>
    </row>
    <row r="146" spans="1:67">
      <c r="A146" s="219" t="s">
        <v>823</v>
      </c>
      <c r="B146" s="106" t="s">
        <v>244</v>
      </c>
      <c r="C146" s="66" t="s">
        <v>175</v>
      </c>
      <c r="D146" s="284"/>
      <c r="E146" s="77" t="s">
        <v>253</v>
      </c>
      <c r="F146" s="282"/>
      <c r="G146" s="71" t="s">
        <v>202</v>
      </c>
      <c r="H146" s="70" t="s">
        <v>615</v>
      </c>
      <c r="I146" s="70" t="s">
        <v>184</v>
      </c>
      <c r="J146" s="71" t="s">
        <v>567</v>
      </c>
      <c r="K146" s="70" t="s">
        <v>250</v>
      </c>
      <c r="L146" s="69" t="s">
        <v>257</v>
      </c>
      <c r="M146" s="180" t="s">
        <v>608</v>
      </c>
      <c r="N146" s="144">
        <v>15.75</v>
      </c>
      <c r="O146" s="144">
        <v>15.75</v>
      </c>
      <c r="P146" s="144">
        <v>15.75</v>
      </c>
      <c r="Q146" s="144">
        <v>15.75</v>
      </c>
      <c r="R146" s="144">
        <v>15.75</v>
      </c>
      <c r="S146" s="144">
        <v>15.75</v>
      </c>
      <c r="T146" s="144">
        <v>15.75</v>
      </c>
      <c r="U146" s="144">
        <v>15.75</v>
      </c>
      <c r="V146" s="144">
        <v>15.75</v>
      </c>
      <c r="W146" s="144">
        <v>15.75</v>
      </c>
      <c r="X146" s="144">
        <v>15.75</v>
      </c>
      <c r="Y146" s="259">
        <v>15.75</v>
      </c>
      <c r="Z146" s="144">
        <v>0.46</v>
      </c>
      <c r="AA146" s="144">
        <v>0.46</v>
      </c>
      <c r="AB146" s="144">
        <v>0.46</v>
      </c>
      <c r="AC146" s="144">
        <v>0.46</v>
      </c>
      <c r="AD146" s="144">
        <v>0.46</v>
      </c>
      <c r="AE146" s="144">
        <v>0.46</v>
      </c>
      <c r="AF146" s="144">
        <v>0.46</v>
      </c>
      <c r="AG146" s="144">
        <v>0.46</v>
      </c>
      <c r="AH146" s="144">
        <v>0.46</v>
      </c>
      <c r="AI146" s="144">
        <v>0.46</v>
      </c>
      <c r="AJ146" s="144">
        <v>0.46</v>
      </c>
      <c r="AK146" s="259">
        <v>0.46</v>
      </c>
      <c r="AL146" s="105">
        <v>0</v>
      </c>
      <c r="AM146" s="118">
        <f t="shared" si="1"/>
        <v>0</v>
      </c>
      <c r="AN146" s="105">
        <v>0</v>
      </c>
      <c r="AO146" s="118">
        <f t="shared" si="25"/>
        <v>0</v>
      </c>
      <c r="AP146" s="105">
        <v>0</v>
      </c>
      <c r="AQ146" s="127">
        <f t="shared" si="3"/>
        <v>0</v>
      </c>
      <c r="AR146" s="5">
        <v>0</v>
      </c>
      <c r="AS146" s="118">
        <f t="shared" si="15"/>
        <v>0</v>
      </c>
      <c r="AT146" s="105">
        <v>0</v>
      </c>
      <c r="AU146" s="118">
        <f t="shared" si="16"/>
        <v>0</v>
      </c>
      <c r="AV146" s="105">
        <v>0</v>
      </c>
      <c r="AW146" s="127">
        <f t="shared" si="17"/>
        <v>0</v>
      </c>
      <c r="AX146" s="105">
        <v>0</v>
      </c>
      <c r="AY146" s="118">
        <f t="shared" si="18"/>
        <v>0</v>
      </c>
      <c r="AZ146" s="105">
        <v>0</v>
      </c>
      <c r="BA146" s="118">
        <f t="shared" si="19"/>
        <v>0</v>
      </c>
      <c r="BB146" s="5">
        <v>0</v>
      </c>
      <c r="BC146" s="127">
        <f t="shared" si="20"/>
        <v>0</v>
      </c>
      <c r="BD146" s="105">
        <v>0</v>
      </c>
      <c r="BE146" s="118">
        <f t="shared" si="21"/>
        <v>0</v>
      </c>
      <c r="BF146" s="5">
        <v>0</v>
      </c>
      <c r="BG146" s="118">
        <f t="shared" si="22"/>
        <v>0</v>
      </c>
      <c r="BH146" s="5">
        <v>0</v>
      </c>
      <c r="BI146" s="127">
        <f t="shared" si="23"/>
        <v>0</v>
      </c>
      <c r="BJ146" s="220" t="s">
        <v>616</v>
      </c>
      <c r="BL146" s="1" t="s">
        <v>578</v>
      </c>
      <c r="BM146" s="233" t="s">
        <v>641</v>
      </c>
      <c r="BN146" s="233"/>
      <c r="BO146" s="234"/>
    </row>
    <row r="147" spans="1:67">
      <c r="A147" s="219" t="s">
        <v>823</v>
      </c>
      <c r="B147" s="106" t="s">
        <v>244</v>
      </c>
      <c r="C147" s="66" t="s">
        <v>175</v>
      </c>
      <c r="D147" s="284"/>
      <c r="E147" s="77" t="s">
        <v>253</v>
      </c>
      <c r="F147" s="282"/>
      <c r="G147" s="71" t="s">
        <v>202</v>
      </c>
      <c r="H147" s="70" t="s">
        <v>615</v>
      </c>
      <c r="I147" s="70" t="s">
        <v>184</v>
      </c>
      <c r="J147" s="71" t="s">
        <v>567</v>
      </c>
      <c r="K147" s="70" t="s">
        <v>250</v>
      </c>
      <c r="L147" s="69" t="s">
        <v>257</v>
      </c>
      <c r="M147" s="180" t="s">
        <v>608</v>
      </c>
      <c r="N147" s="144">
        <v>15.75</v>
      </c>
      <c r="O147" s="144">
        <v>15.75</v>
      </c>
      <c r="P147" s="144">
        <v>15.75</v>
      </c>
      <c r="Q147" s="144">
        <v>15.75</v>
      </c>
      <c r="R147" s="144">
        <v>15.75</v>
      </c>
      <c r="S147" s="144">
        <v>15.75</v>
      </c>
      <c r="T147" s="144">
        <v>15.75</v>
      </c>
      <c r="U147" s="144">
        <v>15.75</v>
      </c>
      <c r="V147" s="144">
        <v>15.75</v>
      </c>
      <c r="W147" s="144">
        <v>15.75</v>
      </c>
      <c r="X147" s="144">
        <v>15.75</v>
      </c>
      <c r="Y147" s="259">
        <v>15.75</v>
      </c>
      <c r="Z147" s="144">
        <v>0.46</v>
      </c>
      <c r="AA147" s="144">
        <v>0.46</v>
      </c>
      <c r="AB147" s="144">
        <v>0.46</v>
      </c>
      <c r="AC147" s="144">
        <v>0.46</v>
      </c>
      <c r="AD147" s="144">
        <v>0.46</v>
      </c>
      <c r="AE147" s="144">
        <v>0.46</v>
      </c>
      <c r="AF147" s="144">
        <v>0.46</v>
      </c>
      <c r="AG147" s="144">
        <v>0.46</v>
      </c>
      <c r="AH147" s="144">
        <v>0.46</v>
      </c>
      <c r="AI147" s="144">
        <v>0.46</v>
      </c>
      <c r="AJ147" s="144">
        <v>0.46</v>
      </c>
      <c r="AK147" s="259">
        <v>0.46</v>
      </c>
      <c r="AL147" s="105">
        <v>0</v>
      </c>
      <c r="AM147" s="118">
        <f t="shared" si="1"/>
        <v>0</v>
      </c>
      <c r="AN147" s="105">
        <v>0</v>
      </c>
      <c r="AO147" s="118">
        <f t="shared" si="25"/>
        <v>0</v>
      </c>
      <c r="AP147" s="105">
        <v>0</v>
      </c>
      <c r="AQ147" s="127">
        <f t="shared" si="3"/>
        <v>0</v>
      </c>
      <c r="AR147" s="5">
        <v>0</v>
      </c>
      <c r="AS147" s="118">
        <f t="shared" si="15"/>
        <v>0</v>
      </c>
      <c r="AT147" s="105">
        <v>0</v>
      </c>
      <c r="AU147" s="118">
        <f t="shared" si="16"/>
        <v>0</v>
      </c>
      <c r="AV147" s="105">
        <v>0</v>
      </c>
      <c r="AW147" s="127">
        <f t="shared" si="17"/>
        <v>0</v>
      </c>
      <c r="AX147" s="105">
        <v>0</v>
      </c>
      <c r="AY147" s="118">
        <f t="shared" si="18"/>
        <v>0</v>
      </c>
      <c r="AZ147" s="105">
        <v>0</v>
      </c>
      <c r="BA147" s="118">
        <f t="shared" si="19"/>
        <v>0</v>
      </c>
      <c r="BB147" s="5">
        <v>0</v>
      </c>
      <c r="BC147" s="127">
        <f t="shared" si="20"/>
        <v>0</v>
      </c>
      <c r="BD147" s="105">
        <v>0</v>
      </c>
      <c r="BE147" s="118">
        <f t="shared" si="21"/>
        <v>0</v>
      </c>
      <c r="BF147" s="5">
        <v>0</v>
      </c>
      <c r="BG147" s="118">
        <f t="shared" si="22"/>
        <v>0</v>
      </c>
      <c r="BH147" s="5">
        <v>0</v>
      </c>
      <c r="BI147" s="127">
        <f t="shared" si="23"/>
        <v>0</v>
      </c>
      <c r="BJ147" s="220" t="s">
        <v>616</v>
      </c>
      <c r="BL147" s="1" t="s">
        <v>578</v>
      </c>
      <c r="BM147" s="233" t="s">
        <v>642</v>
      </c>
      <c r="BN147" s="233"/>
      <c r="BO147" s="234"/>
    </row>
    <row r="148" spans="1:67">
      <c r="A148" s="219" t="s">
        <v>823</v>
      </c>
      <c r="B148" s="106" t="s">
        <v>244</v>
      </c>
      <c r="C148" s="66" t="s">
        <v>175</v>
      </c>
      <c r="D148" s="284"/>
      <c r="E148" s="77" t="s">
        <v>253</v>
      </c>
      <c r="F148" s="282"/>
      <c r="G148" s="71" t="s">
        <v>202</v>
      </c>
      <c r="H148" s="70" t="s">
        <v>615</v>
      </c>
      <c r="I148" s="70" t="s">
        <v>184</v>
      </c>
      <c r="J148" s="71" t="s">
        <v>567</v>
      </c>
      <c r="K148" s="70" t="s">
        <v>250</v>
      </c>
      <c r="L148" s="69" t="s">
        <v>257</v>
      </c>
      <c r="M148" s="180" t="s">
        <v>608</v>
      </c>
      <c r="N148" s="144">
        <v>15.75</v>
      </c>
      <c r="O148" s="144">
        <v>15.75</v>
      </c>
      <c r="P148" s="144">
        <v>15.75</v>
      </c>
      <c r="Q148" s="144">
        <v>15.75</v>
      </c>
      <c r="R148" s="144">
        <v>15.75</v>
      </c>
      <c r="S148" s="144">
        <v>15.75</v>
      </c>
      <c r="T148" s="144">
        <v>15.75</v>
      </c>
      <c r="U148" s="144">
        <v>15.75</v>
      </c>
      <c r="V148" s="144">
        <v>15.75</v>
      </c>
      <c r="W148" s="144">
        <v>15.75</v>
      </c>
      <c r="X148" s="144">
        <v>15.75</v>
      </c>
      <c r="Y148" s="259">
        <v>15.75</v>
      </c>
      <c r="Z148" s="144">
        <v>0.46</v>
      </c>
      <c r="AA148" s="144">
        <v>0.46</v>
      </c>
      <c r="AB148" s="144">
        <v>0.46</v>
      </c>
      <c r="AC148" s="144">
        <v>0.46</v>
      </c>
      <c r="AD148" s="144">
        <v>0.46</v>
      </c>
      <c r="AE148" s="144">
        <v>0.46</v>
      </c>
      <c r="AF148" s="144">
        <v>0.46</v>
      </c>
      <c r="AG148" s="144">
        <v>0.46</v>
      </c>
      <c r="AH148" s="144">
        <v>0.46</v>
      </c>
      <c r="AI148" s="144">
        <v>0.46</v>
      </c>
      <c r="AJ148" s="144">
        <v>0.46</v>
      </c>
      <c r="AK148" s="259">
        <v>0.46</v>
      </c>
      <c r="AL148" s="105">
        <v>0</v>
      </c>
      <c r="AM148" s="118">
        <f t="shared" si="1"/>
        <v>0</v>
      </c>
      <c r="AN148" s="105">
        <v>0</v>
      </c>
      <c r="AO148" s="118">
        <f t="shared" si="25"/>
        <v>0</v>
      </c>
      <c r="AP148" s="105">
        <v>0</v>
      </c>
      <c r="AQ148" s="127">
        <f t="shared" si="3"/>
        <v>0</v>
      </c>
      <c r="AR148" s="5">
        <v>0</v>
      </c>
      <c r="AS148" s="118">
        <f t="shared" si="15"/>
        <v>0</v>
      </c>
      <c r="AT148" s="105">
        <v>0</v>
      </c>
      <c r="AU148" s="118">
        <f t="shared" si="16"/>
        <v>0</v>
      </c>
      <c r="AV148" s="105">
        <v>0</v>
      </c>
      <c r="AW148" s="127">
        <f t="shared" si="17"/>
        <v>0</v>
      </c>
      <c r="AX148" s="105">
        <v>0</v>
      </c>
      <c r="AY148" s="118">
        <f t="shared" si="18"/>
        <v>0</v>
      </c>
      <c r="AZ148" s="105">
        <v>0</v>
      </c>
      <c r="BA148" s="118">
        <f t="shared" si="19"/>
        <v>0</v>
      </c>
      <c r="BB148" s="5">
        <v>0</v>
      </c>
      <c r="BC148" s="127">
        <f t="shared" si="20"/>
        <v>0</v>
      </c>
      <c r="BD148" s="105">
        <v>0</v>
      </c>
      <c r="BE148" s="118">
        <f t="shared" si="21"/>
        <v>0</v>
      </c>
      <c r="BF148" s="5">
        <v>0</v>
      </c>
      <c r="BG148" s="118">
        <f t="shared" si="22"/>
        <v>0</v>
      </c>
      <c r="BH148" s="5">
        <v>0</v>
      </c>
      <c r="BI148" s="127">
        <f t="shared" si="23"/>
        <v>0</v>
      </c>
      <c r="BJ148" s="220" t="s">
        <v>616</v>
      </c>
      <c r="BL148" s="1" t="s">
        <v>578</v>
      </c>
      <c r="BM148" s="233" t="s">
        <v>643</v>
      </c>
      <c r="BN148" s="233"/>
      <c r="BO148" s="234"/>
    </row>
    <row r="149" spans="1:67">
      <c r="A149" s="219" t="s">
        <v>823</v>
      </c>
      <c r="B149" s="106" t="s">
        <v>244</v>
      </c>
      <c r="C149" s="66" t="s">
        <v>175</v>
      </c>
      <c r="D149" s="284"/>
      <c r="E149" s="77" t="s">
        <v>253</v>
      </c>
      <c r="F149" s="282"/>
      <c r="G149" s="71" t="s">
        <v>202</v>
      </c>
      <c r="H149" s="70" t="s">
        <v>615</v>
      </c>
      <c r="I149" s="70" t="s">
        <v>184</v>
      </c>
      <c r="J149" s="71" t="s">
        <v>567</v>
      </c>
      <c r="K149" s="70" t="s">
        <v>250</v>
      </c>
      <c r="L149" s="69" t="s">
        <v>257</v>
      </c>
      <c r="M149" s="180" t="s">
        <v>608</v>
      </c>
      <c r="N149" s="144">
        <v>15.75</v>
      </c>
      <c r="O149" s="144">
        <v>15.75</v>
      </c>
      <c r="P149" s="144">
        <v>15.75</v>
      </c>
      <c r="Q149" s="144">
        <v>15.75</v>
      </c>
      <c r="R149" s="144">
        <v>15.75</v>
      </c>
      <c r="S149" s="144">
        <v>15.75</v>
      </c>
      <c r="T149" s="144">
        <v>15.75</v>
      </c>
      <c r="U149" s="144">
        <v>15.75</v>
      </c>
      <c r="V149" s="144">
        <v>15.75</v>
      </c>
      <c r="W149" s="144">
        <v>15.75</v>
      </c>
      <c r="X149" s="144">
        <v>15.75</v>
      </c>
      <c r="Y149" s="259">
        <v>15.75</v>
      </c>
      <c r="Z149" s="144">
        <v>0.46</v>
      </c>
      <c r="AA149" s="144">
        <v>0.46</v>
      </c>
      <c r="AB149" s="144">
        <v>0.46</v>
      </c>
      <c r="AC149" s="144">
        <v>0.46</v>
      </c>
      <c r="AD149" s="144">
        <v>0.46</v>
      </c>
      <c r="AE149" s="144">
        <v>0.46</v>
      </c>
      <c r="AF149" s="144">
        <v>0.46</v>
      </c>
      <c r="AG149" s="144">
        <v>0.46</v>
      </c>
      <c r="AH149" s="144">
        <v>0.46</v>
      </c>
      <c r="AI149" s="144">
        <v>0.46</v>
      </c>
      <c r="AJ149" s="144">
        <v>0.46</v>
      </c>
      <c r="AK149" s="259">
        <v>0.46</v>
      </c>
      <c r="AL149" s="105">
        <v>0</v>
      </c>
      <c r="AM149" s="118">
        <f t="shared" si="1"/>
        <v>0</v>
      </c>
      <c r="AN149" s="105">
        <v>0</v>
      </c>
      <c r="AO149" s="118">
        <f t="shared" si="25"/>
        <v>0</v>
      </c>
      <c r="AP149" s="105">
        <v>0</v>
      </c>
      <c r="AQ149" s="127">
        <f t="shared" si="3"/>
        <v>0</v>
      </c>
      <c r="AR149" s="5">
        <v>250</v>
      </c>
      <c r="AS149" s="118">
        <f t="shared" si="15"/>
        <v>115</v>
      </c>
      <c r="AT149" s="105">
        <v>0</v>
      </c>
      <c r="AU149" s="118">
        <f t="shared" si="16"/>
        <v>0</v>
      </c>
      <c r="AV149" s="105">
        <v>0</v>
      </c>
      <c r="AW149" s="127">
        <f t="shared" si="17"/>
        <v>0</v>
      </c>
      <c r="AX149" s="105">
        <v>0</v>
      </c>
      <c r="AY149" s="118">
        <f t="shared" si="18"/>
        <v>0</v>
      </c>
      <c r="AZ149" s="105">
        <v>0</v>
      </c>
      <c r="BA149" s="118">
        <f t="shared" si="19"/>
        <v>0</v>
      </c>
      <c r="BB149" s="5">
        <v>0</v>
      </c>
      <c r="BC149" s="127">
        <f t="shared" si="20"/>
        <v>0</v>
      </c>
      <c r="BD149" s="105">
        <v>0</v>
      </c>
      <c r="BE149" s="118">
        <f t="shared" si="21"/>
        <v>0</v>
      </c>
      <c r="BF149" s="5">
        <v>0</v>
      </c>
      <c r="BG149" s="118">
        <f t="shared" si="22"/>
        <v>0</v>
      </c>
      <c r="BH149" s="5">
        <v>0</v>
      </c>
      <c r="BI149" s="127">
        <f t="shared" si="23"/>
        <v>0</v>
      </c>
      <c r="BJ149" s="220" t="s">
        <v>616</v>
      </c>
      <c r="BL149" s="1" t="s">
        <v>578</v>
      </c>
      <c r="BM149" s="233" t="s">
        <v>644</v>
      </c>
      <c r="BN149" s="233"/>
      <c r="BO149" s="234"/>
    </row>
    <row r="150" spans="1:67">
      <c r="A150" s="219" t="s">
        <v>823</v>
      </c>
      <c r="B150" s="106" t="s">
        <v>244</v>
      </c>
      <c r="C150" s="66" t="s">
        <v>175</v>
      </c>
      <c r="D150" s="284"/>
      <c r="E150" s="77" t="s">
        <v>253</v>
      </c>
      <c r="F150" s="282"/>
      <c r="G150" s="71" t="s">
        <v>202</v>
      </c>
      <c r="H150" s="70" t="s">
        <v>615</v>
      </c>
      <c r="I150" s="70" t="s">
        <v>184</v>
      </c>
      <c r="J150" s="71" t="s">
        <v>567</v>
      </c>
      <c r="K150" s="70" t="s">
        <v>250</v>
      </c>
      <c r="L150" s="69" t="s">
        <v>257</v>
      </c>
      <c r="M150" s="180" t="s">
        <v>608</v>
      </c>
      <c r="N150" s="144">
        <v>15.75</v>
      </c>
      <c r="O150" s="144">
        <v>15.75</v>
      </c>
      <c r="P150" s="144">
        <v>15.75</v>
      </c>
      <c r="Q150" s="144">
        <v>15.75</v>
      </c>
      <c r="R150" s="144">
        <v>15.75</v>
      </c>
      <c r="S150" s="144">
        <v>15.75</v>
      </c>
      <c r="T150" s="144">
        <v>15.75</v>
      </c>
      <c r="U150" s="144">
        <v>15.75</v>
      </c>
      <c r="V150" s="144">
        <v>15.75</v>
      </c>
      <c r="W150" s="144">
        <v>15.75</v>
      </c>
      <c r="X150" s="144">
        <v>15.75</v>
      </c>
      <c r="Y150" s="259">
        <v>15.75</v>
      </c>
      <c r="Z150" s="144">
        <v>0.46</v>
      </c>
      <c r="AA150" s="144">
        <v>0.46</v>
      </c>
      <c r="AB150" s="144">
        <v>0.46</v>
      </c>
      <c r="AC150" s="144">
        <v>0.46</v>
      </c>
      <c r="AD150" s="144">
        <v>0.46</v>
      </c>
      <c r="AE150" s="144">
        <v>0.46</v>
      </c>
      <c r="AF150" s="144">
        <v>0.46</v>
      </c>
      <c r="AG150" s="144">
        <v>0.46</v>
      </c>
      <c r="AH150" s="144">
        <v>0.46</v>
      </c>
      <c r="AI150" s="144">
        <v>0.46</v>
      </c>
      <c r="AJ150" s="144">
        <v>0.46</v>
      </c>
      <c r="AK150" s="259">
        <v>0.46</v>
      </c>
      <c r="AL150" s="105">
        <v>0</v>
      </c>
      <c r="AM150" s="118">
        <f t="shared" si="1"/>
        <v>0</v>
      </c>
      <c r="AN150" s="105">
        <v>0</v>
      </c>
      <c r="AO150" s="118">
        <f t="shared" si="25"/>
        <v>0</v>
      </c>
      <c r="AP150" s="105">
        <v>0</v>
      </c>
      <c r="AQ150" s="127">
        <f t="shared" si="3"/>
        <v>0</v>
      </c>
      <c r="AR150" s="5">
        <v>0</v>
      </c>
      <c r="AS150" s="118">
        <f t="shared" si="15"/>
        <v>0</v>
      </c>
      <c r="AT150" s="105">
        <v>0</v>
      </c>
      <c r="AU150" s="118">
        <f t="shared" si="16"/>
        <v>0</v>
      </c>
      <c r="AV150" s="105">
        <v>0</v>
      </c>
      <c r="AW150" s="127">
        <f t="shared" si="17"/>
        <v>0</v>
      </c>
      <c r="AX150" s="105">
        <v>0</v>
      </c>
      <c r="AY150" s="118">
        <f t="shared" si="18"/>
        <v>0</v>
      </c>
      <c r="AZ150" s="105">
        <v>0</v>
      </c>
      <c r="BA150" s="118">
        <f t="shared" si="19"/>
        <v>0</v>
      </c>
      <c r="BB150" s="5">
        <v>0</v>
      </c>
      <c r="BC150" s="127">
        <f t="shared" si="20"/>
        <v>0</v>
      </c>
      <c r="BD150" s="105">
        <v>0</v>
      </c>
      <c r="BE150" s="118">
        <f t="shared" si="21"/>
        <v>0</v>
      </c>
      <c r="BF150" s="5">
        <v>0</v>
      </c>
      <c r="BG150" s="118">
        <f t="shared" si="22"/>
        <v>0</v>
      </c>
      <c r="BH150" s="5">
        <v>0</v>
      </c>
      <c r="BI150" s="127">
        <f t="shared" si="23"/>
        <v>0</v>
      </c>
      <c r="BJ150" s="220" t="s">
        <v>616</v>
      </c>
      <c r="BL150" s="1" t="s">
        <v>578</v>
      </c>
      <c r="BM150" s="233" t="s">
        <v>645</v>
      </c>
      <c r="BN150" s="233"/>
      <c r="BO150" s="234"/>
    </row>
    <row r="151" spans="1:67">
      <c r="A151" s="219" t="s">
        <v>823</v>
      </c>
      <c r="B151" s="106" t="s">
        <v>244</v>
      </c>
      <c r="C151" s="66" t="s">
        <v>175</v>
      </c>
      <c r="D151" s="284"/>
      <c r="E151" s="77" t="s">
        <v>253</v>
      </c>
      <c r="F151" s="282"/>
      <c r="G151" s="71" t="s">
        <v>202</v>
      </c>
      <c r="H151" s="70" t="s">
        <v>615</v>
      </c>
      <c r="I151" s="70" t="s">
        <v>184</v>
      </c>
      <c r="J151" s="71" t="s">
        <v>567</v>
      </c>
      <c r="K151" s="70" t="s">
        <v>250</v>
      </c>
      <c r="L151" s="69" t="s">
        <v>257</v>
      </c>
      <c r="M151" s="180" t="s">
        <v>608</v>
      </c>
      <c r="N151" s="144">
        <v>15.75</v>
      </c>
      <c r="O151" s="144">
        <v>15.75</v>
      </c>
      <c r="P151" s="144">
        <v>15.75</v>
      </c>
      <c r="Q151" s="144">
        <v>15.75</v>
      </c>
      <c r="R151" s="144">
        <v>15.75</v>
      </c>
      <c r="S151" s="144">
        <v>15.75</v>
      </c>
      <c r="T151" s="144">
        <v>15.75</v>
      </c>
      <c r="U151" s="144">
        <v>15.75</v>
      </c>
      <c r="V151" s="144">
        <v>15.75</v>
      </c>
      <c r="W151" s="144">
        <v>15.75</v>
      </c>
      <c r="X151" s="144">
        <v>15.75</v>
      </c>
      <c r="Y151" s="259">
        <v>15.75</v>
      </c>
      <c r="Z151" s="144">
        <v>0.46</v>
      </c>
      <c r="AA151" s="144">
        <v>0.46</v>
      </c>
      <c r="AB151" s="144">
        <v>0.46</v>
      </c>
      <c r="AC151" s="144">
        <v>0.46</v>
      </c>
      <c r="AD151" s="144">
        <v>0.46</v>
      </c>
      <c r="AE151" s="144">
        <v>0.46</v>
      </c>
      <c r="AF151" s="144">
        <v>0.46</v>
      </c>
      <c r="AG151" s="144">
        <v>0.46</v>
      </c>
      <c r="AH151" s="144">
        <v>0.46</v>
      </c>
      <c r="AI151" s="144">
        <v>0.46</v>
      </c>
      <c r="AJ151" s="144">
        <v>0.46</v>
      </c>
      <c r="AK151" s="259">
        <v>0.46</v>
      </c>
      <c r="AL151" s="105">
        <v>0</v>
      </c>
      <c r="AM151" s="118">
        <f t="shared" si="1"/>
        <v>0</v>
      </c>
      <c r="AN151" s="105">
        <v>0</v>
      </c>
      <c r="AO151" s="118">
        <f t="shared" si="25"/>
        <v>0</v>
      </c>
      <c r="AP151" s="105">
        <v>0</v>
      </c>
      <c r="AQ151" s="127">
        <f t="shared" si="3"/>
        <v>0</v>
      </c>
      <c r="AR151" s="5">
        <v>0</v>
      </c>
      <c r="AS151" s="118">
        <f t="shared" si="15"/>
        <v>0</v>
      </c>
      <c r="AT151" s="105">
        <v>0</v>
      </c>
      <c r="AU151" s="118">
        <f t="shared" si="16"/>
        <v>0</v>
      </c>
      <c r="AV151" s="105">
        <v>0</v>
      </c>
      <c r="AW151" s="127">
        <f t="shared" si="17"/>
        <v>0</v>
      </c>
      <c r="AX151" s="105">
        <v>200</v>
      </c>
      <c r="AY151" s="118">
        <f t="shared" si="18"/>
        <v>92</v>
      </c>
      <c r="AZ151" s="105">
        <v>0</v>
      </c>
      <c r="BA151" s="118">
        <f t="shared" si="19"/>
        <v>0</v>
      </c>
      <c r="BB151" s="5">
        <v>0</v>
      </c>
      <c r="BC151" s="127">
        <f t="shared" si="20"/>
        <v>0</v>
      </c>
      <c r="BD151" s="105">
        <v>0</v>
      </c>
      <c r="BE151" s="118">
        <f t="shared" si="21"/>
        <v>0</v>
      </c>
      <c r="BF151" s="5">
        <v>0</v>
      </c>
      <c r="BG151" s="118">
        <f t="shared" si="22"/>
        <v>0</v>
      </c>
      <c r="BH151" s="5">
        <v>0</v>
      </c>
      <c r="BI151" s="127">
        <f t="shared" si="23"/>
        <v>0</v>
      </c>
      <c r="BJ151" s="220" t="s">
        <v>616</v>
      </c>
      <c r="BL151" s="1" t="s">
        <v>578</v>
      </c>
      <c r="BM151" s="233" t="s">
        <v>646</v>
      </c>
      <c r="BN151" s="233"/>
      <c r="BO151" s="234"/>
    </row>
    <row r="152" spans="1:67">
      <c r="A152" s="219" t="s">
        <v>823</v>
      </c>
      <c r="B152" s="106" t="s">
        <v>244</v>
      </c>
      <c r="C152" s="66" t="s">
        <v>175</v>
      </c>
      <c r="D152" s="284"/>
      <c r="E152" s="77" t="s">
        <v>253</v>
      </c>
      <c r="F152" s="282"/>
      <c r="G152" s="71" t="s">
        <v>202</v>
      </c>
      <c r="H152" s="70" t="s">
        <v>615</v>
      </c>
      <c r="I152" s="70" t="s">
        <v>184</v>
      </c>
      <c r="J152" s="71" t="s">
        <v>567</v>
      </c>
      <c r="K152" s="70" t="s">
        <v>250</v>
      </c>
      <c r="L152" s="69" t="s">
        <v>257</v>
      </c>
      <c r="M152" s="180" t="s">
        <v>608</v>
      </c>
      <c r="N152" s="144">
        <v>15.75</v>
      </c>
      <c r="O152" s="144">
        <v>15.75</v>
      </c>
      <c r="P152" s="144">
        <v>15.75</v>
      </c>
      <c r="Q152" s="144">
        <v>15.75</v>
      </c>
      <c r="R152" s="144">
        <v>15.75</v>
      </c>
      <c r="S152" s="144">
        <v>15.75</v>
      </c>
      <c r="T152" s="144">
        <v>15.75</v>
      </c>
      <c r="U152" s="144">
        <v>15.75</v>
      </c>
      <c r="V152" s="144">
        <v>15.75</v>
      </c>
      <c r="W152" s="144">
        <v>15.75</v>
      </c>
      <c r="X152" s="144">
        <v>15.75</v>
      </c>
      <c r="Y152" s="259">
        <v>15.75</v>
      </c>
      <c r="Z152" s="144">
        <v>0.46</v>
      </c>
      <c r="AA152" s="144">
        <v>0.46</v>
      </c>
      <c r="AB152" s="144">
        <v>0.46</v>
      </c>
      <c r="AC152" s="144">
        <v>0.46</v>
      </c>
      <c r="AD152" s="144">
        <v>0.46</v>
      </c>
      <c r="AE152" s="144">
        <v>0.46</v>
      </c>
      <c r="AF152" s="144">
        <v>0.46</v>
      </c>
      <c r="AG152" s="144">
        <v>0.46</v>
      </c>
      <c r="AH152" s="144">
        <v>0.46</v>
      </c>
      <c r="AI152" s="144">
        <v>0.46</v>
      </c>
      <c r="AJ152" s="144">
        <v>0.46</v>
      </c>
      <c r="AK152" s="259">
        <v>0.46</v>
      </c>
      <c r="AL152" s="105">
        <v>0</v>
      </c>
      <c r="AM152" s="118">
        <f t="shared" si="1"/>
        <v>0</v>
      </c>
      <c r="AN152" s="105">
        <v>0</v>
      </c>
      <c r="AO152" s="118">
        <f t="shared" si="25"/>
        <v>0</v>
      </c>
      <c r="AP152" s="105">
        <v>0</v>
      </c>
      <c r="AQ152" s="127">
        <f t="shared" si="3"/>
        <v>0</v>
      </c>
      <c r="AR152" s="5">
        <v>0</v>
      </c>
      <c r="AS152" s="118">
        <f t="shared" si="15"/>
        <v>0</v>
      </c>
      <c r="AT152" s="105">
        <v>0</v>
      </c>
      <c r="AU152" s="118">
        <f t="shared" si="16"/>
        <v>0</v>
      </c>
      <c r="AV152" s="105">
        <v>0</v>
      </c>
      <c r="AW152" s="127">
        <f t="shared" si="17"/>
        <v>0</v>
      </c>
      <c r="AX152" s="105">
        <v>0</v>
      </c>
      <c r="AY152" s="118">
        <f t="shared" si="18"/>
        <v>0</v>
      </c>
      <c r="AZ152" s="105">
        <v>0</v>
      </c>
      <c r="BA152" s="118">
        <f t="shared" si="19"/>
        <v>0</v>
      </c>
      <c r="BB152" s="5">
        <v>0</v>
      </c>
      <c r="BC152" s="127">
        <f t="shared" si="20"/>
        <v>0</v>
      </c>
      <c r="BD152" s="105">
        <v>0</v>
      </c>
      <c r="BE152" s="118">
        <f t="shared" si="21"/>
        <v>0</v>
      </c>
      <c r="BF152" s="5">
        <v>0</v>
      </c>
      <c r="BG152" s="118">
        <f t="shared" si="22"/>
        <v>0</v>
      </c>
      <c r="BH152" s="5">
        <v>0</v>
      </c>
      <c r="BI152" s="127">
        <f t="shared" si="23"/>
        <v>0</v>
      </c>
      <c r="BJ152" s="220" t="s">
        <v>616</v>
      </c>
      <c r="BL152" s="1" t="s">
        <v>578</v>
      </c>
      <c r="BM152" s="233" t="s">
        <v>647</v>
      </c>
      <c r="BN152" s="233"/>
      <c r="BO152" s="234"/>
    </row>
    <row r="153" spans="1:67">
      <c r="A153" s="219" t="s">
        <v>823</v>
      </c>
      <c r="B153" s="106" t="s">
        <v>244</v>
      </c>
      <c r="C153" s="66" t="s">
        <v>175</v>
      </c>
      <c r="D153" s="284"/>
      <c r="E153" s="77" t="s">
        <v>253</v>
      </c>
      <c r="F153" s="282"/>
      <c r="G153" s="71" t="s">
        <v>202</v>
      </c>
      <c r="H153" s="70" t="s">
        <v>648</v>
      </c>
      <c r="I153" s="70" t="s">
        <v>184</v>
      </c>
      <c r="J153" s="71" t="s">
        <v>567</v>
      </c>
      <c r="K153" s="70" t="s">
        <v>250</v>
      </c>
      <c r="L153" s="69" t="s">
        <v>257</v>
      </c>
      <c r="M153" s="180" t="s">
        <v>568</v>
      </c>
      <c r="N153" s="144">
        <v>15.75</v>
      </c>
      <c r="O153" s="144">
        <v>15.75</v>
      </c>
      <c r="P153" s="144">
        <v>15.75</v>
      </c>
      <c r="Q153" s="144">
        <v>15.75</v>
      </c>
      <c r="R153" s="144">
        <v>15.75</v>
      </c>
      <c r="S153" s="144">
        <v>15.75</v>
      </c>
      <c r="T153" s="144">
        <v>15.75</v>
      </c>
      <c r="U153" s="144">
        <v>15.75</v>
      </c>
      <c r="V153" s="144">
        <v>15.75</v>
      </c>
      <c r="W153" s="144">
        <v>15.75</v>
      </c>
      <c r="X153" s="144">
        <v>15.75</v>
      </c>
      <c r="Y153" s="259">
        <v>15.75</v>
      </c>
      <c r="Z153" s="144">
        <v>0.46</v>
      </c>
      <c r="AA153" s="144">
        <v>0.46</v>
      </c>
      <c r="AB153" s="144">
        <v>0.46</v>
      </c>
      <c r="AC153" s="144">
        <v>0.46</v>
      </c>
      <c r="AD153" s="144">
        <v>0.46</v>
      </c>
      <c r="AE153" s="144">
        <v>0.46</v>
      </c>
      <c r="AF153" s="144">
        <v>0.46</v>
      </c>
      <c r="AG153" s="144">
        <v>0.46</v>
      </c>
      <c r="AH153" s="144">
        <v>0.46</v>
      </c>
      <c r="AI153" s="144">
        <v>0.46</v>
      </c>
      <c r="AJ153" s="144">
        <v>0.46</v>
      </c>
      <c r="AK153" s="259">
        <v>0.46</v>
      </c>
      <c r="AL153" s="105">
        <v>0</v>
      </c>
      <c r="AM153" s="118">
        <f t="shared" si="1"/>
        <v>0</v>
      </c>
      <c r="AN153" s="105">
        <v>0</v>
      </c>
      <c r="AO153" s="118">
        <f t="shared" si="25"/>
        <v>0</v>
      </c>
      <c r="AP153" s="105">
        <v>0</v>
      </c>
      <c r="AQ153" s="127">
        <f t="shared" si="3"/>
        <v>0</v>
      </c>
      <c r="AR153" s="5">
        <v>0</v>
      </c>
      <c r="AS153" s="118">
        <f t="shared" ref="AS153:AS216" si="26">AC153*AR153</f>
        <v>0</v>
      </c>
      <c r="AT153" s="105">
        <v>0</v>
      </c>
      <c r="AU153" s="118">
        <f t="shared" ref="AU153:AU216" si="27">AD153*AT153</f>
        <v>0</v>
      </c>
      <c r="AV153" s="105">
        <v>0</v>
      </c>
      <c r="AW153" s="127">
        <f t="shared" ref="AW153:AW216" si="28">AE153*AV153</f>
        <v>0</v>
      </c>
      <c r="AX153" s="105">
        <v>0</v>
      </c>
      <c r="AY153" s="118">
        <f t="shared" ref="AY153:AY216" si="29">AF153*AX153</f>
        <v>0</v>
      </c>
      <c r="AZ153" s="105">
        <v>0</v>
      </c>
      <c r="BA153" s="118">
        <f t="shared" ref="BA153:BA216" si="30">AG153*AZ153</f>
        <v>0</v>
      </c>
      <c r="BB153" s="5">
        <v>0</v>
      </c>
      <c r="BC153" s="127">
        <f t="shared" ref="BC153:BC216" si="31">AH153*BB153</f>
        <v>0</v>
      </c>
      <c r="BD153" s="105">
        <v>0</v>
      </c>
      <c r="BE153" s="118">
        <f t="shared" ref="BE153:BE216" si="32">AI153*BD153</f>
        <v>0</v>
      </c>
      <c r="BF153" s="5">
        <v>0</v>
      </c>
      <c r="BG153" s="118">
        <f t="shared" ref="BG153:BG216" si="33">AJ153*BF153</f>
        <v>0</v>
      </c>
      <c r="BH153" s="5">
        <v>0</v>
      </c>
      <c r="BI153" s="127">
        <f t="shared" ref="BI153:BI216" si="34">AK153*BH153</f>
        <v>0</v>
      </c>
      <c r="BJ153" s="220" t="s">
        <v>649</v>
      </c>
      <c r="BL153" s="1" t="s">
        <v>573</v>
      </c>
      <c r="BM153" s="233" t="s">
        <v>650</v>
      </c>
      <c r="BN153" s="233"/>
      <c r="BO153" s="234"/>
    </row>
    <row r="154" spans="1:67">
      <c r="A154" s="219" t="s">
        <v>823</v>
      </c>
      <c r="B154" s="106" t="s">
        <v>244</v>
      </c>
      <c r="C154" s="66" t="s">
        <v>175</v>
      </c>
      <c r="D154" s="284"/>
      <c r="E154" s="77" t="s">
        <v>253</v>
      </c>
      <c r="F154" s="282"/>
      <c r="G154" s="71" t="s">
        <v>202</v>
      </c>
      <c r="H154" s="70" t="s">
        <v>648</v>
      </c>
      <c r="I154" s="70" t="s">
        <v>184</v>
      </c>
      <c r="J154" s="71" t="s">
        <v>567</v>
      </c>
      <c r="K154" s="70" t="s">
        <v>250</v>
      </c>
      <c r="L154" s="69" t="s">
        <v>257</v>
      </c>
      <c r="M154" s="180" t="s">
        <v>568</v>
      </c>
      <c r="N154" s="144">
        <v>15.75</v>
      </c>
      <c r="O154" s="144">
        <v>15.75</v>
      </c>
      <c r="P154" s="144">
        <v>15.75</v>
      </c>
      <c r="Q154" s="144">
        <v>15.75</v>
      </c>
      <c r="R154" s="144">
        <v>15.75</v>
      </c>
      <c r="S154" s="144">
        <v>15.75</v>
      </c>
      <c r="T154" s="144">
        <v>15.75</v>
      </c>
      <c r="U154" s="144">
        <v>15.75</v>
      </c>
      <c r="V154" s="144">
        <v>15.75</v>
      </c>
      <c r="W154" s="144">
        <v>15.75</v>
      </c>
      <c r="X154" s="144">
        <v>15.75</v>
      </c>
      <c r="Y154" s="259">
        <v>15.75</v>
      </c>
      <c r="Z154" s="144">
        <v>0.46</v>
      </c>
      <c r="AA154" s="144">
        <v>0.46</v>
      </c>
      <c r="AB154" s="144">
        <v>0.46</v>
      </c>
      <c r="AC154" s="144">
        <v>0.46</v>
      </c>
      <c r="AD154" s="144">
        <v>0.46</v>
      </c>
      <c r="AE154" s="144">
        <v>0.46</v>
      </c>
      <c r="AF154" s="144">
        <v>0.46</v>
      </c>
      <c r="AG154" s="144">
        <v>0.46</v>
      </c>
      <c r="AH154" s="144">
        <v>0.46</v>
      </c>
      <c r="AI154" s="144">
        <v>0.46</v>
      </c>
      <c r="AJ154" s="144">
        <v>0.46</v>
      </c>
      <c r="AK154" s="259">
        <v>0.46</v>
      </c>
      <c r="AL154" s="105">
        <v>0</v>
      </c>
      <c r="AM154" s="118">
        <f t="shared" si="1"/>
        <v>0</v>
      </c>
      <c r="AN154" s="105">
        <v>0</v>
      </c>
      <c r="AO154" s="118">
        <f t="shared" si="25"/>
        <v>0</v>
      </c>
      <c r="AP154" s="105">
        <v>0</v>
      </c>
      <c r="AQ154" s="127">
        <f t="shared" si="3"/>
        <v>0</v>
      </c>
      <c r="AR154" s="5">
        <v>0</v>
      </c>
      <c r="AS154" s="118">
        <f t="shared" si="26"/>
        <v>0</v>
      </c>
      <c r="AT154" s="105">
        <v>0</v>
      </c>
      <c r="AU154" s="118">
        <f t="shared" si="27"/>
        <v>0</v>
      </c>
      <c r="AV154" s="105">
        <v>0</v>
      </c>
      <c r="AW154" s="127">
        <f t="shared" si="28"/>
        <v>0</v>
      </c>
      <c r="AX154" s="105">
        <v>0</v>
      </c>
      <c r="AY154" s="118">
        <f t="shared" si="29"/>
        <v>0</v>
      </c>
      <c r="AZ154" s="105">
        <v>0</v>
      </c>
      <c r="BA154" s="118">
        <f t="shared" si="30"/>
        <v>0</v>
      </c>
      <c r="BB154" s="5">
        <v>0</v>
      </c>
      <c r="BC154" s="127">
        <f t="shared" si="31"/>
        <v>0</v>
      </c>
      <c r="BD154" s="105">
        <v>0</v>
      </c>
      <c r="BE154" s="118">
        <f t="shared" si="32"/>
        <v>0</v>
      </c>
      <c r="BF154" s="5">
        <v>0</v>
      </c>
      <c r="BG154" s="118">
        <f t="shared" si="33"/>
        <v>0</v>
      </c>
      <c r="BH154" s="5">
        <v>0</v>
      </c>
      <c r="BI154" s="127">
        <f t="shared" si="34"/>
        <v>0</v>
      </c>
      <c r="BJ154" s="220" t="s">
        <v>649</v>
      </c>
      <c r="BL154" s="1" t="s">
        <v>575</v>
      </c>
      <c r="BM154" s="233" t="s">
        <v>651</v>
      </c>
      <c r="BN154" s="233"/>
      <c r="BO154" s="234"/>
    </row>
    <row r="155" spans="1:67">
      <c r="A155" s="219" t="s">
        <v>823</v>
      </c>
      <c r="B155" s="106" t="s">
        <v>244</v>
      </c>
      <c r="C155" s="66" t="s">
        <v>175</v>
      </c>
      <c r="D155" s="284"/>
      <c r="E155" s="77" t="s">
        <v>253</v>
      </c>
      <c r="F155" s="282"/>
      <c r="G155" s="71" t="s">
        <v>202</v>
      </c>
      <c r="H155" s="70" t="s">
        <v>648</v>
      </c>
      <c r="I155" s="70" t="s">
        <v>184</v>
      </c>
      <c r="J155" s="71" t="s">
        <v>567</v>
      </c>
      <c r="K155" s="70" t="s">
        <v>250</v>
      </c>
      <c r="L155" s="69" t="s">
        <v>257</v>
      </c>
      <c r="M155" s="180" t="s">
        <v>568</v>
      </c>
      <c r="N155" s="144">
        <v>15.75</v>
      </c>
      <c r="O155" s="144">
        <v>15.75</v>
      </c>
      <c r="P155" s="144">
        <v>15.75</v>
      </c>
      <c r="Q155" s="144">
        <v>15.75</v>
      </c>
      <c r="R155" s="144">
        <v>15.75</v>
      </c>
      <c r="S155" s="144">
        <v>15.75</v>
      </c>
      <c r="T155" s="144">
        <v>15.75</v>
      </c>
      <c r="U155" s="144">
        <v>15.75</v>
      </c>
      <c r="V155" s="144">
        <v>15.75</v>
      </c>
      <c r="W155" s="144">
        <v>15.75</v>
      </c>
      <c r="X155" s="144">
        <v>15.75</v>
      </c>
      <c r="Y155" s="259">
        <v>15.75</v>
      </c>
      <c r="Z155" s="144">
        <v>0.46</v>
      </c>
      <c r="AA155" s="144">
        <v>0.46</v>
      </c>
      <c r="AB155" s="144">
        <v>0.46</v>
      </c>
      <c r="AC155" s="144">
        <v>0.46</v>
      </c>
      <c r="AD155" s="144">
        <v>0.46</v>
      </c>
      <c r="AE155" s="144">
        <v>0.46</v>
      </c>
      <c r="AF155" s="144">
        <v>0.46</v>
      </c>
      <c r="AG155" s="144">
        <v>0.46</v>
      </c>
      <c r="AH155" s="144">
        <v>0.46</v>
      </c>
      <c r="AI155" s="144">
        <v>0.46</v>
      </c>
      <c r="AJ155" s="144">
        <v>0.46</v>
      </c>
      <c r="AK155" s="259">
        <v>0.46</v>
      </c>
      <c r="AL155" s="105">
        <v>0</v>
      </c>
      <c r="AM155" s="118">
        <f t="shared" si="1"/>
        <v>0</v>
      </c>
      <c r="AN155" s="105">
        <v>0</v>
      </c>
      <c r="AO155" s="118">
        <f t="shared" si="25"/>
        <v>0</v>
      </c>
      <c r="AP155" s="105">
        <v>0</v>
      </c>
      <c r="AQ155" s="127">
        <f t="shared" si="3"/>
        <v>0</v>
      </c>
      <c r="AR155" s="5">
        <v>0</v>
      </c>
      <c r="AS155" s="118">
        <f t="shared" si="26"/>
        <v>0</v>
      </c>
      <c r="AT155" s="105">
        <v>0</v>
      </c>
      <c r="AU155" s="118">
        <f t="shared" si="27"/>
        <v>0</v>
      </c>
      <c r="AV155" s="105">
        <v>0</v>
      </c>
      <c r="AW155" s="127">
        <f t="shared" si="28"/>
        <v>0</v>
      </c>
      <c r="AX155" s="105">
        <v>0</v>
      </c>
      <c r="AY155" s="118">
        <f t="shared" si="29"/>
        <v>0</v>
      </c>
      <c r="AZ155" s="105">
        <v>0</v>
      </c>
      <c r="BA155" s="118">
        <f t="shared" si="30"/>
        <v>0</v>
      </c>
      <c r="BB155" s="5">
        <v>0</v>
      </c>
      <c r="BC155" s="127">
        <f t="shared" si="31"/>
        <v>0</v>
      </c>
      <c r="BD155" s="105">
        <v>0</v>
      </c>
      <c r="BE155" s="118">
        <f t="shared" si="32"/>
        <v>0</v>
      </c>
      <c r="BF155" s="5">
        <v>0</v>
      </c>
      <c r="BG155" s="118">
        <f t="shared" si="33"/>
        <v>0</v>
      </c>
      <c r="BH155" s="5">
        <v>0</v>
      </c>
      <c r="BI155" s="127">
        <f t="shared" si="34"/>
        <v>0</v>
      </c>
      <c r="BJ155" s="220" t="s">
        <v>649</v>
      </c>
      <c r="BL155" s="1" t="s">
        <v>570</v>
      </c>
      <c r="BM155" s="233" t="s">
        <v>652</v>
      </c>
      <c r="BN155" s="233"/>
      <c r="BO155" s="234"/>
    </row>
    <row r="156" spans="1:67">
      <c r="A156" s="219" t="s">
        <v>823</v>
      </c>
      <c r="B156" s="106" t="s">
        <v>244</v>
      </c>
      <c r="C156" s="66" t="s">
        <v>175</v>
      </c>
      <c r="D156" s="284"/>
      <c r="E156" s="77" t="s">
        <v>253</v>
      </c>
      <c r="F156" s="282"/>
      <c r="G156" s="71" t="s">
        <v>202</v>
      </c>
      <c r="H156" s="70" t="s">
        <v>648</v>
      </c>
      <c r="I156" s="70" t="s">
        <v>184</v>
      </c>
      <c r="J156" s="71" t="s">
        <v>567</v>
      </c>
      <c r="K156" s="70" t="s">
        <v>250</v>
      </c>
      <c r="L156" s="69" t="s">
        <v>257</v>
      </c>
      <c r="M156" s="180" t="s">
        <v>568</v>
      </c>
      <c r="N156" s="144">
        <v>15.75</v>
      </c>
      <c r="O156" s="144">
        <v>15.75</v>
      </c>
      <c r="P156" s="144">
        <v>15.75</v>
      </c>
      <c r="Q156" s="144">
        <v>15.75</v>
      </c>
      <c r="R156" s="144">
        <v>15.75</v>
      </c>
      <c r="S156" s="144">
        <v>15.75</v>
      </c>
      <c r="T156" s="144">
        <v>15.75</v>
      </c>
      <c r="U156" s="144">
        <v>15.75</v>
      </c>
      <c r="V156" s="144">
        <v>15.75</v>
      </c>
      <c r="W156" s="144">
        <v>15.75</v>
      </c>
      <c r="X156" s="144">
        <v>15.75</v>
      </c>
      <c r="Y156" s="259">
        <v>15.75</v>
      </c>
      <c r="Z156" s="144">
        <v>0.46</v>
      </c>
      <c r="AA156" s="144">
        <v>0.46</v>
      </c>
      <c r="AB156" s="144">
        <v>0.46</v>
      </c>
      <c r="AC156" s="144">
        <v>0.46</v>
      </c>
      <c r="AD156" s="144">
        <v>0.46</v>
      </c>
      <c r="AE156" s="144">
        <v>0.46</v>
      </c>
      <c r="AF156" s="144">
        <v>0.46</v>
      </c>
      <c r="AG156" s="144">
        <v>0.46</v>
      </c>
      <c r="AH156" s="144">
        <v>0.46</v>
      </c>
      <c r="AI156" s="144">
        <v>0.46</v>
      </c>
      <c r="AJ156" s="144">
        <v>0.46</v>
      </c>
      <c r="AK156" s="259">
        <v>0.46</v>
      </c>
      <c r="AL156" s="105">
        <v>0</v>
      </c>
      <c r="AM156" s="118">
        <f t="shared" si="1"/>
        <v>0</v>
      </c>
      <c r="AN156" s="105">
        <v>0</v>
      </c>
      <c r="AO156" s="118">
        <f t="shared" si="25"/>
        <v>0</v>
      </c>
      <c r="AP156" s="105">
        <v>0</v>
      </c>
      <c r="AQ156" s="127">
        <f t="shared" si="3"/>
        <v>0</v>
      </c>
      <c r="AR156" s="5">
        <v>0</v>
      </c>
      <c r="AS156" s="118">
        <f t="shared" si="26"/>
        <v>0</v>
      </c>
      <c r="AT156" s="105">
        <v>0</v>
      </c>
      <c r="AU156" s="118">
        <f t="shared" si="27"/>
        <v>0</v>
      </c>
      <c r="AV156" s="105">
        <v>0</v>
      </c>
      <c r="AW156" s="127">
        <f t="shared" si="28"/>
        <v>0</v>
      </c>
      <c r="AX156" s="105">
        <v>0</v>
      </c>
      <c r="AY156" s="118">
        <f t="shared" si="29"/>
        <v>0</v>
      </c>
      <c r="AZ156" s="105">
        <v>0</v>
      </c>
      <c r="BA156" s="118">
        <f t="shared" si="30"/>
        <v>0</v>
      </c>
      <c r="BB156" s="5">
        <v>0</v>
      </c>
      <c r="BC156" s="127">
        <f t="shared" si="31"/>
        <v>0</v>
      </c>
      <c r="BD156" s="105">
        <v>0</v>
      </c>
      <c r="BE156" s="118">
        <f t="shared" si="32"/>
        <v>0</v>
      </c>
      <c r="BF156" s="5">
        <v>0</v>
      </c>
      <c r="BG156" s="118">
        <f t="shared" si="33"/>
        <v>0</v>
      </c>
      <c r="BH156" s="5">
        <v>0</v>
      </c>
      <c r="BI156" s="127">
        <f t="shared" si="34"/>
        <v>0</v>
      </c>
      <c r="BJ156" s="220" t="s">
        <v>649</v>
      </c>
      <c r="BL156" s="1" t="s">
        <v>570</v>
      </c>
      <c r="BM156" s="233" t="s">
        <v>653</v>
      </c>
      <c r="BN156" s="233"/>
      <c r="BO156" s="234"/>
    </row>
    <row r="157" spans="1:67">
      <c r="A157" s="219" t="s">
        <v>823</v>
      </c>
      <c r="B157" s="106" t="s">
        <v>244</v>
      </c>
      <c r="C157" s="66" t="s">
        <v>175</v>
      </c>
      <c r="D157" s="284"/>
      <c r="E157" s="77" t="s">
        <v>253</v>
      </c>
      <c r="F157" s="282"/>
      <c r="G157" s="71" t="s">
        <v>202</v>
      </c>
      <c r="H157" s="70" t="s">
        <v>648</v>
      </c>
      <c r="I157" s="70" t="s">
        <v>184</v>
      </c>
      <c r="J157" s="71" t="s">
        <v>567</v>
      </c>
      <c r="K157" s="70" t="s">
        <v>250</v>
      </c>
      <c r="L157" s="69" t="s">
        <v>257</v>
      </c>
      <c r="M157" s="180" t="s">
        <v>608</v>
      </c>
      <c r="N157" s="144">
        <v>15.75</v>
      </c>
      <c r="O157" s="144">
        <v>15.75</v>
      </c>
      <c r="P157" s="144">
        <v>15.75</v>
      </c>
      <c r="Q157" s="144">
        <v>15.75</v>
      </c>
      <c r="R157" s="144">
        <v>15.75</v>
      </c>
      <c r="S157" s="144">
        <v>15.75</v>
      </c>
      <c r="T157" s="144">
        <v>15.75</v>
      </c>
      <c r="U157" s="144">
        <v>15.75</v>
      </c>
      <c r="V157" s="144">
        <v>15.75</v>
      </c>
      <c r="W157" s="144">
        <v>15.75</v>
      </c>
      <c r="X157" s="144">
        <v>15.75</v>
      </c>
      <c r="Y157" s="259">
        <v>15.75</v>
      </c>
      <c r="Z157" s="144">
        <v>0.46</v>
      </c>
      <c r="AA157" s="144">
        <v>0.46</v>
      </c>
      <c r="AB157" s="144">
        <v>0.46</v>
      </c>
      <c r="AC157" s="144">
        <v>0.46</v>
      </c>
      <c r="AD157" s="144">
        <v>0.46</v>
      </c>
      <c r="AE157" s="144">
        <v>0.46</v>
      </c>
      <c r="AF157" s="144">
        <v>0.46</v>
      </c>
      <c r="AG157" s="144">
        <v>0.46</v>
      </c>
      <c r="AH157" s="144">
        <v>0.46</v>
      </c>
      <c r="AI157" s="144">
        <v>0.46</v>
      </c>
      <c r="AJ157" s="144">
        <v>0.46</v>
      </c>
      <c r="AK157" s="259">
        <v>0.46</v>
      </c>
      <c r="AL157" s="105">
        <v>0</v>
      </c>
      <c r="AM157" s="118">
        <f t="shared" si="1"/>
        <v>0</v>
      </c>
      <c r="AN157" s="105">
        <v>0</v>
      </c>
      <c r="AO157" s="118">
        <f t="shared" si="25"/>
        <v>0</v>
      </c>
      <c r="AP157" s="105">
        <v>0</v>
      </c>
      <c r="AQ157" s="127">
        <f t="shared" si="3"/>
        <v>0</v>
      </c>
      <c r="AR157" s="5">
        <v>0</v>
      </c>
      <c r="AS157" s="118">
        <f t="shared" si="26"/>
        <v>0</v>
      </c>
      <c r="AT157" s="105">
        <v>0</v>
      </c>
      <c r="AU157" s="118">
        <f t="shared" si="27"/>
        <v>0</v>
      </c>
      <c r="AV157" s="105">
        <v>0</v>
      </c>
      <c r="AW157" s="127">
        <f t="shared" si="28"/>
        <v>0</v>
      </c>
      <c r="AX157" s="105">
        <v>0</v>
      </c>
      <c r="AY157" s="118">
        <f t="shared" si="29"/>
        <v>0</v>
      </c>
      <c r="AZ157" s="105">
        <v>0</v>
      </c>
      <c r="BA157" s="118">
        <f t="shared" si="30"/>
        <v>0</v>
      </c>
      <c r="BB157" s="5">
        <v>0</v>
      </c>
      <c r="BC157" s="127">
        <f t="shared" si="31"/>
        <v>0</v>
      </c>
      <c r="BD157" s="105">
        <v>0</v>
      </c>
      <c r="BE157" s="118">
        <f t="shared" si="32"/>
        <v>0</v>
      </c>
      <c r="BF157" s="5">
        <v>0</v>
      </c>
      <c r="BG157" s="118">
        <f t="shared" si="33"/>
        <v>0</v>
      </c>
      <c r="BH157" s="5">
        <v>0</v>
      </c>
      <c r="BI157" s="127">
        <f t="shared" si="34"/>
        <v>0</v>
      </c>
      <c r="BJ157" s="220" t="s">
        <v>649</v>
      </c>
      <c r="BL157" s="1" t="s">
        <v>578</v>
      </c>
      <c r="BM157" s="233" t="s">
        <v>654</v>
      </c>
      <c r="BN157" s="233"/>
      <c r="BO157" s="234"/>
    </row>
    <row r="158" spans="1:67">
      <c r="A158" s="219" t="s">
        <v>823</v>
      </c>
      <c r="B158" s="106" t="s">
        <v>244</v>
      </c>
      <c r="C158" s="66" t="s">
        <v>175</v>
      </c>
      <c r="D158" s="284"/>
      <c r="E158" s="77" t="s">
        <v>253</v>
      </c>
      <c r="F158" s="282"/>
      <c r="G158" s="71" t="s">
        <v>202</v>
      </c>
      <c r="H158" s="70" t="s">
        <v>648</v>
      </c>
      <c r="I158" s="70" t="s">
        <v>184</v>
      </c>
      <c r="J158" s="71" t="s">
        <v>567</v>
      </c>
      <c r="K158" s="70" t="s">
        <v>250</v>
      </c>
      <c r="L158" s="69" t="s">
        <v>257</v>
      </c>
      <c r="M158" s="180" t="s">
        <v>608</v>
      </c>
      <c r="N158" s="144">
        <v>15.75</v>
      </c>
      <c r="O158" s="144">
        <v>15.75</v>
      </c>
      <c r="P158" s="144">
        <v>15.75</v>
      </c>
      <c r="Q158" s="144">
        <v>15.75</v>
      </c>
      <c r="R158" s="144">
        <v>15.75</v>
      </c>
      <c r="S158" s="144">
        <v>15.75</v>
      </c>
      <c r="T158" s="144">
        <v>15.75</v>
      </c>
      <c r="U158" s="144">
        <v>15.75</v>
      </c>
      <c r="V158" s="144">
        <v>15.75</v>
      </c>
      <c r="W158" s="144">
        <v>15.75</v>
      </c>
      <c r="X158" s="144">
        <v>15.75</v>
      </c>
      <c r="Y158" s="259">
        <v>15.75</v>
      </c>
      <c r="Z158" s="144">
        <v>0.46</v>
      </c>
      <c r="AA158" s="144">
        <v>0.46</v>
      </c>
      <c r="AB158" s="144">
        <v>0.46</v>
      </c>
      <c r="AC158" s="144">
        <v>0.46</v>
      </c>
      <c r="AD158" s="144">
        <v>0.46</v>
      </c>
      <c r="AE158" s="144">
        <v>0.46</v>
      </c>
      <c r="AF158" s="144">
        <v>0.46</v>
      </c>
      <c r="AG158" s="144">
        <v>0.46</v>
      </c>
      <c r="AH158" s="144">
        <v>0.46</v>
      </c>
      <c r="AI158" s="144">
        <v>0.46</v>
      </c>
      <c r="AJ158" s="144">
        <v>0.46</v>
      </c>
      <c r="AK158" s="259">
        <v>0.46</v>
      </c>
      <c r="AL158" s="105">
        <v>0</v>
      </c>
      <c r="AM158" s="118">
        <f t="shared" si="1"/>
        <v>0</v>
      </c>
      <c r="AN158" s="105">
        <v>0</v>
      </c>
      <c r="AO158" s="118">
        <f t="shared" si="25"/>
        <v>0</v>
      </c>
      <c r="AP158" s="105">
        <v>0</v>
      </c>
      <c r="AQ158" s="127">
        <f t="shared" si="3"/>
        <v>0</v>
      </c>
      <c r="AR158" s="5">
        <v>0</v>
      </c>
      <c r="AS158" s="118">
        <f t="shared" si="26"/>
        <v>0</v>
      </c>
      <c r="AT158" s="105">
        <v>0</v>
      </c>
      <c r="AU158" s="118">
        <f t="shared" si="27"/>
        <v>0</v>
      </c>
      <c r="AV158" s="105">
        <v>0</v>
      </c>
      <c r="AW158" s="127">
        <f t="shared" si="28"/>
        <v>0</v>
      </c>
      <c r="AX158" s="105">
        <v>0</v>
      </c>
      <c r="AY158" s="118">
        <f t="shared" si="29"/>
        <v>0</v>
      </c>
      <c r="AZ158" s="105">
        <v>0</v>
      </c>
      <c r="BA158" s="118">
        <f t="shared" si="30"/>
        <v>0</v>
      </c>
      <c r="BB158" s="5">
        <v>0</v>
      </c>
      <c r="BC158" s="127">
        <f t="shared" si="31"/>
        <v>0</v>
      </c>
      <c r="BD158" s="105">
        <v>0</v>
      </c>
      <c r="BE158" s="118">
        <f t="shared" si="32"/>
        <v>0</v>
      </c>
      <c r="BF158" s="5">
        <v>0</v>
      </c>
      <c r="BG158" s="118">
        <f t="shared" si="33"/>
        <v>0</v>
      </c>
      <c r="BH158" s="5">
        <v>0</v>
      </c>
      <c r="BI158" s="127">
        <f t="shared" si="34"/>
        <v>0</v>
      </c>
      <c r="BJ158" s="220" t="s">
        <v>649</v>
      </c>
      <c r="BL158" s="1" t="s">
        <v>578</v>
      </c>
      <c r="BM158" s="233" t="s">
        <v>655</v>
      </c>
      <c r="BN158" s="233"/>
      <c r="BO158" s="234"/>
    </row>
    <row r="159" spans="1:67">
      <c r="A159" s="219" t="s">
        <v>823</v>
      </c>
      <c r="B159" s="106" t="s">
        <v>244</v>
      </c>
      <c r="C159" s="66" t="s">
        <v>175</v>
      </c>
      <c r="D159" s="284"/>
      <c r="E159" s="77" t="s">
        <v>253</v>
      </c>
      <c r="F159" s="282"/>
      <c r="G159" s="71" t="s">
        <v>202</v>
      </c>
      <c r="H159" s="70" t="s">
        <v>648</v>
      </c>
      <c r="I159" s="70" t="s">
        <v>184</v>
      </c>
      <c r="J159" s="71" t="s">
        <v>567</v>
      </c>
      <c r="K159" s="70" t="s">
        <v>250</v>
      </c>
      <c r="L159" s="69" t="s">
        <v>257</v>
      </c>
      <c r="M159" s="180" t="s">
        <v>608</v>
      </c>
      <c r="N159" s="144">
        <v>15.75</v>
      </c>
      <c r="O159" s="144">
        <v>15.75</v>
      </c>
      <c r="P159" s="144">
        <v>15.75</v>
      </c>
      <c r="Q159" s="144">
        <v>15.75</v>
      </c>
      <c r="R159" s="144">
        <v>15.75</v>
      </c>
      <c r="S159" s="144">
        <v>15.75</v>
      </c>
      <c r="T159" s="144">
        <v>15.75</v>
      </c>
      <c r="U159" s="144">
        <v>15.75</v>
      </c>
      <c r="V159" s="144">
        <v>15.75</v>
      </c>
      <c r="W159" s="144">
        <v>15.75</v>
      </c>
      <c r="X159" s="144">
        <v>15.75</v>
      </c>
      <c r="Y159" s="259">
        <v>15.75</v>
      </c>
      <c r="Z159" s="144">
        <v>0.46</v>
      </c>
      <c r="AA159" s="144">
        <v>0.46</v>
      </c>
      <c r="AB159" s="144">
        <v>0.46</v>
      </c>
      <c r="AC159" s="144">
        <v>0.46</v>
      </c>
      <c r="AD159" s="144">
        <v>0.46</v>
      </c>
      <c r="AE159" s="144">
        <v>0.46</v>
      </c>
      <c r="AF159" s="144">
        <v>0.46</v>
      </c>
      <c r="AG159" s="144">
        <v>0.46</v>
      </c>
      <c r="AH159" s="144">
        <v>0.46</v>
      </c>
      <c r="AI159" s="144">
        <v>0.46</v>
      </c>
      <c r="AJ159" s="144">
        <v>0.46</v>
      </c>
      <c r="AK159" s="259">
        <v>0.46</v>
      </c>
      <c r="AL159" s="105">
        <v>0</v>
      </c>
      <c r="AM159" s="118">
        <f t="shared" si="1"/>
        <v>0</v>
      </c>
      <c r="AN159" s="105">
        <v>0</v>
      </c>
      <c r="AO159" s="118">
        <f t="shared" si="25"/>
        <v>0</v>
      </c>
      <c r="AP159" s="105">
        <v>0</v>
      </c>
      <c r="AQ159" s="127">
        <f t="shared" si="3"/>
        <v>0</v>
      </c>
      <c r="AR159" s="5">
        <v>0</v>
      </c>
      <c r="AS159" s="118">
        <f t="shared" si="26"/>
        <v>0</v>
      </c>
      <c r="AT159" s="105">
        <v>0</v>
      </c>
      <c r="AU159" s="118">
        <f t="shared" si="27"/>
        <v>0</v>
      </c>
      <c r="AV159" s="105">
        <v>0</v>
      </c>
      <c r="AW159" s="127">
        <f t="shared" si="28"/>
        <v>0</v>
      </c>
      <c r="AX159" s="105">
        <v>0</v>
      </c>
      <c r="AY159" s="118">
        <f t="shared" si="29"/>
        <v>0</v>
      </c>
      <c r="AZ159" s="105">
        <v>0</v>
      </c>
      <c r="BA159" s="118">
        <f t="shared" si="30"/>
        <v>0</v>
      </c>
      <c r="BB159" s="5">
        <v>0</v>
      </c>
      <c r="BC159" s="127">
        <f t="shared" si="31"/>
        <v>0</v>
      </c>
      <c r="BD159" s="105">
        <v>0</v>
      </c>
      <c r="BE159" s="118">
        <f t="shared" si="32"/>
        <v>0</v>
      </c>
      <c r="BF159" s="5">
        <v>0</v>
      </c>
      <c r="BG159" s="118">
        <f t="shared" si="33"/>
        <v>0</v>
      </c>
      <c r="BH159" s="5">
        <v>0</v>
      </c>
      <c r="BI159" s="127">
        <f t="shared" si="34"/>
        <v>0</v>
      </c>
      <c r="BJ159" s="220" t="s">
        <v>649</v>
      </c>
      <c r="BL159" s="1" t="s">
        <v>578</v>
      </c>
      <c r="BM159" s="233" t="s">
        <v>656</v>
      </c>
      <c r="BN159" s="233"/>
      <c r="BO159" s="234"/>
    </row>
    <row r="160" spans="1:67">
      <c r="A160" s="219" t="s">
        <v>823</v>
      </c>
      <c r="B160" s="106" t="s">
        <v>244</v>
      </c>
      <c r="C160" s="66" t="s">
        <v>175</v>
      </c>
      <c r="D160" s="284"/>
      <c r="E160" s="77" t="s">
        <v>253</v>
      </c>
      <c r="F160" s="282"/>
      <c r="G160" s="71" t="s">
        <v>202</v>
      </c>
      <c r="H160" s="70" t="s">
        <v>648</v>
      </c>
      <c r="I160" s="70" t="s">
        <v>184</v>
      </c>
      <c r="J160" s="71" t="s">
        <v>567</v>
      </c>
      <c r="K160" s="70" t="s">
        <v>250</v>
      </c>
      <c r="L160" s="69" t="s">
        <v>257</v>
      </c>
      <c r="M160" s="180" t="s">
        <v>608</v>
      </c>
      <c r="N160" s="144">
        <v>15.75</v>
      </c>
      <c r="O160" s="144">
        <v>15.75</v>
      </c>
      <c r="P160" s="144">
        <v>15.75</v>
      </c>
      <c r="Q160" s="144">
        <v>15.75</v>
      </c>
      <c r="R160" s="144">
        <v>15.75</v>
      </c>
      <c r="S160" s="144">
        <v>15.75</v>
      </c>
      <c r="T160" s="144">
        <v>15.75</v>
      </c>
      <c r="U160" s="144">
        <v>15.75</v>
      </c>
      <c r="V160" s="144">
        <v>15.75</v>
      </c>
      <c r="W160" s="144">
        <v>15.75</v>
      </c>
      <c r="X160" s="144">
        <v>15.75</v>
      </c>
      <c r="Y160" s="259">
        <v>15.75</v>
      </c>
      <c r="Z160" s="144">
        <v>0.46</v>
      </c>
      <c r="AA160" s="144">
        <v>0.46</v>
      </c>
      <c r="AB160" s="144">
        <v>0.46</v>
      </c>
      <c r="AC160" s="144">
        <v>0.46</v>
      </c>
      <c r="AD160" s="144">
        <v>0.46</v>
      </c>
      <c r="AE160" s="144">
        <v>0.46</v>
      </c>
      <c r="AF160" s="144">
        <v>0.46</v>
      </c>
      <c r="AG160" s="144">
        <v>0.46</v>
      </c>
      <c r="AH160" s="144">
        <v>0.46</v>
      </c>
      <c r="AI160" s="144">
        <v>0.46</v>
      </c>
      <c r="AJ160" s="144">
        <v>0.46</v>
      </c>
      <c r="AK160" s="259">
        <v>0.46</v>
      </c>
      <c r="AL160" s="105">
        <v>0</v>
      </c>
      <c r="AM160" s="118">
        <f t="shared" si="1"/>
        <v>0</v>
      </c>
      <c r="AN160" s="105">
        <v>0</v>
      </c>
      <c r="AO160" s="118">
        <f t="shared" si="25"/>
        <v>0</v>
      </c>
      <c r="AP160" s="105">
        <v>0</v>
      </c>
      <c r="AQ160" s="127">
        <f t="shared" si="3"/>
        <v>0</v>
      </c>
      <c r="AR160" s="5">
        <v>0</v>
      </c>
      <c r="AS160" s="118">
        <f t="shared" si="26"/>
        <v>0</v>
      </c>
      <c r="AT160" s="105">
        <v>0</v>
      </c>
      <c r="AU160" s="118">
        <f t="shared" si="27"/>
        <v>0</v>
      </c>
      <c r="AV160" s="105">
        <v>0</v>
      </c>
      <c r="AW160" s="127">
        <f t="shared" si="28"/>
        <v>0</v>
      </c>
      <c r="AX160" s="105">
        <v>0</v>
      </c>
      <c r="AY160" s="118">
        <f t="shared" si="29"/>
        <v>0</v>
      </c>
      <c r="AZ160" s="105">
        <v>0</v>
      </c>
      <c r="BA160" s="118">
        <f t="shared" si="30"/>
        <v>0</v>
      </c>
      <c r="BB160" s="5">
        <v>0</v>
      </c>
      <c r="BC160" s="127">
        <f t="shared" si="31"/>
        <v>0</v>
      </c>
      <c r="BD160" s="105">
        <v>0</v>
      </c>
      <c r="BE160" s="118">
        <f t="shared" si="32"/>
        <v>0</v>
      </c>
      <c r="BF160" s="5">
        <v>0</v>
      </c>
      <c r="BG160" s="118">
        <f t="shared" si="33"/>
        <v>0</v>
      </c>
      <c r="BH160" s="5">
        <v>0</v>
      </c>
      <c r="BI160" s="127">
        <f t="shared" si="34"/>
        <v>0</v>
      </c>
      <c r="BJ160" s="220" t="s">
        <v>649</v>
      </c>
      <c r="BL160" s="1" t="s">
        <v>578</v>
      </c>
      <c r="BM160" s="233" t="s">
        <v>657</v>
      </c>
      <c r="BN160" s="233"/>
      <c r="BO160" s="234"/>
    </row>
    <row r="161" spans="1:67">
      <c r="A161" s="219" t="s">
        <v>823</v>
      </c>
      <c r="B161" s="106" t="s">
        <v>244</v>
      </c>
      <c r="C161" s="66" t="s">
        <v>175</v>
      </c>
      <c r="D161" s="284"/>
      <c r="E161" s="77" t="s">
        <v>253</v>
      </c>
      <c r="F161" s="282"/>
      <c r="G161" s="71" t="s">
        <v>202</v>
      </c>
      <c r="H161" s="70" t="s">
        <v>648</v>
      </c>
      <c r="I161" s="70" t="s">
        <v>184</v>
      </c>
      <c r="J161" s="71" t="s">
        <v>567</v>
      </c>
      <c r="K161" s="70" t="s">
        <v>250</v>
      </c>
      <c r="L161" s="69" t="s">
        <v>257</v>
      </c>
      <c r="M161" s="180" t="s">
        <v>608</v>
      </c>
      <c r="N161" s="144">
        <v>15.75</v>
      </c>
      <c r="O161" s="144">
        <v>15.75</v>
      </c>
      <c r="P161" s="144">
        <v>15.75</v>
      </c>
      <c r="Q161" s="144">
        <v>15.75</v>
      </c>
      <c r="R161" s="144">
        <v>15.75</v>
      </c>
      <c r="S161" s="144">
        <v>15.75</v>
      </c>
      <c r="T161" s="144">
        <v>15.75</v>
      </c>
      <c r="U161" s="144">
        <v>15.75</v>
      </c>
      <c r="V161" s="144">
        <v>15.75</v>
      </c>
      <c r="W161" s="144">
        <v>15.75</v>
      </c>
      <c r="X161" s="144">
        <v>15.75</v>
      </c>
      <c r="Y161" s="259">
        <v>15.75</v>
      </c>
      <c r="Z161" s="144">
        <v>0.46</v>
      </c>
      <c r="AA161" s="144">
        <v>0.46</v>
      </c>
      <c r="AB161" s="144">
        <v>0.46</v>
      </c>
      <c r="AC161" s="144">
        <v>0.46</v>
      </c>
      <c r="AD161" s="144">
        <v>0.46</v>
      </c>
      <c r="AE161" s="144">
        <v>0.46</v>
      </c>
      <c r="AF161" s="144">
        <v>0.46</v>
      </c>
      <c r="AG161" s="144">
        <v>0.46</v>
      </c>
      <c r="AH161" s="144">
        <v>0.46</v>
      </c>
      <c r="AI161" s="144">
        <v>0.46</v>
      </c>
      <c r="AJ161" s="144">
        <v>0.46</v>
      </c>
      <c r="AK161" s="259">
        <v>0.46</v>
      </c>
      <c r="AL161" s="105">
        <v>0</v>
      </c>
      <c r="AM161" s="118">
        <f t="shared" si="1"/>
        <v>0</v>
      </c>
      <c r="AN161" s="105">
        <v>0</v>
      </c>
      <c r="AO161" s="118">
        <f t="shared" si="25"/>
        <v>0</v>
      </c>
      <c r="AP161" s="105">
        <v>0</v>
      </c>
      <c r="AQ161" s="127">
        <f t="shared" si="3"/>
        <v>0</v>
      </c>
      <c r="AR161" s="5">
        <v>0</v>
      </c>
      <c r="AS161" s="118">
        <f t="shared" si="26"/>
        <v>0</v>
      </c>
      <c r="AT161" s="105">
        <v>0</v>
      </c>
      <c r="AU161" s="118">
        <f t="shared" si="27"/>
        <v>0</v>
      </c>
      <c r="AV161" s="105">
        <v>0</v>
      </c>
      <c r="AW161" s="127">
        <f t="shared" si="28"/>
        <v>0</v>
      </c>
      <c r="AX161" s="105">
        <v>0</v>
      </c>
      <c r="AY161" s="118">
        <f t="shared" si="29"/>
        <v>0</v>
      </c>
      <c r="AZ161" s="105">
        <v>0</v>
      </c>
      <c r="BA161" s="118">
        <f t="shared" si="30"/>
        <v>0</v>
      </c>
      <c r="BB161" s="5">
        <v>0</v>
      </c>
      <c r="BC161" s="127">
        <f t="shared" si="31"/>
        <v>0</v>
      </c>
      <c r="BD161" s="105">
        <v>0</v>
      </c>
      <c r="BE161" s="118">
        <f t="shared" si="32"/>
        <v>0</v>
      </c>
      <c r="BF161" s="5">
        <v>0</v>
      </c>
      <c r="BG161" s="118">
        <f t="shared" si="33"/>
        <v>0</v>
      </c>
      <c r="BH161" s="5">
        <v>0</v>
      </c>
      <c r="BI161" s="127">
        <f t="shared" si="34"/>
        <v>0</v>
      </c>
      <c r="BJ161" s="220" t="s">
        <v>649</v>
      </c>
      <c r="BL161" s="1" t="s">
        <v>578</v>
      </c>
      <c r="BM161" s="233" t="s">
        <v>658</v>
      </c>
      <c r="BN161" s="233"/>
      <c r="BO161" s="234"/>
    </row>
    <row r="162" spans="1:67">
      <c r="A162" s="219" t="s">
        <v>823</v>
      </c>
      <c r="B162" s="106" t="s">
        <v>244</v>
      </c>
      <c r="C162" s="66" t="s">
        <v>175</v>
      </c>
      <c r="D162" s="284"/>
      <c r="E162" s="77" t="s">
        <v>253</v>
      </c>
      <c r="F162" s="282"/>
      <c r="G162" s="71" t="s">
        <v>202</v>
      </c>
      <c r="H162" s="70" t="s">
        <v>648</v>
      </c>
      <c r="I162" s="70" t="s">
        <v>184</v>
      </c>
      <c r="J162" s="71" t="s">
        <v>567</v>
      </c>
      <c r="K162" s="70" t="s">
        <v>250</v>
      </c>
      <c r="L162" s="69" t="s">
        <v>257</v>
      </c>
      <c r="M162" s="180" t="s">
        <v>608</v>
      </c>
      <c r="N162" s="144">
        <v>15.75</v>
      </c>
      <c r="O162" s="144">
        <v>15.75</v>
      </c>
      <c r="P162" s="144">
        <v>15.75</v>
      </c>
      <c r="Q162" s="144">
        <v>15.75</v>
      </c>
      <c r="R162" s="144">
        <v>15.75</v>
      </c>
      <c r="S162" s="144">
        <v>15.75</v>
      </c>
      <c r="T162" s="144">
        <v>15.75</v>
      </c>
      <c r="U162" s="144">
        <v>15.75</v>
      </c>
      <c r="V162" s="144">
        <v>15.75</v>
      </c>
      <c r="W162" s="144">
        <v>15.75</v>
      </c>
      <c r="X162" s="144">
        <v>15.75</v>
      </c>
      <c r="Y162" s="259">
        <v>15.75</v>
      </c>
      <c r="Z162" s="144">
        <v>0.46</v>
      </c>
      <c r="AA162" s="144">
        <v>0.46</v>
      </c>
      <c r="AB162" s="144">
        <v>0.46</v>
      </c>
      <c r="AC162" s="144">
        <v>0.46</v>
      </c>
      <c r="AD162" s="144">
        <v>0.46</v>
      </c>
      <c r="AE162" s="144">
        <v>0.46</v>
      </c>
      <c r="AF162" s="144">
        <v>0.46</v>
      </c>
      <c r="AG162" s="144">
        <v>0.46</v>
      </c>
      <c r="AH162" s="144">
        <v>0.46</v>
      </c>
      <c r="AI162" s="144">
        <v>0.46</v>
      </c>
      <c r="AJ162" s="144">
        <v>0.46</v>
      </c>
      <c r="AK162" s="259">
        <v>0.46</v>
      </c>
      <c r="AL162" s="105">
        <v>0</v>
      </c>
      <c r="AM162" s="118">
        <f t="shared" si="1"/>
        <v>0</v>
      </c>
      <c r="AN162" s="105">
        <v>0</v>
      </c>
      <c r="AO162" s="118">
        <f t="shared" si="25"/>
        <v>0</v>
      </c>
      <c r="AP162" s="105">
        <v>0</v>
      </c>
      <c r="AQ162" s="127">
        <f t="shared" si="3"/>
        <v>0</v>
      </c>
      <c r="AR162" s="5">
        <v>0</v>
      </c>
      <c r="AS162" s="118">
        <f t="shared" si="26"/>
        <v>0</v>
      </c>
      <c r="AT162" s="105">
        <v>0</v>
      </c>
      <c r="AU162" s="118">
        <f t="shared" si="27"/>
        <v>0</v>
      </c>
      <c r="AV162" s="105">
        <v>0</v>
      </c>
      <c r="AW162" s="127">
        <f t="shared" si="28"/>
        <v>0</v>
      </c>
      <c r="AX162" s="105">
        <v>0</v>
      </c>
      <c r="AY162" s="118">
        <f t="shared" si="29"/>
        <v>0</v>
      </c>
      <c r="AZ162" s="105">
        <v>0</v>
      </c>
      <c r="BA162" s="118">
        <f t="shared" si="30"/>
        <v>0</v>
      </c>
      <c r="BB162" s="5">
        <v>0</v>
      </c>
      <c r="BC162" s="127">
        <f t="shared" si="31"/>
        <v>0</v>
      </c>
      <c r="BD162" s="105">
        <v>0</v>
      </c>
      <c r="BE162" s="118">
        <f t="shared" si="32"/>
        <v>0</v>
      </c>
      <c r="BF162" s="5">
        <v>0</v>
      </c>
      <c r="BG162" s="118">
        <f t="shared" si="33"/>
        <v>0</v>
      </c>
      <c r="BH162" s="5">
        <v>0</v>
      </c>
      <c r="BI162" s="127">
        <f t="shared" si="34"/>
        <v>0</v>
      </c>
      <c r="BJ162" s="220" t="s">
        <v>649</v>
      </c>
      <c r="BL162" s="1" t="s">
        <v>578</v>
      </c>
      <c r="BM162" s="233" t="s">
        <v>659</v>
      </c>
      <c r="BN162" s="233"/>
      <c r="BO162" s="234"/>
    </row>
    <row r="163" spans="1:67">
      <c r="A163" s="219" t="s">
        <v>823</v>
      </c>
      <c r="B163" s="106" t="s">
        <v>244</v>
      </c>
      <c r="C163" s="66" t="s">
        <v>175</v>
      </c>
      <c r="D163" s="284"/>
      <c r="E163" s="77" t="s">
        <v>253</v>
      </c>
      <c r="F163" s="282"/>
      <c r="G163" s="71" t="s">
        <v>202</v>
      </c>
      <c r="H163" s="70" t="s">
        <v>648</v>
      </c>
      <c r="I163" s="70" t="s">
        <v>184</v>
      </c>
      <c r="J163" s="71" t="s">
        <v>567</v>
      </c>
      <c r="K163" s="70" t="s">
        <v>250</v>
      </c>
      <c r="L163" s="69" t="s">
        <v>257</v>
      </c>
      <c r="M163" s="180" t="s">
        <v>608</v>
      </c>
      <c r="N163" s="144">
        <v>15.75</v>
      </c>
      <c r="O163" s="144">
        <v>15.75</v>
      </c>
      <c r="P163" s="144">
        <v>15.75</v>
      </c>
      <c r="Q163" s="144">
        <v>15.75</v>
      </c>
      <c r="R163" s="144">
        <v>15.75</v>
      </c>
      <c r="S163" s="144">
        <v>15.75</v>
      </c>
      <c r="T163" s="144">
        <v>15.75</v>
      </c>
      <c r="U163" s="144">
        <v>15.75</v>
      </c>
      <c r="V163" s="144">
        <v>15.75</v>
      </c>
      <c r="W163" s="144">
        <v>15.75</v>
      </c>
      <c r="X163" s="144">
        <v>15.75</v>
      </c>
      <c r="Y163" s="259">
        <v>15.75</v>
      </c>
      <c r="Z163" s="144">
        <v>0.46</v>
      </c>
      <c r="AA163" s="144">
        <v>0.46</v>
      </c>
      <c r="AB163" s="144">
        <v>0.46</v>
      </c>
      <c r="AC163" s="144">
        <v>0.46</v>
      </c>
      <c r="AD163" s="144">
        <v>0.46</v>
      </c>
      <c r="AE163" s="144">
        <v>0.46</v>
      </c>
      <c r="AF163" s="144">
        <v>0.46</v>
      </c>
      <c r="AG163" s="144">
        <v>0.46</v>
      </c>
      <c r="AH163" s="144">
        <v>0.46</v>
      </c>
      <c r="AI163" s="144">
        <v>0.46</v>
      </c>
      <c r="AJ163" s="144">
        <v>0.46</v>
      </c>
      <c r="AK163" s="259">
        <v>0.46</v>
      </c>
      <c r="AL163" s="105">
        <v>0</v>
      </c>
      <c r="AM163" s="118">
        <f t="shared" si="1"/>
        <v>0</v>
      </c>
      <c r="AN163" s="105">
        <v>0</v>
      </c>
      <c r="AO163" s="118">
        <f t="shared" si="25"/>
        <v>0</v>
      </c>
      <c r="AP163" s="105">
        <v>0</v>
      </c>
      <c r="AQ163" s="127">
        <f t="shared" si="3"/>
        <v>0</v>
      </c>
      <c r="AR163" s="5">
        <v>0</v>
      </c>
      <c r="AS163" s="118">
        <f t="shared" si="26"/>
        <v>0</v>
      </c>
      <c r="AT163" s="105">
        <v>0</v>
      </c>
      <c r="AU163" s="118">
        <f t="shared" si="27"/>
        <v>0</v>
      </c>
      <c r="AV163" s="105">
        <v>0</v>
      </c>
      <c r="AW163" s="127">
        <f t="shared" si="28"/>
        <v>0</v>
      </c>
      <c r="AX163" s="105">
        <v>0</v>
      </c>
      <c r="AY163" s="118">
        <f t="shared" si="29"/>
        <v>0</v>
      </c>
      <c r="AZ163" s="105">
        <v>0</v>
      </c>
      <c r="BA163" s="118">
        <f t="shared" si="30"/>
        <v>0</v>
      </c>
      <c r="BB163" s="5">
        <v>0</v>
      </c>
      <c r="BC163" s="127">
        <f t="shared" si="31"/>
        <v>0</v>
      </c>
      <c r="BD163" s="105">
        <v>0</v>
      </c>
      <c r="BE163" s="118">
        <f t="shared" si="32"/>
        <v>0</v>
      </c>
      <c r="BF163" s="5">
        <v>0</v>
      </c>
      <c r="BG163" s="118">
        <f t="shared" si="33"/>
        <v>0</v>
      </c>
      <c r="BH163" s="5">
        <v>0</v>
      </c>
      <c r="BI163" s="127">
        <f t="shared" si="34"/>
        <v>0</v>
      </c>
      <c r="BJ163" s="220" t="s">
        <v>649</v>
      </c>
      <c r="BL163" s="1" t="s">
        <v>578</v>
      </c>
      <c r="BM163" s="233" t="s">
        <v>660</v>
      </c>
      <c r="BN163" s="233"/>
      <c r="BO163" s="234"/>
    </row>
    <row r="164" spans="1:67">
      <c r="A164" s="219" t="s">
        <v>823</v>
      </c>
      <c r="B164" s="106" t="s">
        <v>244</v>
      </c>
      <c r="C164" s="66" t="s">
        <v>175</v>
      </c>
      <c r="D164" s="284"/>
      <c r="E164" s="77" t="s">
        <v>253</v>
      </c>
      <c r="F164" s="282"/>
      <c r="G164" s="71" t="s">
        <v>202</v>
      </c>
      <c r="H164" s="70" t="s">
        <v>648</v>
      </c>
      <c r="I164" s="70" t="s">
        <v>184</v>
      </c>
      <c r="J164" s="71" t="s">
        <v>567</v>
      </c>
      <c r="K164" s="70" t="s">
        <v>250</v>
      </c>
      <c r="L164" s="69" t="s">
        <v>257</v>
      </c>
      <c r="M164" s="180" t="s">
        <v>608</v>
      </c>
      <c r="N164" s="144">
        <v>15.75</v>
      </c>
      <c r="O164" s="144">
        <v>15.75</v>
      </c>
      <c r="P164" s="144">
        <v>15.75</v>
      </c>
      <c r="Q164" s="144">
        <v>15.75</v>
      </c>
      <c r="R164" s="144">
        <v>15.75</v>
      </c>
      <c r="S164" s="144">
        <v>15.75</v>
      </c>
      <c r="T164" s="144">
        <v>15.75</v>
      </c>
      <c r="U164" s="144">
        <v>15.75</v>
      </c>
      <c r="V164" s="144">
        <v>15.75</v>
      </c>
      <c r="W164" s="144">
        <v>15.75</v>
      </c>
      <c r="X164" s="144">
        <v>15.75</v>
      </c>
      <c r="Y164" s="259">
        <v>15.75</v>
      </c>
      <c r="Z164" s="144">
        <v>0.46</v>
      </c>
      <c r="AA164" s="144">
        <v>0.46</v>
      </c>
      <c r="AB164" s="144">
        <v>0.46</v>
      </c>
      <c r="AC164" s="144">
        <v>0.46</v>
      </c>
      <c r="AD164" s="144">
        <v>0.46</v>
      </c>
      <c r="AE164" s="144">
        <v>0.46</v>
      </c>
      <c r="AF164" s="144">
        <v>0.46</v>
      </c>
      <c r="AG164" s="144">
        <v>0.46</v>
      </c>
      <c r="AH164" s="144">
        <v>0.46</v>
      </c>
      <c r="AI164" s="144">
        <v>0.46</v>
      </c>
      <c r="AJ164" s="144">
        <v>0.46</v>
      </c>
      <c r="AK164" s="259">
        <v>0.46</v>
      </c>
      <c r="AL164" s="105">
        <v>0</v>
      </c>
      <c r="AM164" s="118">
        <f t="shared" si="1"/>
        <v>0</v>
      </c>
      <c r="AN164" s="105">
        <v>0</v>
      </c>
      <c r="AO164" s="118">
        <f t="shared" si="25"/>
        <v>0</v>
      </c>
      <c r="AP164" s="105">
        <v>0</v>
      </c>
      <c r="AQ164" s="127">
        <f t="shared" si="3"/>
        <v>0</v>
      </c>
      <c r="AR164" s="5">
        <v>0</v>
      </c>
      <c r="AS164" s="118">
        <f t="shared" si="26"/>
        <v>0</v>
      </c>
      <c r="AT164" s="105">
        <v>0</v>
      </c>
      <c r="AU164" s="118">
        <f t="shared" si="27"/>
        <v>0</v>
      </c>
      <c r="AV164" s="105">
        <v>0</v>
      </c>
      <c r="AW164" s="127">
        <f t="shared" si="28"/>
        <v>0</v>
      </c>
      <c r="AX164" s="105">
        <v>0</v>
      </c>
      <c r="AY164" s="118">
        <f t="shared" si="29"/>
        <v>0</v>
      </c>
      <c r="AZ164" s="105">
        <v>0</v>
      </c>
      <c r="BA164" s="118">
        <f t="shared" si="30"/>
        <v>0</v>
      </c>
      <c r="BB164" s="5">
        <v>0</v>
      </c>
      <c r="BC164" s="127">
        <f t="shared" si="31"/>
        <v>0</v>
      </c>
      <c r="BD164" s="105">
        <v>0</v>
      </c>
      <c r="BE164" s="118">
        <f t="shared" si="32"/>
        <v>0</v>
      </c>
      <c r="BF164" s="5">
        <v>0</v>
      </c>
      <c r="BG164" s="118">
        <f t="shared" si="33"/>
        <v>0</v>
      </c>
      <c r="BH164" s="5">
        <v>0</v>
      </c>
      <c r="BI164" s="127">
        <f t="shared" si="34"/>
        <v>0</v>
      </c>
      <c r="BJ164" s="220" t="s">
        <v>649</v>
      </c>
      <c r="BL164" s="1" t="s">
        <v>578</v>
      </c>
      <c r="BM164" s="233" t="s">
        <v>661</v>
      </c>
      <c r="BN164" s="233"/>
      <c r="BO164" s="234"/>
    </row>
    <row r="165" spans="1:67">
      <c r="A165" s="219" t="s">
        <v>823</v>
      </c>
      <c r="B165" s="106" t="s">
        <v>244</v>
      </c>
      <c r="C165" s="66" t="s">
        <v>175</v>
      </c>
      <c r="D165" s="284"/>
      <c r="E165" s="77" t="s">
        <v>253</v>
      </c>
      <c r="F165" s="282"/>
      <c r="G165" s="71" t="s">
        <v>202</v>
      </c>
      <c r="H165" s="70" t="s">
        <v>648</v>
      </c>
      <c r="I165" s="70" t="s">
        <v>184</v>
      </c>
      <c r="J165" s="71" t="s">
        <v>567</v>
      </c>
      <c r="K165" s="70" t="s">
        <v>250</v>
      </c>
      <c r="L165" s="69" t="s">
        <v>257</v>
      </c>
      <c r="M165" s="180" t="s">
        <v>608</v>
      </c>
      <c r="N165" s="144">
        <v>15.75</v>
      </c>
      <c r="O165" s="144">
        <v>15.75</v>
      </c>
      <c r="P165" s="144">
        <v>15.75</v>
      </c>
      <c r="Q165" s="144">
        <v>15.75</v>
      </c>
      <c r="R165" s="144">
        <v>15.75</v>
      </c>
      <c r="S165" s="144">
        <v>15.75</v>
      </c>
      <c r="T165" s="144">
        <v>15.75</v>
      </c>
      <c r="U165" s="144">
        <v>15.75</v>
      </c>
      <c r="V165" s="144">
        <v>15.75</v>
      </c>
      <c r="W165" s="144">
        <v>15.75</v>
      </c>
      <c r="X165" s="144">
        <v>15.75</v>
      </c>
      <c r="Y165" s="259">
        <v>15.75</v>
      </c>
      <c r="Z165" s="144">
        <v>0.46</v>
      </c>
      <c r="AA165" s="144">
        <v>0.46</v>
      </c>
      <c r="AB165" s="144">
        <v>0.46</v>
      </c>
      <c r="AC165" s="144">
        <v>0.46</v>
      </c>
      <c r="AD165" s="144">
        <v>0.46</v>
      </c>
      <c r="AE165" s="144">
        <v>0.46</v>
      </c>
      <c r="AF165" s="144">
        <v>0.46</v>
      </c>
      <c r="AG165" s="144">
        <v>0.46</v>
      </c>
      <c r="AH165" s="144">
        <v>0.46</v>
      </c>
      <c r="AI165" s="144">
        <v>0.46</v>
      </c>
      <c r="AJ165" s="144">
        <v>0.46</v>
      </c>
      <c r="AK165" s="259">
        <v>0.46</v>
      </c>
      <c r="AL165" s="105">
        <v>0</v>
      </c>
      <c r="AM165" s="118">
        <f t="shared" si="1"/>
        <v>0</v>
      </c>
      <c r="AN165" s="105">
        <v>0</v>
      </c>
      <c r="AO165" s="118">
        <f t="shared" si="25"/>
        <v>0</v>
      </c>
      <c r="AP165" s="105">
        <v>0</v>
      </c>
      <c r="AQ165" s="127">
        <f t="shared" si="3"/>
        <v>0</v>
      </c>
      <c r="AR165" s="5">
        <v>0</v>
      </c>
      <c r="AS165" s="118">
        <f t="shared" si="26"/>
        <v>0</v>
      </c>
      <c r="AT165" s="105">
        <v>0</v>
      </c>
      <c r="AU165" s="118">
        <f t="shared" si="27"/>
        <v>0</v>
      </c>
      <c r="AV165" s="105">
        <v>0</v>
      </c>
      <c r="AW165" s="127">
        <f t="shared" si="28"/>
        <v>0</v>
      </c>
      <c r="AX165" s="105">
        <v>0</v>
      </c>
      <c r="AY165" s="118">
        <f t="shared" si="29"/>
        <v>0</v>
      </c>
      <c r="AZ165" s="105">
        <v>0</v>
      </c>
      <c r="BA165" s="118">
        <f t="shared" si="30"/>
        <v>0</v>
      </c>
      <c r="BB165" s="5">
        <v>0</v>
      </c>
      <c r="BC165" s="127">
        <f t="shared" si="31"/>
        <v>0</v>
      </c>
      <c r="BD165" s="105">
        <v>0</v>
      </c>
      <c r="BE165" s="118">
        <f t="shared" si="32"/>
        <v>0</v>
      </c>
      <c r="BF165" s="5">
        <v>0</v>
      </c>
      <c r="BG165" s="118">
        <f t="shared" si="33"/>
        <v>0</v>
      </c>
      <c r="BH165" s="5">
        <v>0</v>
      </c>
      <c r="BI165" s="127">
        <f t="shared" si="34"/>
        <v>0</v>
      </c>
      <c r="BJ165" s="220" t="s">
        <v>649</v>
      </c>
      <c r="BL165" s="1" t="s">
        <v>578</v>
      </c>
      <c r="BM165" s="233" t="s">
        <v>662</v>
      </c>
      <c r="BN165" s="233"/>
      <c r="BO165" s="234"/>
    </row>
    <row r="166" spans="1:67">
      <c r="A166" s="219" t="s">
        <v>823</v>
      </c>
      <c r="B166" s="106" t="s">
        <v>244</v>
      </c>
      <c r="C166" s="66" t="s">
        <v>175</v>
      </c>
      <c r="D166" s="284"/>
      <c r="E166" s="77" t="s">
        <v>253</v>
      </c>
      <c r="F166" s="282"/>
      <c r="G166" s="71" t="s">
        <v>202</v>
      </c>
      <c r="H166" s="70" t="s">
        <v>648</v>
      </c>
      <c r="I166" s="70" t="s">
        <v>184</v>
      </c>
      <c r="J166" s="71" t="s">
        <v>567</v>
      </c>
      <c r="K166" s="70" t="s">
        <v>250</v>
      </c>
      <c r="L166" s="69" t="s">
        <v>257</v>
      </c>
      <c r="M166" s="180" t="s">
        <v>608</v>
      </c>
      <c r="N166" s="144">
        <v>15.75</v>
      </c>
      <c r="O166" s="144">
        <v>15.75</v>
      </c>
      <c r="P166" s="144">
        <v>15.75</v>
      </c>
      <c r="Q166" s="144">
        <v>15.75</v>
      </c>
      <c r="R166" s="144">
        <v>15.75</v>
      </c>
      <c r="S166" s="144">
        <v>15.75</v>
      </c>
      <c r="T166" s="144">
        <v>15.75</v>
      </c>
      <c r="U166" s="144">
        <v>15.75</v>
      </c>
      <c r="V166" s="144">
        <v>15.75</v>
      </c>
      <c r="W166" s="144">
        <v>15.75</v>
      </c>
      <c r="X166" s="144">
        <v>15.75</v>
      </c>
      <c r="Y166" s="259">
        <v>15.75</v>
      </c>
      <c r="Z166" s="144">
        <v>0.46</v>
      </c>
      <c r="AA166" s="144">
        <v>0.46</v>
      </c>
      <c r="AB166" s="144">
        <v>0.46</v>
      </c>
      <c r="AC166" s="144">
        <v>0.46</v>
      </c>
      <c r="AD166" s="144">
        <v>0.46</v>
      </c>
      <c r="AE166" s="144">
        <v>0.46</v>
      </c>
      <c r="AF166" s="144">
        <v>0.46</v>
      </c>
      <c r="AG166" s="144">
        <v>0.46</v>
      </c>
      <c r="AH166" s="144">
        <v>0.46</v>
      </c>
      <c r="AI166" s="144">
        <v>0.46</v>
      </c>
      <c r="AJ166" s="144">
        <v>0.46</v>
      </c>
      <c r="AK166" s="259">
        <v>0.46</v>
      </c>
      <c r="AL166" s="105">
        <v>0</v>
      </c>
      <c r="AM166" s="118">
        <f t="shared" si="1"/>
        <v>0</v>
      </c>
      <c r="AN166" s="105">
        <v>0</v>
      </c>
      <c r="AO166" s="118">
        <f t="shared" si="25"/>
        <v>0</v>
      </c>
      <c r="AP166" s="105">
        <v>0</v>
      </c>
      <c r="AQ166" s="127">
        <f t="shared" si="3"/>
        <v>0</v>
      </c>
      <c r="AR166" s="5">
        <v>0</v>
      </c>
      <c r="AS166" s="118">
        <f t="shared" si="26"/>
        <v>0</v>
      </c>
      <c r="AT166" s="105">
        <v>0</v>
      </c>
      <c r="AU166" s="118">
        <f t="shared" si="27"/>
        <v>0</v>
      </c>
      <c r="AV166" s="105">
        <v>0</v>
      </c>
      <c r="AW166" s="127">
        <f t="shared" si="28"/>
        <v>0</v>
      </c>
      <c r="AX166" s="105">
        <v>0</v>
      </c>
      <c r="AY166" s="118">
        <f t="shared" si="29"/>
        <v>0</v>
      </c>
      <c r="AZ166" s="105">
        <v>0</v>
      </c>
      <c r="BA166" s="118">
        <f t="shared" si="30"/>
        <v>0</v>
      </c>
      <c r="BB166" s="5">
        <v>0</v>
      </c>
      <c r="BC166" s="127">
        <f t="shared" si="31"/>
        <v>0</v>
      </c>
      <c r="BD166" s="105">
        <v>0</v>
      </c>
      <c r="BE166" s="118">
        <f t="shared" si="32"/>
        <v>0</v>
      </c>
      <c r="BF166" s="5">
        <v>0</v>
      </c>
      <c r="BG166" s="118">
        <f t="shared" si="33"/>
        <v>0</v>
      </c>
      <c r="BH166" s="5">
        <v>0</v>
      </c>
      <c r="BI166" s="127">
        <f t="shared" si="34"/>
        <v>0</v>
      </c>
      <c r="BJ166" s="220" t="s">
        <v>649</v>
      </c>
      <c r="BL166" s="1" t="s">
        <v>578</v>
      </c>
      <c r="BM166" s="233" t="s">
        <v>663</v>
      </c>
      <c r="BN166" s="233"/>
      <c r="BO166" s="234"/>
    </row>
    <row r="167" spans="1:67">
      <c r="A167" s="219" t="s">
        <v>823</v>
      </c>
      <c r="B167" s="106" t="s">
        <v>244</v>
      </c>
      <c r="C167" s="66" t="s">
        <v>175</v>
      </c>
      <c r="D167" s="284"/>
      <c r="E167" s="77" t="s">
        <v>253</v>
      </c>
      <c r="F167" s="282"/>
      <c r="G167" s="71" t="s">
        <v>202</v>
      </c>
      <c r="H167" s="70" t="s">
        <v>648</v>
      </c>
      <c r="I167" s="70" t="s">
        <v>184</v>
      </c>
      <c r="J167" s="71" t="s">
        <v>567</v>
      </c>
      <c r="K167" s="70" t="s">
        <v>250</v>
      </c>
      <c r="L167" s="69" t="s">
        <v>257</v>
      </c>
      <c r="M167" s="180" t="s">
        <v>608</v>
      </c>
      <c r="N167" s="144">
        <v>15.75</v>
      </c>
      <c r="O167" s="144">
        <v>15.75</v>
      </c>
      <c r="P167" s="144">
        <v>15.75</v>
      </c>
      <c r="Q167" s="144">
        <v>15.75</v>
      </c>
      <c r="R167" s="144">
        <v>15.75</v>
      </c>
      <c r="S167" s="144">
        <v>15.75</v>
      </c>
      <c r="T167" s="144">
        <v>15.75</v>
      </c>
      <c r="U167" s="144">
        <v>15.75</v>
      </c>
      <c r="V167" s="144">
        <v>15.75</v>
      </c>
      <c r="W167" s="144">
        <v>15.75</v>
      </c>
      <c r="X167" s="144">
        <v>15.75</v>
      </c>
      <c r="Y167" s="259">
        <v>15.75</v>
      </c>
      <c r="Z167" s="144">
        <v>0.46</v>
      </c>
      <c r="AA167" s="144">
        <v>0.46</v>
      </c>
      <c r="AB167" s="144">
        <v>0.46</v>
      </c>
      <c r="AC167" s="144">
        <v>0.46</v>
      </c>
      <c r="AD167" s="144">
        <v>0.46</v>
      </c>
      <c r="AE167" s="144">
        <v>0.46</v>
      </c>
      <c r="AF167" s="144">
        <v>0.46</v>
      </c>
      <c r="AG167" s="144">
        <v>0.46</v>
      </c>
      <c r="AH167" s="144">
        <v>0.46</v>
      </c>
      <c r="AI167" s="144">
        <v>0.46</v>
      </c>
      <c r="AJ167" s="144">
        <v>0.46</v>
      </c>
      <c r="AK167" s="259">
        <v>0.46</v>
      </c>
      <c r="AL167" s="105">
        <v>0</v>
      </c>
      <c r="AM167" s="118">
        <f t="shared" si="1"/>
        <v>0</v>
      </c>
      <c r="AN167" s="105">
        <v>0</v>
      </c>
      <c r="AO167" s="118">
        <f t="shared" si="25"/>
        <v>0</v>
      </c>
      <c r="AP167" s="105">
        <v>0</v>
      </c>
      <c r="AQ167" s="127">
        <f t="shared" si="3"/>
        <v>0</v>
      </c>
      <c r="AR167" s="5">
        <v>0</v>
      </c>
      <c r="AS167" s="118">
        <f t="shared" si="26"/>
        <v>0</v>
      </c>
      <c r="AT167" s="105">
        <v>0</v>
      </c>
      <c r="AU167" s="118">
        <f t="shared" si="27"/>
        <v>0</v>
      </c>
      <c r="AV167" s="105">
        <v>0</v>
      </c>
      <c r="AW167" s="127">
        <f t="shared" si="28"/>
        <v>0</v>
      </c>
      <c r="AX167" s="105">
        <v>0</v>
      </c>
      <c r="AY167" s="118">
        <f t="shared" si="29"/>
        <v>0</v>
      </c>
      <c r="AZ167" s="105">
        <v>0</v>
      </c>
      <c r="BA167" s="118">
        <f t="shared" si="30"/>
        <v>0</v>
      </c>
      <c r="BB167" s="5">
        <v>0</v>
      </c>
      <c r="BC167" s="127">
        <f t="shared" si="31"/>
        <v>0</v>
      </c>
      <c r="BD167" s="105">
        <v>0</v>
      </c>
      <c r="BE167" s="118">
        <f t="shared" si="32"/>
        <v>0</v>
      </c>
      <c r="BF167" s="5">
        <v>0</v>
      </c>
      <c r="BG167" s="118">
        <f t="shared" si="33"/>
        <v>0</v>
      </c>
      <c r="BH167" s="5">
        <v>0</v>
      </c>
      <c r="BI167" s="127">
        <f t="shared" si="34"/>
        <v>0</v>
      </c>
      <c r="BJ167" s="220" t="s">
        <v>649</v>
      </c>
      <c r="BL167" s="1" t="s">
        <v>578</v>
      </c>
      <c r="BM167" s="233" t="s">
        <v>664</v>
      </c>
      <c r="BN167" s="233"/>
      <c r="BO167" s="234"/>
    </row>
    <row r="168" spans="1:67">
      <c r="A168" s="219" t="s">
        <v>823</v>
      </c>
      <c r="B168" s="106" t="s">
        <v>244</v>
      </c>
      <c r="C168" s="66" t="s">
        <v>175</v>
      </c>
      <c r="D168" s="284"/>
      <c r="E168" s="77" t="s">
        <v>253</v>
      </c>
      <c r="F168" s="282"/>
      <c r="G168" s="71" t="s">
        <v>202</v>
      </c>
      <c r="H168" s="70" t="s">
        <v>648</v>
      </c>
      <c r="I168" s="70" t="s">
        <v>184</v>
      </c>
      <c r="J168" s="71" t="s">
        <v>567</v>
      </c>
      <c r="K168" s="70" t="s">
        <v>250</v>
      </c>
      <c r="L168" s="69" t="s">
        <v>257</v>
      </c>
      <c r="M168" s="180" t="s">
        <v>608</v>
      </c>
      <c r="N168" s="144">
        <v>15.75</v>
      </c>
      <c r="O168" s="144">
        <v>15.75</v>
      </c>
      <c r="P168" s="144">
        <v>15.75</v>
      </c>
      <c r="Q168" s="144">
        <v>15.75</v>
      </c>
      <c r="R168" s="144">
        <v>15.75</v>
      </c>
      <c r="S168" s="144">
        <v>15.75</v>
      </c>
      <c r="T168" s="144">
        <v>15.75</v>
      </c>
      <c r="U168" s="144">
        <v>15.75</v>
      </c>
      <c r="V168" s="144">
        <v>15.75</v>
      </c>
      <c r="W168" s="144">
        <v>15.75</v>
      </c>
      <c r="X168" s="144">
        <v>15.75</v>
      </c>
      <c r="Y168" s="259">
        <v>15.75</v>
      </c>
      <c r="Z168" s="144">
        <v>0.46</v>
      </c>
      <c r="AA168" s="144">
        <v>0.46</v>
      </c>
      <c r="AB168" s="144">
        <v>0.46</v>
      </c>
      <c r="AC168" s="144">
        <v>0.46</v>
      </c>
      <c r="AD168" s="144">
        <v>0.46</v>
      </c>
      <c r="AE168" s="144">
        <v>0.46</v>
      </c>
      <c r="AF168" s="144">
        <v>0.46</v>
      </c>
      <c r="AG168" s="144">
        <v>0.46</v>
      </c>
      <c r="AH168" s="144">
        <v>0.46</v>
      </c>
      <c r="AI168" s="144">
        <v>0.46</v>
      </c>
      <c r="AJ168" s="144">
        <v>0.46</v>
      </c>
      <c r="AK168" s="259">
        <v>0.46</v>
      </c>
      <c r="AL168" s="105">
        <v>0</v>
      </c>
      <c r="AM168" s="118">
        <f t="shared" si="1"/>
        <v>0</v>
      </c>
      <c r="AN168" s="105">
        <v>0</v>
      </c>
      <c r="AO168" s="118">
        <f t="shared" si="25"/>
        <v>0</v>
      </c>
      <c r="AP168" s="105">
        <v>0</v>
      </c>
      <c r="AQ168" s="127">
        <f t="shared" si="3"/>
        <v>0</v>
      </c>
      <c r="AR168" s="5">
        <v>0</v>
      </c>
      <c r="AS168" s="118">
        <f t="shared" si="26"/>
        <v>0</v>
      </c>
      <c r="AT168" s="105">
        <v>0</v>
      </c>
      <c r="AU168" s="118">
        <f t="shared" si="27"/>
        <v>0</v>
      </c>
      <c r="AV168" s="105">
        <v>0</v>
      </c>
      <c r="AW168" s="127">
        <f t="shared" si="28"/>
        <v>0</v>
      </c>
      <c r="AX168" s="105">
        <v>0</v>
      </c>
      <c r="AY168" s="118">
        <f t="shared" si="29"/>
        <v>0</v>
      </c>
      <c r="AZ168" s="105">
        <v>0</v>
      </c>
      <c r="BA168" s="118">
        <f t="shared" si="30"/>
        <v>0</v>
      </c>
      <c r="BB168" s="5">
        <v>0</v>
      </c>
      <c r="BC168" s="127">
        <f t="shared" si="31"/>
        <v>0</v>
      </c>
      <c r="BD168" s="105">
        <v>0</v>
      </c>
      <c r="BE168" s="118">
        <f t="shared" si="32"/>
        <v>0</v>
      </c>
      <c r="BF168" s="5">
        <v>0</v>
      </c>
      <c r="BG168" s="118">
        <f t="shared" si="33"/>
        <v>0</v>
      </c>
      <c r="BH168" s="5">
        <v>0</v>
      </c>
      <c r="BI168" s="127">
        <f t="shared" si="34"/>
        <v>0</v>
      </c>
      <c r="BJ168" s="220" t="s">
        <v>649</v>
      </c>
      <c r="BL168" s="1" t="s">
        <v>578</v>
      </c>
      <c r="BM168" s="233" t="s">
        <v>665</v>
      </c>
      <c r="BN168" s="233"/>
      <c r="BO168" s="234"/>
    </row>
    <row r="169" spans="1:67">
      <c r="A169" s="219" t="s">
        <v>823</v>
      </c>
      <c r="B169" s="106" t="s">
        <v>244</v>
      </c>
      <c r="C169" s="66" t="s">
        <v>175</v>
      </c>
      <c r="D169" s="284"/>
      <c r="E169" s="77" t="s">
        <v>253</v>
      </c>
      <c r="F169" s="282"/>
      <c r="G169" s="71" t="s">
        <v>202</v>
      </c>
      <c r="H169" s="70" t="s">
        <v>648</v>
      </c>
      <c r="I169" s="70" t="s">
        <v>184</v>
      </c>
      <c r="J169" s="71" t="s">
        <v>567</v>
      </c>
      <c r="K169" s="70" t="s">
        <v>250</v>
      </c>
      <c r="L169" s="69" t="s">
        <v>257</v>
      </c>
      <c r="M169" s="180" t="s">
        <v>608</v>
      </c>
      <c r="N169" s="144">
        <v>15.75</v>
      </c>
      <c r="O169" s="144">
        <v>15.75</v>
      </c>
      <c r="P169" s="144">
        <v>15.75</v>
      </c>
      <c r="Q169" s="144">
        <v>15.75</v>
      </c>
      <c r="R169" s="144">
        <v>15.75</v>
      </c>
      <c r="S169" s="144">
        <v>15.75</v>
      </c>
      <c r="T169" s="144">
        <v>15.75</v>
      </c>
      <c r="U169" s="144">
        <v>15.75</v>
      </c>
      <c r="V169" s="144">
        <v>15.75</v>
      </c>
      <c r="W169" s="144">
        <v>15.75</v>
      </c>
      <c r="X169" s="144">
        <v>15.75</v>
      </c>
      <c r="Y169" s="259">
        <v>15.75</v>
      </c>
      <c r="Z169" s="144">
        <v>0.46</v>
      </c>
      <c r="AA169" s="144">
        <v>0.46</v>
      </c>
      <c r="AB169" s="144">
        <v>0.46</v>
      </c>
      <c r="AC169" s="144">
        <v>0.46</v>
      </c>
      <c r="AD169" s="144">
        <v>0.46</v>
      </c>
      <c r="AE169" s="144">
        <v>0.46</v>
      </c>
      <c r="AF169" s="144">
        <v>0.46</v>
      </c>
      <c r="AG169" s="144">
        <v>0.46</v>
      </c>
      <c r="AH169" s="144">
        <v>0.46</v>
      </c>
      <c r="AI169" s="144">
        <v>0.46</v>
      </c>
      <c r="AJ169" s="144">
        <v>0.46</v>
      </c>
      <c r="AK169" s="259">
        <v>0.46</v>
      </c>
      <c r="AL169" s="105">
        <v>0</v>
      </c>
      <c r="AM169" s="118">
        <f t="shared" si="1"/>
        <v>0</v>
      </c>
      <c r="AN169" s="105">
        <v>0</v>
      </c>
      <c r="AO169" s="118">
        <f t="shared" si="25"/>
        <v>0</v>
      </c>
      <c r="AP169" s="105">
        <v>0</v>
      </c>
      <c r="AQ169" s="127">
        <f t="shared" si="3"/>
        <v>0</v>
      </c>
      <c r="AR169" s="5">
        <v>0</v>
      </c>
      <c r="AS169" s="118">
        <f t="shared" si="26"/>
        <v>0</v>
      </c>
      <c r="AT169" s="105">
        <v>0</v>
      </c>
      <c r="AU169" s="118">
        <f t="shared" si="27"/>
        <v>0</v>
      </c>
      <c r="AV169" s="105">
        <v>0</v>
      </c>
      <c r="AW169" s="127">
        <f t="shared" si="28"/>
        <v>0</v>
      </c>
      <c r="AX169" s="105">
        <v>0</v>
      </c>
      <c r="AY169" s="118">
        <f t="shared" si="29"/>
        <v>0</v>
      </c>
      <c r="AZ169" s="105">
        <v>0</v>
      </c>
      <c r="BA169" s="118">
        <f t="shared" si="30"/>
        <v>0</v>
      </c>
      <c r="BB169" s="5">
        <v>0</v>
      </c>
      <c r="BC169" s="127">
        <f t="shared" si="31"/>
        <v>0</v>
      </c>
      <c r="BD169" s="105">
        <v>0</v>
      </c>
      <c r="BE169" s="118">
        <f t="shared" si="32"/>
        <v>0</v>
      </c>
      <c r="BF169" s="5">
        <v>0</v>
      </c>
      <c r="BG169" s="118">
        <f t="shared" si="33"/>
        <v>0</v>
      </c>
      <c r="BH169" s="5">
        <v>0</v>
      </c>
      <c r="BI169" s="127">
        <f t="shared" si="34"/>
        <v>0</v>
      </c>
      <c r="BJ169" s="220" t="s">
        <v>649</v>
      </c>
      <c r="BL169" s="1" t="s">
        <v>578</v>
      </c>
      <c r="BM169" s="233" t="s">
        <v>666</v>
      </c>
      <c r="BN169" s="233"/>
      <c r="BO169" s="234"/>
    </row>
    <row r="170" spans="1:67">
      <c r="A170" s="219" t="s">
        <v>823</v>
      </c>
      <c r="B170" s="106" t="s">
        <v>244</v>
      </c>
      <c r="C170" s="66" t="s">
        <v>175</v>
      </c>
      <c r="D170" s="284"/>
      <c r="E170" s="77" t="s">
        <v>253</v>
      </c>
      <c r="F170" s="282"/>
      <c r="G170" s="71" t="s">
        <v>202</v>
      </c>
      <c r="H170" s="70" t="s">
        <v>648</v>
      </c>
      <c r="I170" s="70" t="s">
        <v>184</v>
      </c>
      <c r="J170" s="71" t="s">
        <v>567</v>
      </c>
      <c r="K170" s="70" t="s">
        <v>250</v>
      </c>
      <c r="L170" s="69" t="s">
        <v>257</v>
      </c>
      <c r="M170" s="180" t="s">
        <v>608</v>
      </c>
      <c r="N170" s="144">
        <v>15.75</v>
      </c>
      <c r="O170" s="144">
        <v>15.75</v>
      </c>
      <c r="P170" s="144">
        <v>15.75</v>
      </c>
      <c r="Q170" s="144">
        <v>15.75</v>
      </c>
      <c r="R170" s="144">
        <v>15.75</v>
      </c>
      <c r="S170" s="144">
        <v>15.75</v>
      </c>
      <c r="T170" s="144">
        <v>15.75</v>
      </c>
      <c r="U170" s="144">
        <v>15.75</v>
      </c>
      <c r="V170" s="144">
        <v>15.75</v>
      </c>
      <c r="W170" s="144">
        <v>15.75</v>
      </c>
      <c r="X170" s="144">
        <v>15.75</v>
      </c>
      <c r="Y170" s="259">
        <v>15.75</v>
      </c>
      <c r="Z170" s="144">
        <v>0.46</v>
      </c>
      <c r="AA170" s="144">
        <v>0.46</v>
      </c>
      <c r="AB170" s="144">
        <v>0.46</v>
      </c>
      <c r="AC170" s="144">
        <v>0.46</v>
      </c>
      <c r="AD170" s="144">
        <v>0.46</v>
      </c>
      <c r="AE170" s="144">
        <v>0.46</v>
      </c>
      <c r="AF170" s="144">
        <v>0.46</v>
      </c>
      <c r="AG170" s="144">
        <v>0.46</v>
      </c>
      <c r="AH170" s="144">
        <v>0.46</v>
      </c>
      <c r="AI170" s="144">
        <v>0.46</v>
      </c>
      <c r="AJ170" s="144">
        <v>0.46</v>
      </c>
      <c r="AK170" s="259">
        <v>0.46</v>
      </c>
      <c r="AL170" s="105">
        <v>0</v>
      </c>
      <c r="AM170" s="118">
        <f t="shared" si="1"/>
        <v>0</v>
      </c>
      <c r="AN170" s="105">
        <v>500</v>
      </c>
      <c r="AO170" s="118">
        <f t="shared" si="25"/>
        <v>230</v>
      </c>
      <c r="AP170" s="105">
        <v>0</v>
      </c>
      <c r="AQ170" s="127">
        <f t="shared" si="3"/>
        <v>0</v>
      </c>
      <c r="AR170" s="5">
        <v>0</v>
      </c>
      <c r="AS170" s="118">
        <f t="shared" si="26"/>
        <v>0</v>
      </c>
      <c r="AT170" s="105">
        <v>400</v>
      </c>
      <c r="AU170" s="118">
        <f t="shared" si="27"/>
        <v>184</v>
      </c>
      <c r="AV170" s="105">
        <v>200</v>
      </c>
      <c r="AW170" s="127">
        <f t="shared" si="28"/>
        <v>92</v>
      </c>
      <c r="AX170" s="105">
        <v>0</v>
      </c>
      <c r="AY170" s="118">
        <f t="shared" si="29"/>
        <v>0</v>
      </c>
      <c r="AZ170" s="105">
        <v>0</v>
      </c>
      <c r="BA170" s="118">
        <f t="shared" si="30"/>
        <v>0</v>
      </c>
      <c r="BB170" s="5">
        <v>0</v>
      </c>
      <c r="BC170" s="127">
        <f t="shared" si="31"/>
        <v>0</v>
      </c>
      <c r="BD170" s="105">
        <v>0</v>
      </c>
      <c r="BE170" s="118">
        <f t="shared" si="32"/>
        <v>0</v>
      </c>
      <c r="BF170" s="5">
        <v>0</v>
      </c>
      <c r="BG170" s="118">
        <f t="shared" si="33"/>
        <v>0</v>
      </c>
      <c r="BH170" s="5">
        <v>0</v>
      </c>
      <c r="BI170" s="127">
        <f t="shared" si="34"/>
        <v>0</v>
      </c>
      <c r="BJ170" s="220" t="s">
        <v>649</v>
      </c>
      <c r="BL170" s="1" t="s">
        <v>578</v>
      </c>
      <c r="BM170" s="233" t="s">
        <v>667</v>
      </c>
      <c r="BN170" s="233"/>
      <c r="BO170" s="234"/>
    </row>
    <row r="171" spans="1:67">
      <c r="A171" s="219" t="s">
        <v>823</v>
      </c>
      <c r="B171" s="106" t="s">
        <v>244</v>
      </c>
      <c r="C171" s="66" t="s">
        <v>175</v>
      </c>
      <c r="D171" s="284"/>
      <c r="E171" s="77" t="s">
        <v>253</v>
      </c>
      <c r="F171" s="282"/>
      <c r="G171" s="71" t="s">
        <v>202</v>
      </c>
      <c r="H171" s="70" t="s">
        <v>648</v>
      </c>
      <c r="I171" s="70" t="s">
        <v>184</v>
      </c>
      <c r="J171" s="71" t="s">
        <v>567</v>
      </c>
      <c r="K171" s="70" t="s">
        <v>250</v>
      </c>
      <c r="L171" s="69" t="s">
        <v>257</v>
      </c>
      <c r="M171" s="180" t="s">
        <v>608</v>
      </c>
      <c r="N171" s="144">
        <v>15.75</v>
      </c>
      <c r="O171" s="144">
        <v>15.75</v>
      </c>
      <c r="P171" s="144">
        <v>15.75</v>
      </c>
      <c r="Q171" s="144">
        <v>15.75</v>
      </c>
      <c r="R171" s="144">
        <v>15.75</v>
      </c>
      <c r="S171" s="144">
        <v>15.75</v>
      </c>
      <c r="T171" s="144">
        <v>15.75</v>
      </c>
      <c r="U171" s="144">
        <v>15.75</v>
      </c>
      <c r="V171" s="144">
        <v>15.75</v>
      </c>
      <c r="W171" s="144">
        <v>15.75</v>
      </c>
      <c r="X171" s="144">
        <v>15.75</v>
      </c>
      <c r="Y171" s="259">
        <v>15.75</v>
      </c>
      <c r="Z171" s="144">
        <v>0.46</v>
      </c>
      <c r="AA171" s="144">
        <v>0.46</v>
      </c>
      <c r="AB171" s="144">
        <v>0.46</v>
      </c>
      <c r="AC171" s="144">
        <v>0.46</v>
      </c>
      <c r="AD171" s="144">
        <v>0.46</v>
      </c>
      <c r="AE171" s="144">
        <v>0.46</v>
      </c>
      <c r="AF171" s="144">
        <v>0.46</v>
      </c>
      <c r="AG171" s="144">
        <v>0.46</v>
      </c>
      <c r="AH171" s="144">
        <v>0.46</v>
      </c>
      <c r="AI171" s="144">
        <v>0.46</v>
      </c>
      <c r="AJ171" s="144">
        <v>0.46</v>
      </c>
      <c r="AK171" s="259">
        <v>0.46</v>
      </c>
      <c r="AL171" s="105">
        <v>0</v>
      </c>
      <c r="AM171" s="118">
        <f t="shared" si="1"/>
        <v>0</v>
      </c>
      <c r="AN171" s="105">
        <v>500</v>
      </c>
      <c r="AO171" s="118">
        <f t="shared" si="25"/>
        <v>230</v>
      </c>
      <c r="AP171" s="105">
        <v>0</v>
      </c>
      <c r="AQ171" s="127">
        <f t="shared" si="3"/>
        <v>0</v>
      </c>
      <c r="AR171" s="5">
        <v>0</v>
      </c>
      <c r="AS171" s="118">
        <f t="shared" si="26"/>
        <v>0</v>
      </c>
      <c r="AT171" s="105">
        <v>0</v>
      </c>
      <c r="AU171" s="118">
        <f t="shared" si="27"/>
        <v>0</v>
      </c>
      <c r="AV171" s="105">
        <v>0</v>
      </c>
      <c r="AW171" s="127">
        <f t="shared" si="28"/>
        <v>0</v>
      </c>
      <c r="AX171" s="105">
        <v>0</v>
      </c>
      <c r="AY171" s="118">
        <f t="shared" si="29"/>
        <v>0</v>
      </c>
      <c r="AZ171" s="105">
        <v>0</v>
      </c>
      <c r="BA171" s="118">
        <f t="shared" si="30"/>
        <v>0</v>
      </c>
      <c r="BB171" s="5">
        <v>0</v>
      </c>
      <c r="BC171" s="127">
        <f t="shared" si="31"/>
        <v>0</v>
      </c>
      <c r="BD171" s="105">
        <v>0</v>
      </c>
      <c r="BE171" s="118">
        <f t="shared" si="32"/>
        <v>0</v>
      </c>
      <c r="BF171" s="5">
        <v>0</v>
      </c>
      <c r="BG171" s="118">
        <f t="shared" si="33"/>
        <v>0</v>
      </c>
      <c r="BH171" s="5">
        <v>0</v>
      </c>
      <c r="BI171" s="127">
        <f t="shared" si="34"/>
        <v>0</v>
      </c>
      <c r="BJ171" s="220" t="s">
        <v>649</v>
      </c>
      <c r="BL171" s="1" t="s">
        <v>578</v>
      </c>
      <c r="BM171" s="233" t="s">
        <v>668</v>
      </c>
      <c r="BN171" s="233"/>
      <c r="BO171" s="234"/>
    </row>
    <row r="172" spans="1:67">
      <c r="A172" s="219" t="s">
        <v>823</v>
      </c>
      <c r="B172" s="106" t="s">
        <v>244</v>
      </c>
      <c r="C172" s="66" t="s">
        <v>175</v>
      </c>
      <c r="D172" s="284"/>
      <c r="E172" s="77" t="s">
        <v>253</v>
      </c>
      <c r="F172" s="282"/>
      <c r="G172" s="71" t="s">
        <v>202</v>
      </c>
      <c r="H172" s="70" t="s">
        <v>648</v>
      </c>
      <c r="I172" s="70" t="s">
        <v>184</v>
      </c>
      <c r="J172" s="71" t="s">
        <v>567</v>
      </c>
      <c r="K172" s="70" t="s">
        <v>250</v>
      </c>
      <c r="L172" s="69" t="s">
        <v>257</v>
      </c>
      <c r="M172" s="180" t="s">
        <v>608</v>
      </c>
      <c r="N172" s="144">
        <v>15.75</v>
      </c>
      <c r="O172" s="144">
        <v>15.75</v>
      </c>
      <c r="P172" s="144">
        <v>15.75</v>
      </c>
      <c r="Q172" s="144">
        <v>15.75</v>
      </c>
      <c r="R172" s="144">
        <v>15.75</v>
      </c>
      <c r="S172" s="144">
        <v>15.75</v>
      </c>
      <c r="T172" s="144">
        <v>15.75</v>
      </c>
      <c r="U172" s="144">
        <v>15.75</v>
      </c>
      <c r="V172" s="144">
        <v>15.75</v>
      </c>
      <c r="W172" s="144">
        <v>15.75</v>
      </c>
      <c r="X172" s="144">
        <v>15.75</v>
      </c>
      <c r="Y172" s="259">
        <v>15.75</v>
      </c>
      <c r="Z172" s="144">
        <v>0.46</v>
      </c>
      <c r="AA172" s="144">
        <v>0.46</v>
      </c>
      <c r="AB172" s="144">
        <v>0.46</v>
      </c>
      <c r="AC172" s="144">
        <v>0.46</v>
      </c>
      <c r="AD172" s="144">
        <v>0.46</v>
      </c>
      <c r="AE172" s="144">
        <v>0.46</v>
      </c>
      <c r="AF172" s="144">
        <v>0.46</v>
      </c>
      <c r="AG172" s="144">
        <v>0.46</v>
      </c>
      <c r="AH172" s="144">
        <v>0.46</v>
      </c>
      <c r="AI172" s="144">
        <v>0.46</v>
      </c>
      <c r="AJ172" s="144">
        <v>0.46</v>
      </c>
      <c r="AK172" s="259">
        <v>0.46</v>
      </c>
      <c r="AL172" s="105">
        <v>0</v>
      </c>
      <c r="AM172" s="118">
        <f t="shared" si="1"/>
        <v>0</v>
      </c>
      <c r="AN172" s="105">
        <v>0</v>
      </c>
      <c r="AO172" s="118">
        <f t="shared" si="25"/>
        <v>0</v>
      </c>
      <c r="AP172" s="105">
        <v>0</v>
      </c>
      <c r="AQ172" s="127">
        <f t="shared" si="3"/>
        <v>0</v>
      </c>
      <c r="AR172" s="5">
        <v>0</v>
      </c>
      <c r="AS172" s="118">
        <f t="shared" si="26"/>
        <v>0</v>
      </c>
      <c r="AT172" s="105">
        <v>0</v>
      </c>
      <c r="AU172" s="118">
        <f t="shared" si="27"/>
        <v>0</v>
      </c>
      <c r="AV172" s="105">
        <v>0</v>
      </c>
      <c r="AW172" s="127">
        <f t="shared" si="28"/>
        <v>0</v>
      </c>
      <c r="AX172" s="105">
        <v>0</v>
      </c>
      <c r="AY172" s="118">
        <f t="shared" si="29"/>
        <v>0</v>
      </c>
      <c r="AZ172" s="105">
        <v>0</v>
      </c>
      <c r="BA172" s="118">
        <f t="shared" si="30"/>
        <v>0</v>
      </c>
      <c r="BB172" s="5">
        <v>0</v>
      </c>
      <c r="BC172" s="127">
        <f t="shared" si="31"/>
        <v>0</v>
      </c>
      <c r="BD172" s="105">
        <v>0</v>
      </c>
      <c r="BE172" s="118">
        <f t="shared" si="32"/>
        <v>0</v>
      </c>
      <c r="BF172" s="5">
        <v>0</v>
      </c>
      <c r="BG172" s="118">
        <f t="shared" si="33"/>
        <v>0</v>
      </c>
      <c r="BH172" s="5">
        <v>0</v>
      </c>
      <c r="BI172" s="127">
        <f t="shared" si="34"/>
        <v>0</v>
      </c>
      <c r="BJ172" s="220" t="s">
        <v>649</v>
      </c>
      <c r="BL172" s="1" t="s">
        <v>578</v>
      </c>
      <c r="BM172" s="233" t="s">
        <v>669</v>
      </c>
      <c r="BN172" s="233"/>
      <c r="BO172" s="234"/>
    </row>
    <row r="173" spans="1:67">
      <c r="A173" s="219" t="s">
        <v>823</v>
      </c>
      <c r="B173" s="106" t="s">
        <v>244</v>
      </c>
      <c r="C173" s="66" t="s">
        <v>175</v>
      </c>
      <c r="D173" s="284"/>
      <c r="E173" s="77" t="s">
        <v>253</v>
      </c>
      <c r="F173" s="282"/>
      <c r="G173" s="71" t="s">
        <v>202</v>
      </c>
      <c r="H173" s="70" t="s">
        <v>648</v>
      </c>
      <c r="I173" s="70" t="s">
        <v>184</v>
      </c>
      <c r="J173" s="71" t="s">
        <v>567</v>
      </c>
      <c r="K173" s="70" t="s">
        <v>250</v>
      </c>
      <c r="L173" s="69" t="s">
        <v>257</v>
      </c>
      <c r="M173" s="180" t="s">
        <v>608</v>
      </c>
      <c r="N173" s="144">
        <v>15.75</v>
      </c>
      <c r="O173" s="144">
        <v>15.75</v>
      </c>
      <c r="P173" s="144">
        <v>15.75</v>
      </c>
      <c r="Q173" s="144">
        <v>15.75</v>
      </c>
      <c r="R173" s="144">
        <v>15.75</v>
      </c>
      <c r="S173" s="144">
        <v>15.75</v>
      </c>
      <c r="T173" s="144">
        <v>15.75</v>
      </c>
      <c r="U173" s="144">
        <v>15.75</v>
      </c>
      <c r="V173" s="144">
        <v>15.75</v>
      </c>
      <c r="W173" s="144">
        <v>15.75</v>
      </c>
      <c r="X173" s="144">
        <v>15.75</v>
      </c>
      <c r="Y173" s="259">
        <v>15.75</v>
      </c>
      <c r="Z173" s="144">
        <v>0.46</v>
      </c>
      <c r="AA173" s="144">
        <v>0.46</v>
      </c>
      <c r="AB173" s="144">
        <v>0.46</v>
      </c>
      <c r="AC173" s="144">
        <v>0.46</v>
      </c>
      <c r="AD173" s="144">
        <v>0.46</v>
      </c>
      <c r="AE173" s="144">
        <v>0.46</v>
      </c>
      <c r="AF173" s="144">
        <v>0.46</v>
      </c>
      <c r="AG173" s="144">
        <v>0.46</v>
      </c>
      <c r="AH173" s="144">
        <v>0.46</v>
      </c>
      <c r="AI173" s="144">
        <v>0.46</v>
      </c>
      <c r="AJ173" s="144">
        <v>0.46</v>
      </c>
      <c r="AK173" s="259">
        <v>0.46</v>
      </c>
      <c r="AL173" s="105">
        <v>0</v>
      </c>
      <c r="AM173" s="118">
        <f t="shared" si="1"/>
        <v>0</v>
      </c>
      <c r="AN173" s="105">
        <v>0</v>
      </c>
      <c r="AO173" s="118">
        <f t="shared" si="25"/>
        <v>0</v>
      </c>
      <c r="AP173" s="105">
        <v>0</v>
      </c>
      <c r="AQ173" s="127">
        <f t="shared" si="3"/>
        <v>0</v>
      </c>
      <c r="AR173" s="5">
        <v>0</v>
      </c>
      <c r="AS173" s="118">
        <f t="shared" si="26"/>
        <v>0</v>
      </c>
      <c r="AT173" s="105">
        <v>0</v>
      </c>
      <c r="AU173" s="118">
        <f t="shared" si="27"/>
        <v>0</v>
      </c>
      <c r="AV173" s="105">
        <v>0</v>
      </c>
      <c r="AW173" s="127">
        <f t="shared" si="28"/>
        <v>0</v>
      </c>
      <c r="AX173" s="105">
        <v>0</v>
      </c>
      <c r="AY173" s="118">
        <f t="shared" si="29"/>
        <v>0</v>
      </c>
      <c r="AZ173" s="105">
        <v>0</v>
      </c>
      <c r="BA173" s="118">
        <f t="shared" si="30"/>
        <v>0</v>
      </c>
      <c r="BB173" s="5">
        <v>0</v>
      </c>
      <c r="BC173" s="127">
        <f t="shared" si="31"/>
        <v>0</v>
      </c>
      <c r="BD173" s="105">
        <v>0</v>
      </c>
      <c r="BE173" s="118">
        <f t="shared" si="32"/>
        <v>0</v>
      </c>
      <c r="BF173" s="5">
        <v>0</v>
      </c>
      <c r="BG173" s="118">
        <f t="shared" si="33"/>
        <v>0</v>
      </c>
      <c r="BH173" s="5">
        <v>0</v>
      </c>
      <c r="BI173" s="127">
        <f t="shared" si="34"/>
        <v>0</v>
      </c>
      <c r="BJ173" s="220" t="s">
        <v>649</v>
      </c>
      <c r="BL173" s="1" t="s">
        <v>578</v>
      </c>
      <c r="BM173" s="233" t="s">
        <v>670</v>
      </c>
      <c r="BN173" s="233"/>
      <c r="BO173" s="234"/>
    </row>
    <row r="174" spans="1:67">
      <c r="A174" s="219" t="s">
        <v>823</v>
      </c>
      <c r="B174" s="106" t="s">
        <v>244</v>
      </c>
      <c r="C174" s="66" t="s">
        <v>175</v>
      </c>
      <c r="D174" s="284"/>
      <c r="E174" s="77" t="s">
        <v>253</v>
      </c>
      <c r="F174" s="282"/>
      <c r="G174" s="71" t="s">
        <v>202</v>
      </c>
      <c r="H174" s="70" t="s">
        <v>648</v>
      </c>
      <c r="I174" s="70" t="s">
        <v>184</v>
      </c>
      <c r="J174" s="71" t="s">
        <v>567</v>
      </c>
      <c r="K174" s="70" t="s">
        <v>250</v>
      </c>
      <c r="L174" s="69" t="s">
        <v>257</v>
      </c>
      <c r="M174" s="180" t="s">
        <v>608</v>
      </c>
      <c r="N174" s="144">
        <v>15.75</v>
      </c>
      <c r="O174" s="144">
        <v>15.75</v>
      </c>
      <c r="P174" s="144">
        <v>15.75</v>
      </c>
      <c r="Q174" s="144">
        <v>15.75</v>
      </c>
      <c r="R174" s="144">
        <v>15.75</v>
      </c>
      <c r="S174" s="144">
        <v>15.75</v>
      </c>
      <c r="T174" s="144">
        <v>15.75</v>
      </c>
      <c r="U174" s="144">
        <v>15.75</v>
      </c>
      <c r="V174" s="144">
        <v>15.75</v>
      </c>
      <c r="W174" s="144">
        <v>15.75</v>
      </c>
      <c r="X174" s="144">
        <v>15.75</v>
      </c>
      <c r="Y174" s="259">
        <v>15.75</v>
      </c>
      <c r="Z174" s="144">
        <v>0.46</v>
      </c>
      <c r="AA174" s="144">
        <v>0.46</v>
      </c>
      <c r="AB174" s="144">
        <v>0.46</v>
      </c>
      <c r="AC174" s="144">
        <v>0.46</v>
      </c>
      <c r="AD174" s="144">
        <v>0.46</v>
      </c>
      <c r="AE174" s="144">
        <v>0.46</v>
      </c>
      <c r="AF174" s="144">
        <v>0.46</v>
      </c>
      <c r="AG174" s="144">
        <v>0.46</v>
      </c>
      <c r="AH174" s="144">
        <v>0.46</v>
      </c>
      <c r="AI174" s="144">
        <v>0.46</v>
      </c>
      <c r="AJ174" s="144">
        <v>0.46</v>
      </c>
      <c r="AK174" s="259">
        <v>0.46</v>
      </c>
      <c r="AL174" s="105">
        <v>0</v>
      </c>
      <c r="AM174" s="118">
        <f t="shared" si="1"/>
        <v>0</v>
      </c>
      <c r="AN174" s="105">
        <v>0</v>
      </c>
      <c r="AO174" s="118">
        <f t="shared" si="25"/>
        <v>0</v>
      </c>
      <c r="AP174" s="105">
        <v>0</v>
      </c>
      <c r="AQ174" s="127">
        <f t="shared" si="3"/>
        <v>0</v>
      </c>
      <c r="AR174" s="5">
        <v>0</v>
      </c>
      <c r="AS174" s="118">
        <f t="shared" si="26"/>
        <v>0</v>
      </c>
      <c r="AT174" s="105">
        <v>0</v>
      </c>
      <c r="AU174" s="118">
        <f t="shared" si="27"/>
        <v>0</v>
      </c>
      <c r="AV174" s="105">
        <v>0</v>
      </c>
      <c r="AW174" s="127">
        <f t="shared" si="28"/>
        <v>0</v>
      </c>
      <c r="AX174" s="105">
        <v>0</v>
      </c>
      <c r="AY174" s="118">
        <f t="shared" si="29"/>
        <v>0</v>
      </c>
      <c r="AZ174" s="105">
        <v>0</v>
      </c>
      <c r="BA174" s="118">
        <f t="shared" si="30"/>
        <v>0</v>
      </c>
      <c r="BB174" s="5">
        <v>0</v>
      </c>
      <c r="BC174" s="127">
        <f t="shared" si="31"/>
        <v>0</v>
      </c>
      <c r="BD174" s="105">
        <v>0</v>
      </c>
      <c r="BE174" s="118">
        <f t="shared" si="32"/>
        <v>0</v>
      </c>
      <c r="BF174" s="5">
        <v>0</v>
      </c>
      <c r="BG174" s="118">
        <f t="shared" si="33"/>
        <v>0</v>
      </c>
      <c r="BH174" s="5">
        <v>0</v>
      </c>
      <c r="BI174" s="127">
        <f t="shared" si="34"/>
        <v>0</v>
      </c>
      <c r="BJ174" s="220" t="s">
        <v>649</v>
      </c>
      <c r="BL174" s="1" t="s">
        <v>578</v>
      </c>
      <c r="BM174" s="233" t="s">
        <v>671</v>
      </c>
      <c r="BN174" s="233"/>
      <c r="BO174" s="234"/>
    </row>
    <row r="175" spans="1:67">
      <c r="A175" s="219" t="s">
        <v>823</v>
      </c>
      <c r="B175" s="106" t="s">
        <v>244</v>
      </c>
      <c r="C175" s="66" t="s">
        <v>175</v>
      </c>
      <c r="D175" s="284"/>
      <c r="E175" s="77" t="s">
        <v>253</v>
      </c>
      <c r="F175" s="282"/>
      <c r="G175" s="71" t="s">
        <v>202</v>
      </c>
      <c r="H175" s="70" t="s">
        <v>648</v>
      </c>
      <c r="I175" s="70" t="s">
        <v>184</v>
      </c>
      <c r="J175" s="71" t="s">
        <v>567</v>
      </c>
      <c r="K175" s="70" t="s">
        <v>250</v>
      </c>
      <c r="L175" s="69" t="s">
        <v>257</v>
      </c>
      <c r="M175" s="180" t="s">
        <v>608</v>
      </c>
      <c r="N175" s="144">
        <v>15.75</v>
      </c>
      <c r="O175" s="144">
        <v>15.75</v>
      </c>
      <c r="P175" s="144">
        <v>15.75</v>
      </c>
      <c r="Q175" s="144">
        <v>15.75</v>
      </c>
      <c r="R175" s="144">
        <v>15.75</v>
      </c>
      <c r="S175" s="144">
        <v>15.75</v>
      </c>
      <c r="T175" s="144">
        <v>15.75</v>
      </c>
      <c r="U175" s="144">
        <v>15.75</v>
      </c>
      <c r="V175" s="144">
        <v>15.75</v>
      </c>
      <c r="W175" s="144">
        <v>15.75</v>
      </c>
      <c r="X175" s="144">
        <v>15.75</v>
      </c>
      <c r="Y175" s="259">
        <v>15.75</v>
      </c>
      <c r="Z175" s="144">
        <v>0.46</v>
      </c>
      <c r="AA175" s="144">
        <v>0.46</v>
      </c>
      <c r="AB175" s="144">
        <v>0.46</v>
      </c>
      <c r="AC175" s="144">
        <v>0.46</v>
      </c>
      <c r="AD175" s="144">
        <v>0.46</v>
      </c>
      <c r="AE175" s="144">
        <v>0.46</v>
      </c>
      <c r="AF175" s="144">
        <v>0.46</v>
      </c>
      <c r="AG175" s="144">
        <v>0.46</v>
      </c>
      <c r="AH175" s="144">
        <v>0.46</v>
      </c>
      <c r="AI175" s="144">
        <v>0.46</v>
      </c>
      <c r="AJ175" s="144">
        <v>0.46</v>
      </c>
      <c r="AK175" s="259">
        <v>0.46</v>
      </c>
      <c r="AL175" s="105">
        <v>0</v>
      </c>
      <c r="AM175" s="118">
        <f t="shared" si="1"/>
        <v>0</v>
      </c>
      <c r="AN175" s="105">
        <v>0</v>
      </c>
      <c r="AO175" s="118">
        <f t="shared" si="25"/>
        <v>0</v>
      </c>
      <c r="AP175" s="105">
        <v>0</v>
      </c>
      <c r="AQ175" s="127">
        <f t="shared" si="3"/>
        <v>0</v>
      </c>
      <c r="AR175" s="5">
        <v>0</v>
      </c>
      <c r="AS175" s="118">
        <f t="shared" si="26"/>
        <v>0</v>
      </c>
      <c r="AT175" s="105">
        <v>0</v>
      </c>
      <c r="AU175" s="118">
        <f t="shared" si="27"/>
        <v>0</v>
      </c>
      <c r="AV175" s="105">
        <v>0</v>
      </c>
      <c r="AW175" s="127">
        <f t="shared" si="28"/>
        <v>0</v>
      </c>
      <c r="AX175" s="105">
        <v>0</v>
      </c>
      <c r="AY175" s="118">
        <f t="shared" si="29"/>
        <v>0</v>
      </c>
      <c r="AZ175" s="105">
        <v>0</v>
      </c>
      <c r="BA175" s="118">
        <f t="shared" si="30"/>
        <v>0</v>
      </c>
      <c r="BB175" s="5">
        <v>0</v>
      </c>
      <c r="BC175" s="127">
        <f t="shared" si="31"/>
        <v>0</v>
      </c>
      <c r="BD175" s="105">
        <v>0</v>
      </c>
      <c r="BE175" s="118">
        <f t="shared" si="32"/>
        <v>0</v>
      </c>
      <c r="BF175" s="5">
        <v>0</v>
      </c>
      <c r="BG175" s="118">
        <f t="shared" si="33"/>
        <v>0</v>
      </c>
      <c r="BH175" s="5">
        <v>0</v>
      </c>
      <c r="BI175" s="127">
        <f t="shared" si="34"/>
        <v>0</v>
      </c>
      <c r="BJ175" s="220" t="s">
        <v>649</v>
      </c>
      <c r="BL175" s="1" t="s">
        <v>578</v>
      </c>
      <c r="BM175" s="233" t="s">
        <v>672</v>
      </c>
      <c r="BN175" s="233"/>
      <c r="BO175" s="234"/>
    </row>
    <row r="176" spans="1:67">
      <c r="A176" s="219" t="s">
        <v>823</v>
      </c>
      <c r="B176" s="106" t="s">
        <v>244</v>
      </c>
      <c r="C176" s="66" t="s">
        <v>175</v>
      </c>
      <c r="D176" s="284"/>
      <c r="E176" s="77" t="s">
        <v>253</v>
      </c>
      <c r="F176" s="282"/>
      <c r="G176" s="71" t="s">
        <v>202</v>
      </c>
      <c r="H176" s="70" t="s">
        <v>648</v>
      </c>
      <c r="I176" s="70" t="s">
        <v>184</v>
      </c>
      <c r="J176" s="71" t="s">
        <v>567</v>
      </c>
      <c r="K176" s="70" t="s">
        <v>250</v>
      </c>
      <c r="L176" s="69" t="s">
        <v>257</v>
      </c>
      <c r="M176" s="180" t="s">
        <v>608</v>
      </c>
      <c r="N176" s="144">
        <v>15.75</v>
      </c>
      <c r="O176" s="144">
        <v>15.75</v>
      </c>
      <c r="P176" s="144">
        <v>15.75</v>
      </c>
      <c r="Q176" s="144">
        <v>15.75</v>
      </c>
      <c r="R176" s="144">
        <v>15.75</v>
      </c>
      <c r="S176" s="144">
        <v>15.75</v>
      </c>
      <c r="T176" s="144">
        <v>15.75</v>
      </c>
      <c r="U176" s="144">
        <v>15.75</v>
      </c>
      <c r="V176" s="144">
        <v>15.75</v>
      </c>
      <c r="W176" s="144">
        <v>15.75</v>
      </c>
      <c r="X176" s="144">
        <v>15.75</v>
      </c>
      <c r="Y176" s="259">
        <v>15.75</v>
      </c>
      <c r="Z176" s="144">
        <v>0.46</v>
      </c>
      <c r="AA176" s="144">
        <v>0.46</v>
      </c>
      <c r="AB176" s="144">
        <v>0.46</v>
      </c>
      <c r="AC176" s="144">
        <v>0.46</v>
      </c>
      <c r="AD176" s="144">
        <v>0.46</v>
      </c>
      <c r="AE176" s="144">
        <v>0.46</v>
      </c>
      <c r="AF176" s="144">
        <v>0.46</v>
      </c>
      <c r="AG176" s="144">
        <v>0.46</v>
      </c>
      <c r="AH176" s="144">
        <v>0.46</v>
      </c>
      <c r="AI176" s="144">
        <v>0.46</v>
      </c>
      <c r="AJ176" s="144">
        <v>0.46</v>
      </c>
      <c r="AK176" s="259">
        <v>0.46</v>
      </c>
      <c r="AL176" s="105">
        <v>0</v>
      </c>
      <c r="AM176" s="118">
        <f t="shared" si="1"/>
        <v>0</v>
      </c>
      <c r="AN176" s="105">
        <v>0</v>
      </c>
      <c r="AO176" s="118">
        <f t="shared" si="25"/>
        <v>0</v>
      </c>
      <c r="AP176" s="105">
        <v>0</v>
      </c>
      <c r="AQ176" s="127">
        <f t="shared" si="3"/>
        <v>0</v>
      </c>
      <c r="AR176" s="5">
        <v>0</v>
      </c>
      <c r="AS176" s="118">
        <f t="shared" si="26"/>
        <v>0</v>
      </c>
      <c r="AT176" s="105">
        <v>0</v>
      </c>
      <c r="AU176" s="118">
        <f t="shared" si="27"/>
        <v>0</v>
      </c>
      <c r="AV176" s="105">
        <v>0</v>
      </c>
      <c r="AW176" s="127">
        <f t="shared" si="28"/>
        <v>0</v>
      </c>
      <c r="AX176" s="105">
        <v>0</v>
      </c>
      <c r="AY176" s="118">
        <f t="shared" si="29"/>
        <v>0</v>
      </c>
      <c r="AZ176" s="105">
        <v>0</v>
      </c>
      <c r="BA176" s="118">
        <f t="shared" si="30"/>
        <v>0</v>
      </c>
      <c r="BB176" s="5">
        <v>0</v>
      </c>
      <c r="BC176" s="127">
        <f t="shared" si="31"/>
        <v>0</v>
      </c>
      <c r="BD176" s="105">
        <v>0</v>
      </c>
      <c r="BE176" s="118">
        <f t="shared" si="32"/>
        <v>0</v>
      </c>
      <c r="BF176" s="5">
        <v>0</v>
      </c>
      <c r="BG176" s="118">
        <f t="shared" si="33"/>
        <v>0</v>
      </c>
      <c r="BH176" s="5">
        <v>0</v>
      </c>
      <c r="BI176" s="127">
        <f t="shared" si="34"/>
        <v>0</v>
      </c>
      <c r="BJ176" s="220" t="s">
        <v>649</v>
      </c>
      <c r="BL176" s="1" t="s">
        <v>578</v>
      </c>
      <c r="BM176" s="233" t="s">
        <v>673</v>
      </c>
      <c r="BN176" s="233"/>
      <c r="BO176" s="234"/>
    </row>
    <row r="177" spans="1:67">
      <c r="A177" s="219" t="s">
        <v>823</v>
      </c>
      <c r="B177" s="106" t="s">
        <v>244</v>
      </c>
      <c r="C177" s="66" t="s">
        <v>175</v>
      </c>
      <c r="D177" s="284"/>
      <c r="E177" s="77" t="s">
        <v>253</v>
      </c>
      <c r="F177" s="282"/>
      <c r="G177" s="71" t="s">
        <v>202</v>
      </c>
      <c r="H177" s="70" t="s">
        <v>648</v>
      </c>
      <c r="I177" s="70" t="s">
        <v>184</v>
      </c>
      <c r="J177" s="71" t="s">
        <v>567</v>
      </c>
      <c r="K177" s="70" t="s">
        <v>250</v>
      </c>
      <c r="L177" s="69" t="s">
        <v>257</v>
      </c>
      <c r="M177" s="180" t="s">
        <v>608</v>
      </c>
      <c r="N177" s="144">
        <v>15.75</v>
      </c>
      <c r="O177" s="144">
        <v>15.75</v>
      </c>
      <c r="P177" s="144">
        <v>15.75</v>
      </c>
      <c r="Q177" s="144">
        <v>15.75</v>
      </c>
      <c r="R177" s="144">
        <v>15.75</v>
      </c>
      <c r="S177" s="144">
        <v>15.75</v>
      </c>
      <c r="T177" s="144">
        <v>15.75</v>
      </c>
      <c r="U177" s="144">
        <v>15.75</v>
      </c>
      <c r="V177" s="144">
        <v>15.75</v>
      </c>
      <c r="W177" s="144">
        <v>15.75</v>
      </c>
      <c r="X177" s="144">
        <v>15.75</v>
      </c>
      <c r="Y177" s="259">
        <v>15.75</v>
      </c>
      <c r="Z177" s="144">
        <v>0.46</v>
      </c>
      <c r="AA177" s="144">
        <v>0.46</v>
      </c>
      <c r="AB177" s="144">
        <v>0.46</v>
      </c>
      <c r="AC177" s="144">
        <v>0.46</v>
      </c>
      <c r="AD177" s="144">
        <v>0.46</v>
      </c>
      <c r="AE177" s="144">
        <v>0.46</v>
      </c>
      <c r="AF177" s="144">
        <v>0.46</v>
      </c>
      <c r="AG177" s="144">
        <v>0.46</v>
      </c>
      <c r="AH177" s="144">
        <v>0.46</v>
      </c>
      <c r="AI177" s="144">
        <v>0.46</v>
      </c>
      <c r="AJ177" s="144">
        <v>0.46</v>
      </c>
      <c r="AK177" s="259">
        <v>0.46</v>
      </c>
      <c r="AL177" s="105">
        <v>0</v>
      </c>
      <c r="AM177" s="118">
        <f t="shared" si="1"/>
        <v>0</v>
      </c>
      <c r="AN177" s="105">
        <v>0</v>
      </c>
      <c r="AO177" s="118">
        <f t="shared" si="25"/>
        <v>0</v>
      </c>
      <c r="AP177" s="105">
        <v>0</v>
      </c>
      <c r="AQ177" s="127">
        <f t="shared" si="3"/>
        <v>0</v>
      </c>
      <c r="AR177" s="5">
        <v>0</v>
      </c>
      <c r="AS177" s="118">
        <f t="shared" si="26"/>
        <v>0</v>
      </c>
      <c r="AT177" s="105">
        <v>0</v>
      </c>
      <c r="AU177" s="118">
        <f t="shared" si="27"/>
        <v>0</v>
      </c>
      <c r="AV177" s="105">
        <v>0</v>
      </c>
      <c r="AW177" s="127">
        <f t="shared" si="28"/>
        <v>0</v>
      </c>
      <c r="AX177" s="105">
        <v>0</v>
      </c>
      <c r="AY177" s="118">
        <f t="shared" si="29"/>
        <v>0</v>
      </c>
      <c r="AZ177" s="105">
        <v>0</v>
      </c>
      <c r="BA177" s="118">
        <f t="shared" si="30"/>
        <v>0</v>
      </c>
      <c r="BB177" s="5">
        <v>0</v>
      </c>
      <c r="BC177" s="127">
        <f t="shared" si="31"/>
        <v>0</v>
      </c>
      <c r="BD177" s="105">
        <v>0</v>
      </c>
      <c r="BE177" s="118">
        <f t="shared" si="32"/>
        <v>0</v>
      </c>
      <c r="BF177" s="5">
        <v>0</v>
      </c>
      <c r="BG177" s="118">
        <f t="shared" si="33"/>
        <v>0</v>
      </c>
      <c r="BH177" s="5">
        <v>0</v>
      </c>
      <c r="BI177" s="127">
        <f t="shared" si="34"/>
        <v>0</v>
      </c>
      <c r="BJ177" s="220" t="s">
        <v>649</v>
      </c>
      <c r="BL177" s="1" t="s">
        <v>578</v>
      </c>
      <c r="BM177" s="233" t="s">
        <v>674</v>
      </c>
      <c r="BN177" s="233"/>
      <c r="BO177" s="234"/>
    </row>
    <row r="178" spans="1:67">
      <c r="A178" s="219" t="s">
        <v>823</v>
      </c>
      <c r="B178" s="106" t="s">
        <v>244</v>
      </c>
      <c r="C178" s="66" t="s">
        <v>175</v>
      </c>
      <c r="D178" s="284"/>
      <c r="E178" s="77" t="s">
        <v>253</v>
      </c>
      <c r="F178" s="282"/>
      <c r="G178" s="71" t="s">
        <v>202</v>
      </c>
      <c r="H178" s="70" t="s">
        <v>648</v>
      </c>
      <c r="I178" s="70" t="s">
        <v>184</v>
      </c>
      <c r="J178" s="71" t="s">
        <v>567</v>
      </c>
      <c r="K178" s="70" t="s">
        <v>250</v>
      </c>
      <c r="L178" s="69" t="s">
        <v>257</v>
      </c>
      <c r="M178" s="180" t="s">
        <v>608</v>
      </c>
      <c r="N178" s="144">
        <v>15.75</v>
      </c>
      <c r="O178" s="144">
        <v>15.75</v>
      </c>
      <c r="P178" s="144">
        <v>15.75</v>
      </c>
      <c r="Q178" s="144">
        <v>15.75</v>
      </c>
      <c r="R178" s="144">
        <v>15.75</v>
      </c>
      <c r="S178" s="144">
        <v>15.75</v>
      </c>
      <c r="T178" s="144">
        <v>15.75</v>
      </c>
      <c r="U178" s="144">
        <v>15.75</v>
      </c>
      <c r="V178" s="144">
        <v>15.75</v>
      </c>
      <c r="W178" s="144">
        <v>15.75</v>
      </c>
      <c r="X178" s="144">
        <v>15.75</v>
      </c>
      <c r="Y178" s="259">
        <v>15.75</v>
      </c>
      <c r="Z178" s="144">
        <v>0.46</v>
      </c>
      <c r="AA178" s="144">
        <v>0.46</v>
      </c>
      <c r="AB178" s="144">
        <v>0.46</v>
      </c>
      <c r="AC178" s="144">
        <v>0.46</v>
      </c>
      <c r="AD178" s="144">
        <v>0.46</v>
      </c>
      <c r="AE178" s="144">
        <v>0.46</v>
      </c>
      <c r="AF178" s="144">
        <v>0.46</v>
      </c>
      <c r="AG178" s="144">
        <v>0.46</v>
      </c>
      <c r="AH178" s="144">
        <v>0.46</v>
      </c>
      <c r="AI178" s="144">
        <v>0.46</v>
      </c>
      <c r="AJ178" s="144">
        <v>0.46</v>
      </c>
      <c r="AK178" s="259">
        <v>0.46</v>
      </c>
      <c r="AL178" s="105">
        <v>0</v>
      </c>
      <c r="AM178" s="118">
        <f t="shared" si="1"/>
        <v>0</v>
      </c>
      <c r="AN178" s="105">
        <v>0</v>
      </c>
      <c r="AO178" s="118">
        <f t="shared" si="25"/>
        <v>0</v>
      </c>
      <c r="AP178" s="105">
        <v>0</v>
      </c>
      <c r="AQ178" s="127">
        <f t="shared" si="3"/>
        <v>0</v>
      </c>
      <c r="AR178" s="5">
        <v>0</v>
      </c>
      <c r="AS178" s="118">
        <f t="shared" si="26"/>
        <v>0</v>
      </c>
      <c r="AT178" s="105">
        <v>0</v>
      </c>
      <c r="AU178" s="118">
        <f t="shared" si="27"/>
        <v>0</v>
      </c>
      <c r="AV178" s="105">
        <v>0</v>
      </c>
      <c r="AW178" s="127">
        <f t="shared" si="28"/>
        <v>0</v>
      </c>
      <c r="AX178" s="105">
        <v>0</v>
      </c>
      <c r="AY178" s="118">
        <f t="shared" si="29"/>
        <v>0</v>
      </c>
      <c r="AZ178" s="105">
        <v>0</v>
      </c>
      <c r="BA178" s="118">
        <f t="shared" si="30"/>
        <v>0</v>
      </c>
      <c r="BB178" s="5">
        <v>0</v>
      </c>
      <c r="BC178" s="127">
        <f t="shared" si="31"/>
        <v>0</v>
      </c>
      <c r="BD178" s="105">
        <v>0</v>
      </c>
      <c r="BE178" s="118">
        <f t="shared" si="32"/>
        <v>0</v>
      </c>
      <c r="BF178" s="5">
        <v>0</v>
      </c>
      <c r="BG178" s="118">
        <f t="shared" si="33"/>
        <v>0</v>
      </c>
      <c r="BH178" s="5">
        <v>0</v>
      </c>
      <c r="BI178" s="127">
        <f t="shared" si="34"/>
        <v>0</v>
      </c>
      <c r="BJ178" s="220" t="s">
        <v>649</v>
      </c>
      <c r="BL178" s="1" t="s">
        <v>578</v>
      </c>
      <c r="BM178" s="233" t="s">
        <v>675</v>
      </c>
      <c r="BN178" s="233"/>
      <c r="BO178" s="234"/>
    </row>
    <row r="179" spans="1:67">
      <c r="A179" s="219" t="s">
        <v>823</v>
      </c>
      <c r="B179" s="106" t="s">
        <v>244</v>
      </c>
      <c r="C179" s="66" t="s">
        <v>175</v>
      </c>
      <c r="D179" s="284"/>
      <c r="E179" s="77" t="s">
        <v>253</v>
      </c>
      <c r="F179" s="282"/>
      <c r="G179" s="71" t="s">
        <v>202</v>
      </c>
      <c r="H179" s="70" t="s">
        <v>648</v>
      </c>
      <c r="I179" s="70" t="s">
        <v>184</v>
      </c>
      <c r="J179" s="71" t="s">
        <v>567</v>
      </c>
      <c r="K179" s="70" t="s">
        <v>250</v>
      </c>
      <c r="L179" s="69" t="s">
        <v>257</v>
      </c>
      <c r="M179" s="180" t="s">
        <v>608</v>
      </c>
      <c r="N179" s="144">
        <v>15.75</v>
      </c>
      <c r="O179" s="144">
        <v>15.75</v>
      </c>
      <c r="P179" s="144">
        <v>15.75</v>
      </c>
      <c r="Q179" s="144">
        <v>15.75</v>
      </c>
      <c r="R179" s="144">
        <v>15.75</v>
      </c>
      <c r="S179" s="144">
        <v>15.75</v>
      </c>
      <c r="T179" s="144">
        <v>15.75</v>
      </c>
      <c r="U179" s="144">
        <v>15.75</v>
      </c>
      <c r="V179" s="144">
        <v>15.75</v>
      </c>
      <c r="W179" s="144">
        <v>15.75</v>
      </c>
      <c r="X179" s="144">
        <v>15.75</v>
      </c>
      <c r="Y179" s="259">
        <v>15.75</v>
      </c>
      <c r="Z179" s="144">
        <v>0.46</v>
      </c>
      <c r="AA179" s="144">
        <v>0.46</v>
      </c>
      <c r="AB179" s="144">
        <v>0.46</v>
      </c>
      <c r="AC179" s="144">
        <v>0.46</v>
      </c>
      <c r="AD179" s="144">
        <v>0.46</v>
      </c>
      <c r="AE179" s="144">
        <v>0.46</v>
      </c>
      <c r="AF179" s="144">
        <v>0.46</v>
      </c>
      <c r="AG179" s="144">
        <v>0.46</v>
      </c>
      <c r="AH179" s="144">
        <v>0.46</v>
      </c>
      <c r="AI179" s="144">
        <v>0.46</v>
      </c>
      <c r="AJ179" s="144">
        <v>0.46</v>
      </c>
      <c r="AK179" s="259">
        <v>0.46</v>
      </c>
      <c r="AL179" s="105">
        <v>0</v>
      </c>
      <c r="AM179" s="118">
        <f t="shared" si="1"/>
        <v>0</v>
      </c>
      <c r="AN179" s="105">
        <v>0</v>
      </c>
      <c r="AO179" s="118">
        <f t="shared" si="25"/>
        <v>0</v>
      </c>
      <c r="AP179" s="105">
        <v>0</v>
      </c>
      <c r="AQ179" s="127">
        <f t="shared" si="3"/>
        <v>0</v>
      </c>
      <c r="AR179" s="5">
        <v>0</v>
      </c>
      <c r="AS179" s="118">
        <f t="shared" si="26"/>
        <v>0</v>
      </c>
      <c r="AT179" s="105">
        <v>0</v>
      </c>
      <c r="AU179" s="118">
        <f t="shared" si="27"/>
        <v>0</v>
      </c>
      <c r="AV179" s="105">
        <v>0</v>
      </c>
      <c r="AW179" s="127">
        <f t="shared" si="28"/>
        <v>0</v>
      </c>
      <c r="AX179" s="105">
        <v>0</v>
      </c>
      <c r="AY179" s="118">
        <f t="shared" si="29"/>
        <v>0</v>
      </c>
      <c r="AZ179" s="105">
        <v>0</v>
      </c>
      <c r="BA179" s="118">
        <f t="shared" si="30"/>
        <v>0</v>
      </c>
      <c r="BB179" s="5">
        <v>0</v>
      </c>
      <c r="BC179" s="127">
        <f t="shared" si="31"/>
        <v>0</v>
      </c>
      <c r="BD179" s="105">
        <v>0</v>
      </c>
      <c r="BE179" s="118">
        <f t="shared" si="32"/>
        <v>0</v>
      </c>
      <c r="BF179" s="5">
        <v>0</v>
      </c>
      <c r="BG179" s="118">
        <f t="shared" si="33"/>
        <v>0</v>
      </c>
      <c r="BH179" s="5">
        <v>0</v>
      </c>
      <c r="BI179" s="127">
        <f t="shared" si="34"/>
        <v>0</v>
      </c>
      <c r="BJ179" s="220" t="s">
        <v>649</v>
      </c>
      <c r="BL179" s="1" t="s">
        <v>578</v>
      </c>
      <c r="BM179" s="233" t="s">
        <v>676</v>
      </c>
      <c r="BN179" s="233"/>
      <c r="BO179" s="234"/>
    </row>
    <row r="180" spans="1:67">
      <c r="A180" s="219" t="s">
        <v>823</v>
      </c>
      <c r="B180" s="106" t="s">
        <v>244</v>
      </c>
      <c r="C180" s="66" t="s">
        <v>175</v>
      </c>
      <c r="D180" s="284"/>
      <c r="E180" s="77" t="s">
        <v>253</v>
      </c>
      <c r="F180" s="282"/>
      <c r="G180" s="71" t="s">
        <v>202</v>
      </c>
      <c r="H180" s="70" t="s">
        <v>648</v>
      </c>
      <c r="I180" s="70" t="s">
        <v>184</v>
      </c>
      <c r="J180" s="71" t="s">
        <v>567</v>
      </c>
      <c r="K180" s="70" t="s">
        <v>250</v>
      </c>
      <c r="L180" s="69" t="s">
        <v>257</v>
      </c>
      <c r="M180" s="180" t="s">
        <v>608</v>
      </c>
      <c r="N180" s="144">
        <v>15.75</v>
      </c>
      <c r="O180" s="144">
        <v>15.75</v>
      </c>
      <c r="P180" s="144">
        <v>15.75</v>
      </c>
      <c r="Q180" s="144">
        <v>15.75</v>
      </c>
      <c r="R180" s="144">
        <v>15.75</v>
      </c>
      <c r="S180" s="144">
        <v>15.75</v>
      </c>
      <c r="T180" s="144">
        <v>15.75</v>
      </c>
      <c r="U180" s="144">
        <v>15.75</v>
      </c>
      <c r="V180" s="144">
        <v>15.75</v>
      </c>
      <c r="W180" s="144">
        <v>15.75</v>
      </c>
      <c r="X180" s="144">
        <v>15.75</v>
      </c>
      <c r="Y180" s="259">
        <v>15.75</v>
      </c>
      <c r="Z180" s="144">
        <v>0.46</v>
      </c>
      <c r="AA180" s="144">
        <v>0.46</v>
      </c>
      <c r="AB180" s="144">
        <v>0.46</v>
      </c>
      <c r="AC180" s="144">
        <v>0.46</v>
      </c>
      <c r="AD180" s="144">
        <v>0.46</v>
      </c>
      <c r="AE180" s="144">
        <v>0.46</v>
      </c>
      <c r="AF180" s="144">
        <v>0.46</v>
      </c>
      <c r="AG180" s="144">
        <v>0.46</v>
      </c>
      <c r="AH180" s="144">
        <v>0.46</v>
      </c>
      <c r="AI180" s="144">
        <v>0.46</v>
      </c>
      <c r="AJ180" s="144">
        <v>0.46</v>
      </c>
      <c r="AK180" s="259">
        <v>0.46</v>
      </c>
      <c r="AL180" s="105">
        <v>0</v>
      </c>
      <c r="AM180" s="118">
        <f t="shared" si="1"/>
        <v>0</v>
      </c>
      <c r="AN180" s="105">
        <v>0</v>
      </c>
      <c r="AO180" s="118">
        <f t="shared" si="25"/>
        <v>0</v>
      </c>
      <c r="AP180" s="105">
        <v>0</v>
      </c>
      <c r="AQ180" s="127">
        <f t="shared" si="3"/>
        <v>0</v>
      </c>
      <c r="AR180" s="5">
        <v>0</v>
      </c>
      <c r="AS180" s="118">
        <f t="shared" si="26"/>
        <v>0</v>
      </c>
      <c r="AT180" s="105">
        <v>0</v>
      </c>
      <c r="AU180" s="118">
        <f t="shared" si="27"/>
        <v>0</v>
      </c>
      <c r="AV180" s="105">
        <v>0</v>
      </c>
      <c r="AW180" s="127">
        <f t="shared" si="28"/>
        <v>0</v>
      </c>
      <c r="AX180" s="105">
        <v>0</v>
      </c>
      <c r="AY180" s="118">
        <f t="shared" si="29"/>
        <v>0</v>
      </c>
      <c r="AZ180" s="105">
        <v>0</v>
      </c>
      <c r="BA180" s="118">
        <f t="shared" si="30"/>
        <v>0</v>
      </c>
      <c r="BB180" s="5">
        <v>0</v>
      </c>
      <c r="BC180" s="127">
        <f t="shared" si="31"/>
        <v>0</v>
      </c>
      <c r="BD180" s="105">
        <v>0</v>
      </c>
      <c r="BE180" s="118">
        <f t="shared" si="32"/>
        <v>0</v>
      </c>
      <c r="BF180" s="5">
        <v>0</v>
      </c>
      <c r="BG180" s="118">
        <f t="shared" si="33"/>
        <v>0</v>
      </c>
      <c r="BH180" s="5">
        <v>0</v>
      </c>
      <c r="BI180" s="127">
        <f t="shared" si="34"/>
        <v>0</v>
      </c>
      <c r="BJ180" s="220" t="s">
        <v>649</v>
      </c>
      <c r="BL180" s="1" t="s">
        <v>578</v>
      </c>
      <c r="BM180" s="233" t="s">
        <v>677</v>
      </c>
      <c r="BN180" s="233"/>
      <c r="BO180" s="234"/>
    </row>
    <row r="181" spans="1:67">
      <c r="A181" s="219" t="s">
        <v>823</v>
      </c>
      <c r="B181" s="106" t="s">
        <v>244</v>
      </c>
      <c r="C181" s="66" t="s">
        <v>175</v>
      </c>
      <c r="D181" s="284"/>
      <c r="E181" s="77" t="s">
        <v>253</v>
      </c>
      <c r="F181" s="282"/>
      <c r="G181" s="71" t="s">
        <v>202</v>
      </c>
      <c r="H181" s="70" t="s">
        <v>648</v>
      </c>
      <c r="I181" s="70" t="s">
        <v>184</v>
      </c>
      <c r="J181" s="71" t="s">
        <v>567</v>
      </c>
      <c r="K181" s="70" t="s">
        <v>250</v>
      </c>
      <c r="L181" s="69" t="s">
        <v>257</v>
      </c>
      <c r="M181" s="180" t="s">
        <v>608</v>
      </c>
      <c r="N181" s="144">
        <v>15.75</v>
      </c>
      <c r="O181" s="144">
        <v>15.75</v>
      </c>
      <c r="P181" s="144">
        <v>15.75</v>
      </c>
      <c r="Q181" s="144">
        <v>15.75</v>
      </c>
      <c r="R181" s="144">
        <v>15.75</v>
      </c>
      <c r="S181" s="144">
        <v>15.75</v>
      </c>
      <c r="T181" s="144">
        <v>15.75</v>
      </c>
      <c r="U181" s="144">
        <v>15.75</v>
      </c>
      <c r="V181" s="144">
        <v>15.75</v>
      </c>
      <c r="W181" s="144">
        <v>15.75</v>
      </c>
      <c r="X181" s="144">
        <v>15.75</v>
      </c>
      <c r="Y181" s="259">
        <v>15.75</v>
      </c>
      <c r="Z181" s="144">
        <v>0.46</v>
      </c>
      <c r="AA181" s="144">
        <v>0.46</v>
      </c>
      <c r="AB181" s="144">
        <v>0.46</v>
      </c>
      <c r="AC181" s="144">
        <v>0.46</v>
      </c>
      <c r="AD181" s="144">
        <v>0.46</v>
      </c>
      <c r="AE181" s="144">
        <v>0.46</v>
      </c>
      <c r="AF181" s="144">
        <v>0.46</v>
      </c>
      <c r="AG181" s="144">
        <v>0.46</v>
      </c>
      <c r="AH181" s="144">
        <v>0.46</v>
      </c>
      <c r="AI181" s="144">
        <v>0.46</v>
      </c>
      <c r="AJ181" s="144">
        <v>0.46</v>
      </c>
      <c r="AK181" s="259">
        <v>0.46</v>
      </c>
      <c r="AL181" s="105">
        <v>0</v>
      </c>
      <c r="AM181" s="118">
        <f t="shared" si="1"/>
        <v>0</v>
      </c>
      <c r="AN181" s="105">
        <v>0</v>
      </c>
      <c r="AO181" s="118">
        <f t="shared" si="25"/>
        <v>0</v>
      </c>
      <c r="AP181" s="105">
        <v>0</v>
      </c>
      <c r="AQ181" s="127">
        <f t="shared" si="3"/>
        <v>0</v>
      </c>
      <c r="AR181" s="5">
        <v>0</v>
      </c>
      <c r="AS181" s="118">
        <f t="shared" si="26"/>
        <v>0</v>
      </c>
      <c r="AT181" s="105">
        <v>0</v>
      </c>
      <c r="AU181" s="118">
        <f t="shared" si="27"/>
        <v>0</v>
      </c>
      <c r="AV181" s="105">
        <v>0</v>
      </c>
      <c r="AW181" s="127">
        <f t="shared" si="28"/>
        <v>0</v>
      </c>
      <c r="AX181" s="105">
        <v>0</v>
      </c>
      <c r="AY181" s="118">
        <f t="shared" si="29"/>
        <v>0</v>
      </c>
      <c r="AZ181" s="105">
        <v>200</v>
      </c>
      <c r="BA181" s="118">
        <f t="shared" si="30"/>
        <v>92</v>
      </c>
      <c r="BB181" s="5">
        <v>0</v>
      </c>
      <c r="BC181" s="127">
        <f t="shared" si="31"/>
        <v>0</v>
      </c>
      <c r="BD181" s="105">
        <v>0</v>
      </c>
      <c r="BE181" s="118">
        <f t="shared" si="32"/>
        <v>0</v>
      </c>
      <c r="BF181" s="5">
        <v>0</v>
      </c>
      <c r="BG181" s="118">
        <f t="shared" si="33"/>
        <v>0</v>
      </c>
      <c r="BH181" s="5">
        <v>0</v>
      </c>
      <c r="BI181" s="127">
        <f t="shared" si="34"/>
        <v>0</v>
      </c>
      <c r="BJ181" s="220" t="s">
        <v>649</v>
      </c>
      <c r="BL181" s="1" t="s">
        <v>578</v>
      </c>
      <c r="BM181" s="233" t="s">
        <v>678</v>
      </c>
      <c r="BN181" s="233"/>
      <c r="BO181" s="234"/>
    </row>
    <row r="182" spans="1:67">
      <c r="A182" s="219" t="s">
        <v>823</v>
      </c>
      <c r="B182" s="106" t="s">
        <v>244</v>
      </c>
      <c r="C182" s="66" t="s">
        <v>175</v>
      </c>
      <c r="D182" s="284"/>
      <c r="E182" s="77" t="s">
        <v>253</v>
      </c>
      <c r="F182" s="282"/>
      <c r="G182" s="71" t="s">
        <v>202</v>
      </c>
      <c r="H182" s="70" t="s">
        <v>648</v>
      </c>
      <c r="I182" s="70" t="s">
        <v>184</v>
      </c>
      <c r="J182" s="71" t="s">
        <v>567</v>
      </c>
      <c r="K182" s="70" t="s">
        <v>250</v>
      </c>
      <c r="L182" s="69" t="s">
        <v>257</v>
      </c>
      <c r="M182" s="180" t="s">
        <v>608</v>
      </c>
      <c r="N182" s="144">
        <v>15.75</v>
      </c>
      <c r="O182" s="144">
        <v>15.75</v>
      </c>
      <c r="P182" s="144">
        <v>15.75</v>
      </c>
      <c r="Q182" s="144">
        <v>15.75</v>
      </c>
      <c r="R182" s="144">
        <v>15.75</v>
      </c>
      <c r="S182" s="144">
        <v>15.75</v>
      </c>
      <c r="T182" s="144">
        <v>15.75</v>
      </c>
      <c r="U182" s="144">
        <v>15.75</v>
      </c>
      <c r="V182" s="144">
        <v>15.75</v>
      </c>
      <c r="W182" s="144">
        <v>15.75</v>
      </c>
      <c r="X182" s="144">
        <v>15.75</v>
      </c>
      <c r="Y182" s="259">
        <v>15.75</v>
      </c>
      <c r="Z182" s="144">
        <v>0.46</v>
      </c>
      <c r="AA182" s="144">
        <v>0.46</v>
      </c>
      <c r="AB182" s="144">
        <v>0.46</v>
      </c>
      <c r="AC182" s="144">
        <v>0.46</v>
      </c>
      <c r="AD182" s="144">
        <v>0.46</v>
      </c>
      <c r="AE182" s="144">
        <v>0.46</v>
      </c>
      <c r="AF182" s="144">
        <v>0.46</v>
      </c>
      <c r="AG182" s="144">
        <v>0.46</v>
      </c>
      <c r="AH182" s="144">
        <v>0.46</v>
      </c>
      <c r="AI182" s="144">
        <v>0.46</v>
      </c>
      <c r="AJ182" s="144">
        <v>0.46</v>
      </c>
      <c r="AK182" s="259">
        <v>0.46</v>
      </c>
      <c r="AL182" s="105">
        <v>0</v>
      </c>
      <c r="AM182" s="118">
        <f t="shared" si="1"/>
        <v>0</v>
      </c>
      <c r="AN182" s="105">
        <v>0</v>
      </c>
      <c r="AO182" s="118">
        <f t="shared" si="25"/>
        <v>0</v>
      </c>
      <c r="AP182" s="105">
        <v>0</v>
      </c>
      <c r="AQ182" s="127">
        <f t="shared" si="3"/>
        <v>0</v>
      </c>
      <c r="AR182" s="5">
        <v>0</v>
      </c>
      <c r="AS182" s="118">
        <f t="shared" si="26"/>
        <v>0</v>
      </c>
      <c r="AT182" s="105">
        <v>0</v>
      </c>
      <c r="AU182" s="118">
        <f t="shared" si="27"/>
        <v>0</v>
      </c>
      <c r="AV182" s="105">
        <v>0</v>
      </c>
      <c r="AW182" s="127">
        <f t="shared" si="28"/>
        <v>0</v>
      </c>
      <c r="AX182" s="105">
        <v>0</v>
      </c>
      <c r="AY182" s="118">
        <f t="shared" si="29"/>
        <v>0</v>
      </c>
      <c r="AZ182" s="105">
        <v>0</v>
      </c>
      <c r="BA182" s="118">
        <f t="shared" si="30"/>
        <v>0</v>
      </c>
      <c r="BB182" s="5">
        <v>0</v>
      </c>
      <c r="BC182" s="127">
        <f t="shared" si="31"/>
        <v>0</v>
      </c>
      <c r="BD182" s="105">
        <v>0</v>
      </c>
      <c r="BE182" s="118">
        <f t="shared" si="32"/>
        <v>0</v>
      </c>
      <c r="BF182" s="5">
        <v>0</v>
      </c>
      <c r="BG182" s="118">
        <f t="shared" si="33"/>
        <v>0</v>
      </c>
      <c r="BH182" s="5">
        <v>0</v>
      </c>
      <c r="BI182" s="127">
        <f t="shared" si="34"/>
        <v>0</v>
      </c>
      <c r="BJ182" s="220" t="s">
        <v>649</v>
      </c>
      <c r="BL182" s="1" t="s">
        <v>578</v>
      </c>
      <c r="BM182" s="233" t="s">
        <v>679</v>
      </c>
      <c r="BN182" s="233"/>
      <c r="BO182" s="234"/>
    </row>
    <row r="183" spans="1:67">
      <c r="A183" s="219" t="s">
        <v>823</v>
      </c>
      <c r="B183" s="106" t="s">
        <v>244</v>
      </c>
      <c r="C183" s="66" t="s">
        <v>175</v>
      </c>
      <c r="D183" s="284"/>
      <c r="E183" s="77" t="s">
        <v>253</v>
      </c>
      <c r="F183" s="282"/>
      <c r="G183" s="71" t="s">
        <v>202</v>
      </c>
      <c r="H183" s="70" t="s">
        <v>648</v>
      </c>
      <c r="I183" s="70" t="s">
        <v>184</v>
      </c>
      <c r="J183" s="71" t="s">
        <v>567</v>
      </c>
      <c r="K183" s="70" t="s">
        <v>250</v>
      </c>
      <c r="L183" s="69" t="s">
        <v>257</v>
      </c>
      <c r="M183" s="180" t="s">
        <v>608</v>
      </c>
      <c r="N183" s="144">
        <v>15.75</v>
      </c>
      <c r="O183" s="144">
        <v>15.75</v>
      </c>
      <c r="P183" s="144">
        <v>15.75</v>
      </c>
      <c r="Q183" s="144">
        <v>15.75</v>
      </c>
      <c r="R183" s="144">
        <v>15.75</v>
      </c>
      <c r="S183" s="144">
        <v>15.75</v>
      </c>
      <c r="T183" s="144">
        <v>15.75</v>
      </c>
      <c r="U183" s="144">
        <v>15.75</v>
      </c>
      <c r="V183" s="144">
        <v>15.75</v>
      </c>
      <c r="W183" s="144">
        <v>15.75</v>
      </c>
      <c r="X183" s="144">
        <v>15.75</v>
      </c>
      <c r="Y183" s="259">
        <v>15.75</v>
      </c>
      <c r="Z183" s="144">
        <v>0.46</v>
      </c>
      <c r="AA183" s="144">
        <v>0.46</v>
      </c>
      <c r="AB183" s="144">
        <v>0.46</v>
      </c>
      <c r="AC183" s="144">
        <v>0.46</v>
      </c>
      <c r="AD183" s="144">
        <v>0.46</v>
      </c>
      <c r="AE183" s="144">
        <v>0.46</v>
      </c>
      <c r="AF183" s="144">
        <v>0.46</v>
      </c>
      <c r="AG183" s="144">
        <v>0.46</v>
      </c>
      <c r="AH183" s="144">
        <v>0.46</v>
      </c>
      <c r="AI183" s="144">
        <v>0.46</v>
      </c>
      <c r="AJ183" s="144">
        <v>0.46</v>
      </c>
      <c r="AK183" s="259">
        <v>0.46</v>
      </c>
      <c r="AL183" s="105">
        <v>0</v>
      </c>
      <c r="AM183" s="118">
        <f t="shared" si="1"/>
        <v>0</v>
      </c>
      <c r="AN183" s="105">
        <v>0</v>
      </c>
      <c r="AO183" s="118">
        <f t="shared" si="25"/>
        <v>0</v>
      </c>
      <c r="AP183" s="105">
        <v>0</v>
      </c>
      <c r="AQ183" s="127">
        <f t="shared" si="3"/>
        <v>0</v>
      </c>
      <c r="AR183" s="5">
        <v>0</v>
      </c>
      <c r="AS183" s="118">
        <f t="shared" si="26"/>
        <v>0</v>
      </c>
      <c r="AT183" s="105">
        <v>0</v>
      </c>
      <c r="AU183" s="118">
        <f t="shared" si="27"/>
        <v>0</v>
      </c>
      <c r="AV183" s="105">
        <v>0</v>
      </c>
      <c r="AW183" s="127">
        <f t="shared" si="28"/>
        <v>0</v>
      </c>
      <c r="AX183" s="105">
        <v>0</v>
      </c>
      <c r="AY183" s="118">
        <f t="shared" si="29"/>
        <v>0</v>
      </c>
      <c r="AZ183" s="105">
        <v>0</v>
      </c>
      <c r="BA183" s="118">
        <f t="shared" si="30"/>
        <v>0</v>
      </c>
      <c r="BB183" s="5">
        <v>0</v>
      </c>
      <c r="BC183" s="127">
        <f t="shared" si="31"/>
        <v>0</v>
      </c>
      <c r="BD183" s="105">
        <v>0</v>
      </c>
      <c r="BE183" s="118">
        <f t="shared" si="32"/>
        <v>0</v>
      </c>
      <c r="BF183" s="5">
        <v>0</v>
      </c>
      <c r="BG183" s="118">
        <f t="shared" si="33"/>
        <v>0</v>
      </c>
      <c r="BH183" s="5">
        <v>0</v>
      </c>
      <c r="BI183" s="127">
        <f t="shared" si="34"/>
        <v>0</v>
      </c>
      <c r="BJ183" s="220" t="s">
        <v>649</v>
      </c>
      <c r="BL183" s="1" t="s">
        <v>578</v>
      </c>
      <c r="BM183" s="233" t="s">
        <v>680</v>
      </c>
      <c r="BN183" s="233"/>
      <c r="BO183" s="234"/>
    </row>
    <row r="184" spans="1:67">
      <c r="A184" s="219" t="s">
        <v>823</v>
      </c>
      <c r="B184" s="106" t="s">
        <v>244</v>
      </c>
      <c r="C184" s="66" t="s">
        <v>175</v>
      </c>
      <c r="D184" s="284"/>
      <c r="E184" s="77" t="s">
        <v>253</v>
      </c>
      <c r="F184" s="282"/>
      <c r="G184" s="71" t="s">
        <v>202</v>
      </c>
      <c r="H184" s="70" t="s">
        <v>648</v>
      </c>
      <c r="I184" s="70" t="s">
        <v>184</v>
      </c>
      <c r="J184" s="71" t="s">
        <v>567</v>
      </c>
      <c r="K184" s="70" t="s">
        <v>250</v>
      </c>
      <c r="L184" s="69" t="s">
        <v>257</v>
      </c>
      <c r="M184" s="180" t="s">
        <v>608</v>
      </c>
      <c r="N184" s="144">
        <v>15.75</v>
      </c>
      <c r="O184" s="144">
        <v>15.75</v>
      </c>
      <c r="P184" s="144">
        <v>15.75</v>
      </c>
      <c r="Q184" s="144">
        <v>15.75</v>
      </c>
      <c r="R184" s="144">
        <v>15.75</v>
      </c>
      <c r="S184" s="144">
        <v>15.75</v>
      </c>
      <c r="T184" s="144">
        <v>15.75</v>
      </c>
      <c r="U184" s="144">
        <v>15.75</v>
      </c>
      <c r="V184" s="144">
        <v>15.75</v>
      </c>
      <c r="W184" s="144">
        <v>15.75</v>
      </c>
      <c r="X184" s="144">
        <v>15.75</v>
      </c>
      <c r="Y184" s="259">
        <v>15.75</v>
      </c>
      <c r="Z184" s="144">
        <v>0.46</v>
      </c>
      <c r="AA184" s="144">
        <v>0.46</v>
      </c>
      <c r="AB184" s="144">
        <v>0.46</v>
      </c>
      <c r="AC184" s="144">
        <v>0.46</v>
      </c>
      <c r="AD184" s="144">
        <v>0.46</v>
      </c>
      <c r="AE184" s="144">
        <v>0.46</v>
      </c>
      <c r="AF184" s="144">
        <v>0.46</v>
      </c>
      <c r="AG184" s="144">
        <v>0.46</v>
      </c>
      <c r="AH184" s="144">
        <v>0.46</v>
      </c>
      <c r="AI184" s="144">
        <v>0.46</v>
      </c>
      <c r="AJ184" s="144">
        <v>0.46</v>
      </c>
      <c r="AK184" s="259">
        <v>0.46</v>
      </c>
      <c r="AL184" s="105">
        <v>0</v>
      </c>
      <c r="AM184" s="118">
        <f t="shared" si="1"/>
        <v>0</v>
      </c>
      <c r="AN184" s="105">
        <v>0</v>
      </c>
      <c r="AO184" s="118">
        <f t="shared" si="25"/>
        <v>0</v>
      </c>
      <c r="AP184" s="105">
        <v>0</v>
      </c>
      <c r="AQ184" s="127">
        <f t="shared" si="3"/>
        <v>0</v>
      </c>
      <c r="AR184" s="5">
        <v>0</v>
      </c>
      <c r="AS184" s="118">
        <f t="shared" si="26"/>
        <v>0</v>
      </c>
      <c r="AT184" s="105">
        <v>0</v>
      </c>
      <c r="AU184" s="118">
        <f t="shared" si="27"/>
        <v>0</v>
      </c>
      <c r="AV184" s="105">
        <v>0</v>
      </c>
      <c r="AW184" s="127">
        <f t="shared" si="28"/>
        <v>0</v>
      </c>
      <c r="AX184" s="105">
        <v>0</v>
      </c>
      <c r="AY184" s="118">
        <f t="shared" si="29"/>
        <v>0</v>
      </c>
      <c r="AZ184" s="105">
        <v>0</v>
      </c>
      <c r="BA184" s="118">
        <f t="shared" si="30"/>
        <v>0</v>
      </c>
      <c r="BB184" s="5">
        <v>0</v>
      </c>
      <c r="BC184" s="127">
        <f t="shared" si="31"/>
        <v>0</v>
      </c>
      <c r="BD184" s="105">
        <v>0</v>
      </c>
      <c r="BE184" s="118">
        <f t="shared" si="32"/>
        <v>0</v>
      </c>
      <c r="BF184" s="5">
        <v>0</v>
      </c>
      <c r="BG184" s="118">
        <f t="shared" si="33"/>
        <v>0</v>
      </c>
      <c r="BH184" s="5">
        <v>0</v>
      </c>
      <c r="BI184" s="127">
        <f t="shared" si="34"/>
        <v>0</v>
      </c>
      <c r="BJ184" s="220" t="s">
        <v>649</v>
      </c>
      <c r="BL184" s="1" t="s">
        <v>578</v>
      </c>
      <c r="BM184" s="233" t="s">
        <v>681</v>
      </c>
      <c r="BN184" s="233"/>
      <c r="BO184" s="234"/>
    </row>
    <row r="185" spans="1:67">
      <c r="A185" s="219" t="s">
        <v>823</v>
      </c>
      <c r="B185" s="106" t="s">
        <v>244</v>
      </c>
      <c r="C185" s="66" t="s">
        <v>175</v>
      </c>
      <c r="D185" s="284"/>
      <c r="E185" s="77" t="s">
        <v>253</v>
      </c>
      <c r="F185" s="282"/>
      <c r="G185" s="71" t="s">
        <v>202</v>
      </c>
      <c r="H185" s="70" t="s">
        <v>648</v>
      </c>
      <c r="I185" s="70" t="s">
        <v>184</v>
      </c>
      <c r="J185" s="71" t="s">
        <v>567</v>
      </c>
      <c r="K185" s="70" t="s">
        <v>250</v>
      </c>
      <c r="L185" s="69" t="s">
        <v>257</v>
      </c>
      <c r="M185" s="180" t="s">
        <v>568</v>
      </c>
      <c r="N185" s="144">
        <v>15.75</v>
      </c>
      <c r="O185" s="144">
        <v>15.75</v>
      </c>
      <c r="P185" s="144">
        <v>15.75</v>
      </c>
      <c r="Q185" s="144">
        <v>15.75</v>
      </c>
      <c r="R185" s="144">
        <v>15.75</v>
      </c>
      <c r="S185" s="144">
        <v>15.75</v>
      </c>
      <c r="T185" s="144">
        <v>15.75</v>
      </c>
      <c r="U185" s="144">
        <v>15.75</v>
      </c>
      <c r="V185" s="144">
        <v>15.75</v>
      </c>
      <c r="W185" s="144">
        <v>15.75</v>
      </c>
      <c r="X185" s="144">
        <v>15.75</v>
      </c>
      <c r="Y185" s="259">
        <v>15.75</v>
      </c>
      <c r="Z185" s="144">
        <v>0.46</v>
      </c>
      <c r="AA185" s="144">
        <v>0.46</v>
      </c>
      <c r="AB185" s="144">
        <v>0.46</v>
      </c>
      <c r="AC185" s="144">
        <v>0.46</v>
      </c>
      <c r="AD185" s="144">
        <v>0.46</v>
      </c>
      <c r="AE185" s="144">
        <v>0.46</v>
      </c>
      <c r="AF185" s="144">
        <v>0.46</v>
      </c>
      <c r="AG185" s="144">
        <v>0.46</v>
      </c>
      <c r="AH185" s="144">
        <v>0.46</v>
      </c>
      <c r="AI185" s="144">
        <v>0.46</v>
      </c>
      <c r="AJ185" s="144">
        <v>0.46</v>
      </c>
      <c r="AK185" s="259">
        <v>0.46</v>
      </c>
      <c r="AL185" s="105">
        <v>0</v>
      </c>
      <c r="AM185" s="118">
        <f t="shared" si="1"/>
        <v>0</v>
      </c>
      <c r="AN185" s="105">
        <v>0</v>
      </c>
      <c r="AO185" s="118">
        <f t="shared" si="25"/>
        <v>0</v>
      </c>
      <c r="AP185" s="105">
        <v>0</v>
      </c>
      <c r="AQ185" s="127">
        <f t="shared" si="3"/>
        <v>0</v>
      </c>
      <c r="AR185" s="5">
        <v>0</v>
      </c>
      <c r="AS185" s="118">
        <f t="shared" si="26"/>
        <v>0</v>
      </c>
      <c r="AT185" s="105">
        <v>0</v>
      </c>
      <c r="AU185" s="118">
        <f t="shared" si="27"/>
        <v>0</v>
      </c>
      <c r="AV185" s="105">
        <v>0</v>
      </c>
      <c r="AW185" s="127">
        <f t="shared" si="28"/>
        <v>0</v>
      </c>
      <c r="AX185" s="105">
        <v>0</v>
      </c>
      <c r="AY185" s="118">
        <f t="shared" si="29"/>
        <v>0</v>
      </c>
      <c r="AZ185" s="105">
        <v>0</v>
      </c>
      <c r="BA185" s="118">
        <f t="shared" si="30"/>
        <v>0</v>
      </c>
      <c r="BB185" s="5">
        <v>0</v>
      </c>
      <c r="BC185" s="127">
        <f t="shared" si="31"/>
        <v>0</v>
      </c>
      <c r="BD185" s="105">
        <v>0</v>
      </c>
      <c r="BE185" s="118">
        <f t="shared" si="32"/>
        <v>0</v>
      </c>
      <c r="BF185" s="5">
        <v>0</v>
      </c>
      <c r="BG185" s="118">
        <f t="shared" si="33"/>
        <v>0</v>
      </c>
      <c r="BH185" s="5">
        <v>0</v>
      </c>
      <c r="BI185" s="127">
        <f t="shared" si="34"/>
        <v>0</v>
      </c>
      <c r="BJ185" s="220" t="s">
        <v>649</v>
      </c>
      <c r="BL185" s="1" t="s">
        <v>573</v>
      </c>
      <c r="BM185" s="233" t="s">
        <v>682</v>
      </c>
      <c r="BN185" s="233"/>
      <c r="BO185" s="234"/>
    </row>
    <row r="186" spans="1:67">
      <c r="A186" s="219" t="s">
        <v>823</v>
      </c>
      <c r="B186" s="106" t="s">
        <v>244</v>
      </c>
      <c r="C186" s="66" t="s">
        <v>175</v>
      </c>
      <c r="D186" s="284"/>
      <c r="E186" s="77" t="s">
        <v>253</v>
      </c>
      <c r="F186" s="282"/>
      <c r="G186" s="71" t="s">
        <v>202</v>
      </c>
      <c r="H186" s="70" t="s">
        <v>648</v>
      </c>
      <c r="I186" s="70" t="s">
        <v>184</v>
      </c>
      <c r="J186" s="71" t="s">
        <v>567</v>
      </c>
      <c r="K186" s="70" t="s">
        <v>250</v>
      </c>
      <c r="L186" s="69" t="s">
        <v>257</v>
      </c>
      <c r="M186" s="180" t="s">
        <v>568</v>
      </c>
      <c r="N186" s="144">
        <v>15.75</v>
      </c>
      <c r="O186" s="144">
        <v>15.75</v>
      </c>
      <c r="P186" s="144">
        <v>15.75</v>
      </c>
      <c r="Q186" s="144">
        <v>15.75</v>
      </c>
      <c r="R186" s="144">
        <v>15.75</v>
      </c>
      <c r="S186" s="144">
        <v>15.75</v>
      </c>
      <c r="T186" s="144">
        <v>15.75</v>
      </c>
      <c r="U186" s="144">
        <v>15.75</v>
      </c>
      <c r="V186" s="144">
        <v>15.75</v>
      </c>
      <c r="W186" s="144">
        <v>15.75</v>
      </c>
      <c r="X186" s="144">
        <v>15.75</v>
      </c>
      <c r="Y186" s="259">
        <v>15.75</v>
      </c>
      <c r="Z186" s="144">
        <v>0.46</v>
      </c>
      <c r="AA186" s="144">
        <v>0.46</v>
      </c>
      <c r="AB186" s="144">
        <v>0.46</v>
      </c>
      <c r="AC186" s="144">
        <v>0.46</v>
      </c>
      <c r="AD186" s="144">
        <v>0.46</v>
      </c>
      <c r="AE186" s="144">
        <v>0.46</v>
      </c>
      <c r="AF186" s="144">
        <v>0.46</v>
      </c>
      <c r="AG186" s="144">
        <v>0.46</v>
      </c>
      <c r="AH186" s="144">
        <v>0.46</v>
      </c>
      <c r="AI186" s="144">
        <v>0.46</v>
      </c>
      <c r="AJ186" s="144">
        <v>0.46</v>
      </c>
      <c r="AK186" s="259">
        <v>0.46</v>
      </c>
      <c r="AL186" s="105">
        <v>0</v>
      </c>
      <c r="AM186" s="118">
        <f t="shared" si="1"/>
        <v>0</v>
      </c>
      <c r="AN186" s="105">
        <v>0</v>
      </c>
      <c r="AO186" s="118">
        <f t="shared" si="25"/>
        <v>0</v>
      </c>
      <c r="AP186" s="105">
        <v>0</v>
      </c>
      <c r="AQ186" s="127">
        <f t="shared" si="3"/>
        <v>0</v>
      </c>
      <c r="AR186" s="5">
        <v>0</v>
      </c>
      <c r="AS186" s="118">
        <f t="shared" si="26"/>
        <v>0</v>
      </c>
      <c r="AT186" s="105">
        <v>0</v>
      </c>
      <c r="AU186" s="118">
        <f t="shared" si="27"/>
        <v>0</v>
      </c>
      <c r="AV186" s="105">
        <v>0</v>
      </c>
      <c r="AW186" s="127">
        <f t="shared" si="28"/>
        <v>0</v>
      </c>
      <c r="AX186" s="105">
        <v>0</v>
      </c>
      <c r="AY186" s="118">
        <f t="shared" si="29"/>
        <v>0</v>
      </c>
      <c r="AZ186" s="105">
        <v>0</v>
      </c>
      <c r="BA186" s="118">
        <f t="shared" si="30"/>
        <v>0</v>
      </c>
      <c r="BB186" s="5">
        <v>0</v>
      </c>
      <c r="BC186" s="127">
        <f t="shared" si="31"/>
        <v>0</v>
      </c>
      <c r="BD186" s="105">
        <v>0</v>
      </c>
      <c r="BE186" s="118">
        <f t="shared" si="32"/>
        <v>0</v>
      </c>
      <c r="BF186" s="5">
        <v>0</v>
      </c>
      <c r="BG186" s="118">
        <f t="shared" si="33"/>
        <v>0</v>
      </c>
      <c r="BH186" s="5">
        <v>0</v>
      </c>
      <c r="BI186" s="127">
        <f t="shared" si="34"/>
        <v>0</v>
      </c>
      <c r="BJ186" s="220" t="s">
        <v>649</v>
      </c>
      <c r="BL186" s="1" t="s">
        <v>575</v>
      </c>
      <c r="BM186" s="233" t="s">
        <v>683</v>
      </c>
      <c r="BN186" s="233"/>
      <c r="BO186" s="234"/>
    </row>
    <row r="187" spans="1:67">
      <c r="A187" s="219" t="s">
        <v>823</v>
      </c>
      <c r="B187" s="106" t="s">
        <v>244</v>
      </c>
      <c r="C187" s="66" t="s">
        <v>175</v>
      </c>
      <c r="D187" s="284"/>
      <c r="E187" s="77" t="s">
        <v>253</v>
      </c>
      <c r="F187" s="282"/>
      <c r="G187" s="71" t="s">
        <v>202</v>
      </c>
      <c r="H187" s="70" t="s">
        <v>648</v>
      </c>
      <c r="I187" s="70" t="s">
        <v>184</v>
      </c>
      <c r="J187" s="71" t="s">
        <v>567</v>
      </c>
      <c r="K187" s="70" t="s">
        <v>250</v>
      </c>
      <c r="L187" s="69" t="s">
        <v>257</v>
      </c>
      <c r="M187" s="180" t="s">
        <v>568</v>
      </c>
      <c r="N187" s="144">
        <v>15.75</v>
      </c>
      <c r="O187" s="144">
        <v>15.75</v>
      </c>
      <c r="P187" s="144">
        <v>15.75</v>
      </c>
      <c r="Q187" s="144">
        <v>15.75</v>
      </c>
      <c r="R187" s="144">
        <v>15.75</v>
      </c>
      <c r="S187" s="144">
        <v>15.75</v>
      </c>
      <c r="T187" s="144">
        <v>15.75</v>
      </c>
      <c r="U187" s="144">
        <v>15.75</v>
      </c>
      <c r="V187" s="144">
        <v>15.75</v>
      </c>
      <c r="W187" s="144">
        <v>15.75</v>
      </c>
      <c r="X187" s="144">
        <v>15.75</v>
      </c>
      <c r="Y187" s="259">
        <v>15.75</v>
      </c>
      <c r="Z187" s="144">
        <v>0.46</v>
      </c>
      <c r="AA187" s="144">
        <v>0.46</v>
      </c>
      <c r="AB187" s="144">
        <v>0.46</v>
      </c>
      <c r="AC187" s="144">
        <v>0.46</v>
      </c>
      <c r="AD187" s="144">
        <v>0.46</v>
      </c>
      <c r="AE187" s="144">
        <v>0.46</v>
      </c>
      <c r="AF187" s="144">
        <v>0.46</v>
      </c>
      <c r="AG187" s="144">
        <v>0.46</v>
      </c>
      <c r="AH187" s="144">
        <v>0.46</v>
      </c>
      <c r="AI187" s="144">
        <v>0.46</v>
      </c>
      <c r="AJ187" s="144">
        <v>0.46</v>
      </c>
      <c r="AK187" s="259">
        <v>0.46</v>
      </c>
      <c r="AL187" s="105">
        <v>0</v>
      </c>
      <c r="AM187" s="118">
        <f t="shared" si="1"/>
        <v>0</v>
      </c>
      <c r="AN187" s="105">
        <v>0</v>
      </c>
      <c r="AO187" s="118">
        <f t="shared" si="25"/>
        <v>0</v>
      </c>
      <c r="AP187" s="105">
        <v>0</v>
      </c>
      <c r="AQ187" s="127">
        <f t="shared" si="3"/>
        <v>0</v>
      </c>
      <c r="AR187" s="5">
        <v>0</v>
      </c>
      <c r="AS187" s="118">
        <f t="shared" si="26"/>
        <v>0</v>
      </c>
      <c r="AT187" s="105">
        <v>0</v>
      </c>
      <c r="AU187" s="118">
        <f t="shared" si="27"/>
        <v>0</v>
      </c>
      <c r="AV187" s="105">
        <v>0</v>
      </c>
      <c r="AW187" s="127">
        <f t="shared" si="28"/>
        <v>0</v>
      </c>
      <c r="AX187" s="105">
        <v>0</v>
      </c>
      <c r="AY187" s="118">
        <f t="shared" si="29"/>
        <v>0</v>
      </c>
      <c r="AZ187" s="105">
        <v>0</v>
      </c>
      <c r="BA187" s="118">
        <f t="shared" si="30"/>
        <v>0</v>
      </c>
      <c r="BB187" s="5">
        <v>0</v>
      </c>
      <c r="BC187" s="127">
        <f t="shared" si="31"/>
        <v>0</v>
      </c>
      <c r="BD187" s="105">
        <v>0</v>
      </c>
      <c r="BE187" s="118">
        <f t="shared" si="32"/>
        <v>0</v>
      </c>
      <c r="BF187" s="5">
        <v>0</v>
      </c>
      <c r="BG187" s="118">
        <f t="shared" si="33"/>
        <v>0</v>
      </c>
      <c r="BH187" s="5">
        <v>0</v>
      </c>
      <c r="BI187" s="127">
        <f t="shared" si="34"/>
        <v>0</v>
      </c>
      <c r="BJ187" s="220" t="s">
        <v>649</v>
      </c>
      <c r="BL187" s="1" t="s">
        <v>570</v>
      </c>
      <c r="BM187" s="233" t="s">
        <v>684</v>
      </c>
      <c r="BN187" s="233"/>
      <c r="BO187" s="234"/>
    </row>
    <row r="188" spans="1:67">
      <c r="A188" s="219" t="s">
        <v>823</v>
      </c>
      <c r="B188" s="106" t="s">
        <v>244</v>
      </c>
      <c r="C188" s="66" t="s">
        <v>175</v>
      </c>
      <c r="D188" s="284"/>
      <c r="E188" s="77" t="s">
        <v>253</v>
      </c>
      <c r="F188" s="282"/>
      <c r="G188" s="71" t="s">
        <v>202</v>
      </c>
      <c r="H188" s="70" t="s">
        <v>648</v>
      </c>
      <c r="I188" s="70" t="s">
        <v>184</v>
      </c>
      <c r="J188" s="71" t="s">
        <v>567</v>
      </c>
      <c r="K188" s="70" t="s">
        <v>250</v>
      </c>
      <c r="L188" s="69" t="s">
        <v>257</v>
      </c>
      <c r="M188" s="180" t="s">
        <v>568</v>
      </c>
      <c r="N188" s="144">
        <v>15.75</v>
      </c>
      <c r="O188" s="144">
        <v>15.75</v>
      </c>
      <c r="P188" s="144">
        <v>15.75</v>
      </c>
      <c r="Q188" s="144">
        <v>15.75</v>
      </c>
      <c r="R188" s="144">
        <v>15.75</v>
      </c>
      <c r="S188" s="144">
        <v>15.75</v>
      </c>
      <c r="T188" s="144">
        <v>15.75</v>
      </c>
      <c r="U188" s="144">
        <v>15.75</v>
      </c>
      <c r="V188" s="144">
        <v>15.75</v>
      </c>
      <c r="W188" s="144">
        <v>15.75</v>
      </c>
      <c r="X188" s="144">
        <v>15.75</v>
      </c>
      <c r="Y188" s="259">
        <v>15.75</v>
      </c>
      <c r="Z188" s="144">
        <v>0.46</v>
      </c>
      <c r="AA188" s="144">
        <v>0.46</v>
      </c>
      <c r="AB188" s="144">
        <v>0.46</v>
      </c>
      <c r="AC188" s="144">
        <v>0.46</v>
      </c>
      <c r="AD188" s="144">
        <v>0.46</v>
      </c>
      <c r="AE188" s="144">
        <v>0.46</v>
      </c>
      <c r="AF188" s="144">
        <v>0.46</v>
      </c>
      <c r="AG188" s="144">
        <v>0.46</v>
      </c>
      <c r="AH188" s="144">
        <v>0.46</v>
      </c>
      <c r="AI188" s="144">
        <v>0.46</v>
      </c>
      <c r="AJ188" s="144">
        <v>0.46</v>
      </c>
      <c r="AK188" s="259">
        <v>0.46</v>
      </c>
      <c r="AL188" s="105">
        <v>0</v>
      </c>
      <c r="AM188" s="118">
        <f t="shared" si="1"/>
        <v>0</v>
      </c>
      <c r="AN188" s="105">
        <v>0</v>
      </c>
      <c r="AO188" s="118">
        <f t="shared" si="25"/>
        <v>0</v>
      </c>
      <c r="AP188" s="105">
        <v>0</v>
      </c>
      <c r="AQ188" s="127">
        <f t="shared" si="3"/>
        <v>0</v>
      </c>
      <c r="AR188" s="5">
        <v>0</v>
      </c>
      <c r="AS188" s="118">
        <f t="shared" si="26"/>
        <v>0</v>
      </c>
      <c r="AT188" s="105">
        <v>0</v>
      </c>
      <c r="AU188" s="118">
        <f t="shared" si="27"/>
        <v>0</v>
      </c>
      <c r="AV188" s="105">
        <v>0</v>
      </c>
      <c r="AW188" s="127">
        <f t="shared" si="28"/>
        <v>0</v>
      </c>
      <c r="AX188" s="105">
        <v>0</v>
      </c>
      <c r="AY188" s="118">
        <f t="shared" si="29"/>
        <v>0</v>
      </c>
      <c r="AZ188" s="105">
        <v>0</v>
      </c>
      <c r="BA188" s="118">
        <f t="shared" si="30"/>
        <v>0</v>
      </c>
      <c r="BB188" s="5">
        <v>0</v>
      </c>
      <c r="BC188" s="127">
        <f t="shared" si="31"/>
        <v>0</v>
      </c>
      <c r="BD188" s="105">
        <v>0</v>
      </c>
      <c r="BE188" s="118">
        <f t="shared" si="32"/>
        <v>0</v>
      </c>
      <c r="BF188" s="5">
        <v>0</v>
      </c>
      <c r="BG188" s="118">
        <f t="shared" si="33"/>
        <v>0</v>
      </c>
      <c r="BH188" s="5">
        <v>0</v>
      </c>
      <c r="BI188" s="127">
        <f t="shared" si="34"/>
        <v>0</v>
      </c>
      <c r="BJ188" s="220" t="s">
        <v>649</v>
      </c>
      <c r="BL188" s="1" t="s">
        <v>570</v>
      </c>
      <c r="BM188" s="233" t="s">
        <v>685</v>
      </c>
      <c r="BN188" s="233"/>
      <c r="BO188" s="234"/>
    </row>
    <row r="189" spans="1:67">
      <c r="A189" s="219" t="s">
        <v>823</v>
      </c>
      <c r="B189" s="106" t="s">
        <v>244</v>
      </c>
      <c r="C189" s="66" t="s">
        <v>175</v>
      </c>
      <c r="D189" s="284"/>
      <c r="E189" s="77" t="s">
        <v>253</v>
      </c>
      <c r="F189" s="282"/>
      <c r="G189" s="71" t="s">
        <v>202</v>
      </c>
      <c r="H189" s="70" t="s">
        <v>648</v>
      </c>
      <c r="I189" s="70" t="s">
        <v>184</v>
      </c>
      <c r="J189" s="71" t="s">
        <v>567</v>
      </c>
      <c r="K189" s="70" t="s">
        <v>250</v>
      </c>
      <c r="L189" s="69" t="s">
        <v>257</v>
      </c>
      <c r="M189" s="180" t="s">
        <v>608</v>
      </c>
      <c r="N189" s="144">
        <v>15.75</v>
      </c>
      <c r="O189" s="144">
        <v>15.75</v>
      </c>
      <c r="P189" s="144">
        <v>15.75</v>
      </c>
      <c r="Q189" s="144">
        <v>15.75</v>
      </c>
      <c r="R189" s="144">
        <v>15.75</v>
      </c>
      <c r="S189" s="144">
        <v>15.75</v>
      </c>
      <c r="T189" s="144">
        <v>15.75</v>
      </c>
      <c r="U189" s="144">
        <v>15.75</v>
      </c>
      <c r="V189" s="144">
        <v>15.75</v>
      </c>
      <c r="W189" s="144">
        <v>15.75</v>
      </c>
      <c r="X189" s="144">
        <v>15.75</v>
      </c>
      <c r="Y189" s="259">
        <v>15.75</v>
      </c>
      <c r="Z189" s="144">
        <v>0.46</v>
      </c>
      <c r="AA189" s="144">
        <v>0.46</v>
      </c>
      <c r="AB189" s="144">
        <v>0.46</v>
      </c>
      <c r="AC189" s="144">
        <v>0.46</v>
      </c>
      <c r="AD189" s="144">
        <v>0.46</v>
      </c>
      <c r="AE189" s="144">
        <v>0.46</v>
      </c>
      <c r="AF189" s="144">
        <v>0.46</v>
      </c>
      <c r="AG189" s="144">
        <v>0.46</v>
      </c>
      <c r="AH189" s="144">
        <v>0.46</v>
      </c>
      <c r="AI189" s="144">
        <v>0.46</v>
      </c>
      <c r="AJ189" s="144">
        <v>0.46</v>
      </c>
      <c r="AK189" s="259">
        <v>0.46</v>
      </c>
      <c r="AL189" s="105">
        <v>0</v>
      </c>
      <c r="AM189" s="118">
        <f t="shared" si="1"/>
        <v>0</v>
      </c>
      <c r="AN189" s="105">
        <v>0</v>
      </c>
      <c r="AO189" s="118">
        <f t="shared" si="25"/>
        <v>0</v>
      </c>
      <c r="AP189" s="105">
        <v>0</v>
      </c>
      <c r="AQ189" s="127">
        <f t="shared" si="3"/>
        <v>0</v>
      </c>
      <c r="AR189" s="5">
        <v>0</v>
      </c>
      <c r="AS189" s="118">
        <f t="shared" si="26"/>
        <v>0</v>
      </c>
      <c r="AT189" s="105">
        <v>0</v>
      </c>
      <c r="AU189" s="118">
        <f t="shared" si="27"/>
        <v>0</v>
      </c>
      <c r="AV189" s="105">
        <v>0</v>
      </c>
      <c r="AW189" s="127">
        <f t="shared" si="28"/>
        <v>0</v>
      </c>
      <c r="AX189" s="105">
        <v>0</v>
      </c>
      <c r="AY189" s="118">
        <f t="shared" si="29"/>
        <v>0</v>
      </c>
      <c r="AZ189" s="105">
        <v>0</v>
      </c>
      <c r="BA189" s="118">
        <f t="shared" si="30"/>
        <v>0</v>
      </c>
      <c r="BB189" s="5">
        <v>0</v>
      </c>
      <c r="BC189" s="127">
        <f t="shared" si="31"/>
        <v>0</v>
      </c>
      <c r="BD189" s="105">
        <v>0</v>
      </c>
      <c r="BE189" s="118">
        <f t="shared" si="32"/>
        <v>0</v>
      </c>
      <c r="BF189" s="5">
        <v>0</v>
      </c>
      <c r="BG189" s="118">
        <f t="shared" si="33"/>
        <v>0</v>
      </c>
      <c r="BH189" s="5">
        <v>0</v>
      </c>
      <c r="BI189" s="127">
        <f t="shared" si="34"/>
        <v>0</v>
      </c>
      <c r="BJ189" s="220" t="s">
        <v>649</v>
      </c>
      <c r="BL189" s="1" t="s">
        <v>578</v>
      </c>
      <c r="BM189" s="233" t="s">
        <v>686</v>
      </c>
      <c r="BN189" s="233"/>
      <c r="BO189" s="234"/>
    </row>
    <row r="190" spans="1:67">
      <c r="A190" s="219" t="s">
        <v>823</v>
      </c>
      <c r="B190" s="106" t="s">
        <v>244</v>
      </c>
      <c r="C190" s="66" t="s">
        <v>175</v>
      </c>
      <c r="D190" s="284"/>
      <c r="E190" s="77" t="s">
        <v>253</v>
      </c>
      <c r="F190" s="282"/>
      <c r="G190" s="71" t="s">
        <v>202</v>
      </c>
      <c r="H190" s="70" t="s">
        <v>648</v>
      </c>
      <c r="I190" s="70" t="s">
        <v>184</v>
      </c>
      <c r="J190" s="71" t="s">
        <v>567</v>
      </c>
      <c r="K190" s="70" t="s">
        <v>250</v>
      </c>
      <c r="L190" s="69" t="s">
        <v>257</v>
      </c>
      <c r="M190" s="180" t="s">
        <v>608</v>
      </c>
      <c r="N190" s="144">
        <v>15.75</v>
      </c>
      <c r="O190" s="144">
        <v>15.75</v>
      </c>
      <c r="P190" s="144">
        <v>15.75</v>
      </c>
      <c r="Q190" s="144">
        <v>15.75</v>
      </c>
      <c r="R190" s="144">
        <v>15.75</v>
      </c>
      <c r="S190" s="144">
        <v>15.75</v>
      </c>
      <c r="T190" s="144">
        <v>15.75</v>
      </c>
      <c r="U190" s="144">
        <v>15.75</v>
      </c>
      <c r="V190" s="144">
        <v>15.75</v>
      </c>
      <c r="W190" s="144">
        <v>15.75</v>
      </c>
      <c r="X190" s="144">
        <v>15.75</v>
      </c>
      <c r="Y190" s="259">
        <v>15.75</v>
      </c>
      <c r="Z190" s="144">
        <v>0.46</v>
      </c>
      <c r="AA190" s="144">
        <v>0.46</v>
      </c>
      <c r="AB190" s="144">
        <v>0.46</v>
      </c>
      <c r="AC190" s="144">
        <v>0.46</v>
      </c>
      <c r="AD190" s="144">
        <v>0.46</v>
      </c>
      <c r="AE190" s="144">
        <v>0.46</v>
      </c>
      <c r="AF190" s="144">
        <v>0.46</v>
      </c>
      <c r="AG190" s="144">
        <v>0.46</v>
      </c>
      <c r="AH190" s="144">
        <v>0.46</v>
      </c>
      <c r="AI190" s="144">
        <v>0.46</v>
      </c>
      <c r="AJ190" s="144">
        <v>0.46</v>
      </c>
      <c r="AK190" s="259">
        <v>0.46</v>
      </c>
      <c r="AL190" s="105">
        <v>0</v>
      </c>
      <c r="AM190" s="118">
        <f t="shared" si="1"/>
        <v>0</v>
      </c>
      <c r="AN190" s="105">
        <v>0</v>
      </c>
      <c r="AO190" s="118">
        <f t="shared" si="25"/>
        <v>0</v>
      </c>
      <c r="AP190" s="105">
        <v>0</v>
      </c>
      <c r="AQ190" s="127">
        <f t="shared" si="3"/>
        <v>0</v>
      </c>
      <c r="AR190" s="5">
        <v>0</v>
      </c>
      <c r="AS190" s="118">
        <f t="shared" si="26"/>
        <v>0</v>
      </c>
      <c r="AT190" s="105">
        <v>0</v>
      </c>
      <c r="AU190" s="118">
        <f t="shared" si="27"/>
        <v>0</v>
      </c>
      <c r="AV190" s="105">
        <v>0</v>
      </c>
      <c r="AW190" s="127">
        <f t="shared" si="28"/>
        <v>0</v>
      </c>
      <c r="AX190" s="105">
        <v>0</v>
      </c>
      <c r="AY190" s="118">
        <f t="shared" si="29"/>
        <v>0</v>
      </c>
      <c r="AZ190" s="105">
        <v>0</v>
      </c>
      <c r="BA190" s="118">
        <f t="shared" si="30"/>
        <v>0</v>
      </c>
      <c r="BB190" s="5">
        <v>0</v>
      </c>
      <c r="BC190" s="127">
        <f t="shared" si="31"/>
        <v>0</v>
      </c>
      <c r="BD190" s="105">
        <v>0</v>
      </c>
      <c r="BE190" s="118">
        <f t="shared" si="32"/>
        <v>0</v>
      </c>
      <c r="BF190" s="5">
        <v>0</v>
      </c>
      <c r="BG190" s="118">
        <f t="shared" si="33"/>
        <v>0</v>
      </c>
      <c r="BH190" s="5">
        <v>0</v>
      </c>
      <c r="BI190" s="127">
        <f t="shared" si="34"/>
        <v>0</v>
      </c>
      <c r="BJ190" s="220" t="s">
        <v>649</v>
      </c>
      <c r="BL190" s="1" t="s">
        <v>578</v>
      </c>
      <c r="BM190" s="233" t="s">
        <v>687</v>
      </c>
      <c r="BN190" s="233"/>
      <c r="BO190" s="234"/>
    </row>
    <row r="191" spans="1:67">
      <c r="A191" s="219" t="s">
        <v>823</v>
      </c>
      <c r="B191" s="106" t="s">
        <v>244</v>
      </c>
      <c r="C191" s="66" t="s">
        <v>175</v>
      </c>
      <c r="D191" s="284"/>
      <c r="E191" s="77" t="s">
        <v>253</v>
      </c>
      <c r="F191" s="282"/>
      <c r="G191" s="71" t="s">
        <v>202</v>
      </c>
      <c r="H191" s="70" t="s">
        <v>648</v>
      </c>
      <c r="I191" s="70" t="s">
        <v>184</v>
      </c>
      <c r="J191" s="71" t="s">
        <v>567</v>
      </c>
      <c r="K191" s="70" t="s">
        <v>250</v>
      </c>
      <c r="L191" s="69" t="s">
        <v>257</v>
      </c>
      <c r="M191" s="180" t="s">
        <v>608</v>
      </c>
      <c r="N191" s="144">
        <v>15.75</v>
      </c>
      <c r="O191" s="144">
        <v>15.75</v>
      </c>
      <c r="P191" s="144">
        <v>15.75</v>
      </c>
      <c r="Q191" s="144">
        <v>15.75</v>
      </c>
      <c r="R191" s="144">
        <v>15.75</v>
      </c>
      <c r="S191" s="144">
        <v>15.75</v>
      </c>
      <c r="T191" s="144">
        <v>15.75</v>
      </c>
      <c r="U191" s="144">
        <v>15.75</v>
      </c>
      <c r="V191" s="144">
        <v>15.75</v>
      </c>
      <c r="W191" s="144">
        <v>15.75</v>
      </c>
      <c r="X191" s="144">
        <v>15.75</v>
      </c>
      <c r="Y191" s="259">
        <v>15.75</v>
      </c>
      <c r="Z191" s="144">
        <v>0.46</v>
      </c>
      <c r="AA191" s="144">
        <v>0.46</v>
      </c>
      <c r="AB191" s="144">
        <v>0.46</v>
      </c>
      <c r="AC191" s="144">
        <v>0.46</v>
      </c>
      <c r="AD191" s="144">
        <v>0.46</v>
      </c>
      <c r="AE191" s="144">
        <v>0.46</v>
      </c>
      <c r="AF191" s="144">
        <v>0.46</v>
      </c>
      <c r="AG191" s="144">
        <v>0.46</v>
      </c>
      <c r="AH191" s="144">
        <v>0.46</v>
      </c>
      <c r="AI191" s="144">
        <v>0.46</v>
      </c>
      <c r="AJ191" s="144">
        <v>0.46</v>
      </c>
      <c r="AK191" s="259">
        <v>0.46</v>
      </c>
      <c r="AL191" s="105">
        <v>0</v>
      </c>
      <c r="AM191" s="118">
        <f t="shared" si="1"/>
        <v>0</v>
      </c>
      <c r="AN191" s="105">
        <v>0</v>
      </c>
      <c r="AO191" s="118">
        <f t="shared" si="25"/>
        <v>0</v>
      </c>
      <c r="AP191" s="105">
        <v>0</v>
      </c>
      <c r="AQ191" s="127">
        <f t="shared" si="3"/>
        <v>0</v>
      </c>
      <c r="AR191" s="5">
        <v>0</v>
      </c>
      <c r="AS191" s="118">
        <f t="shared" si="26"/>
        <v>0</v>
      </c>
      <c r="AT191" s="105">
        <v>0</v>
      </c>
      <c r="AU191" s="118">
        <f t="shared" si="27"/>
        <v>0</v>
      </c>
      <c r="AV191" s="105">
        <v>0</v>
      </c>
      <c r="AW191" s="127">
        <f t="shared" si="28"/>
        <v>0</v>
      </c>
      <c r="AX191" s="105">
        <v>0</v>
      </c>
      <c r="AY191" s="118">
        <f t="shared" si="29"/>
        <v>0</v>
      </c>
      <c r="AZ191" s="105">
        <v>0</v>
      </c>
      <c r="BA191" s="118">
        <f t="shared" si="30"/>
        <v>0</v>
      </c>
      <c r="BB191" s="5">
        <v>0</v>
      </c>
      <c r="BC191" s="127">
        <f t="shared" si="31"/>
        <v>0</v>
      </c>
      <c r="BD191" s="105">
        <v>0</v>
      </c>
      <c r="BE191" s="118">
        <f t="shared" si="32"/>
        <v>0</v>
      </c>
      <c r="BF191" s="5">
        <v>0</v>
      </c>
      <c r="BG191" s="118">
        <f t="shared" si="33"/>
        <v>0</v>
      </c>
      <c r="BH191" s="5">
        <v>0</v>
      </c>
      <c r="BI191" s="127">
        <f t="shared" si="34"/>
        <v>0</v>
      </c>
      <c r="BJ191" s="220" t="s">
        <v>649</v>
      </c>
      <c r="BL191" s="1" t="s">
        <v>578</v>
      </c>
      <c r="BM191" s="233" t="s">
        <v>688</v>
      </c>
      <c r="BN191" s="233"/>
      <c r="BO191" s="234"/>
    </row>
    <row r="192" spans="1:67">
      <c r="A192" s="219" t="s">
        <v>823</v>
      </c>
      <c r="B192" s="106" t="s">
        <v>244</v>
      </c>
      <c r="C192" s="66" t="s">
        <v>175</v>
      </c>
      <c r="D192" s="284"/>
      <c r="E192" s="77" t="s">
        <v>253</v>
      </c>
      <c r="F192" s="282"/>
      <c r="G192" s="71" t="s">
        <v>202</v>
      </c>
      <c r="H192" s="70" t="s">
        <v>648</v>
      </c>
      <c r="I192" s="70" t="s">
        <v>184</v>
      </c>
      <c r="J192" s="71" t="s">
        <v>567</v>
      </c>
      <c r="K192" s="70" t="s">
        <v>250</v>
      </c>
      <c r="L192" s="69" t="s">
        <v>257</v>
      </c>
      <c r="M192" s="180" t="s">
        <v>608</v>
      </c>
      <c r="N192" s="144">
        <v>15.75</v>
      </c>
      <c r="O192" s="144">
        <v>15.75</v>
      </c>
      <c r="P192" s="144">
        <v>15.75</v>
      </c>
      <c r="Q192" s="144">
        <v>15.75</v>
      </c>
      <c r="R192" s="144">
        <v>15.75</v>
      </c>
      <c r="S192" s="144">
        <v>15.75</v>
      </c>
      <c r="T192" s="144">
        <v>15.75</v>
      </c>
      <c r="U192" s="144">
        <v>15.75</v>
      </c>
      <c r="V192" s="144">
        <v>15.75</v>
      </c>
      <c r="W192" s="144">
        <v>15.75</v>
      </c>
      <c r="X192" s="144">
        <v>15.75</v>
      </c>
      <c r="Y192" s="259">
        <v>15.75</v>
      </c>
      <c r="Z192" s="144">
        <v>0.46</v>
      </c>
      <c r="AA192" s="144">
        <v>0.46</v>
      </c>
      <c r="AB192" s="144">
        <v>0.46</v>
      </c>
      <c r="AC192" s="144">
        <v>0.46</v>
      </c>
      <c r="AD192" s="144">
        <v>0.46</v>
      </c>
      <c r="AE192" s="144">
        <v>0.46</v>
      </c>
      <c r="AF192" s="144">
        <v>0.46</v>
      </c>
      <c r="AG192" s="144">
        <v>0.46</v>
      </c>
      <c r="AH192" s="144">
        <v>0.46</v>
      </c>
      <c r="AI192" s="144">
        <v>0.46</v>
      </c>
      <c r="AJ192" s="144">
        <v>0.46</v>
      </c>
      <c r="AK192" s="259">
        <v>0.46</v>
      </c>
      <c r="AL192" s="105">
        <v>0</v>
      </c>
      <c r="AM192" s="118">
        <f t="shared" si="1"/>
        <v>0</v>
      </c>
      <c r="AN192" s="105">
        <v>0</v>
      </c>
      <c r="AO192" s="118">
        <f t="shared" si="25"/>
        <v>0</v>
      </c>
      <c r="AP192" s="105">
        <v>0</v>
      </c>
      <c r="AQ192" s="127">
        <f t="shared" si="3"/>
        <v>0</v>
      </c>
      <c r="AR192" s="5">
        <v>0</v>
      </c>
      <c r="AS192" s="118">
        <f t="shared" si="26"/>
        <v>0</v>
      </c>
      <c r="AT192" s="105">
        <v>0</v>
      </c>
      <c r="AU192" s="118">
        <f t="shared" si="27"/>
        <v>0</v>
      </c>
      <c r="AV192" s="105">
        <v>0</v>
      </c>
      <c r="AW192" s="127">
        <f t="shared" si="28"/>
        <v>0</v>
      </c>
      <c r="AX192" s="105">
        <v>0</v>
      </c>
      <c r="AY192" s="118">
        <f t="shared" si="29"/>
        <v>0</v>
      </c>
      <c r="AZ192" s="105">
        <v>0</v>
      </c>
      <c r="BA192" s="118">
        <f t="shared" si="30"/>
        <v>0</v>
      </c>
      <c r="BB192" s="5">
        <v>0</v>
      </c>
      <c r="BC192" s="127">
        <f t="shared" si="31"/>
        <v>0</v>
      </c>
      <c r="BD192" s="105">
        <v>0</v>
      </c>
      <c r="BE192" s="118">
        <f t="shared" si="32"/>
        <v>0</v>
      </c>
      <c r="BF192" s="5">
        <v>0</v>
      </c>
      <c r="BG192" s="118">
        <f t="shared" si="33"/>
        <v>0</v>
      </c>
      <c r="BH192" s="5">
        <v>0</v>
      </c>
      <c r="BI192" s="127">
        <f t="shared" si="34"/>
        <v>0</v>
      </c>
      <c r="BJ192" s="220" t="s">
        <v>649</v>
      </c>
      <c r="BL192" s="1" t="s">
        <v>578</v>
      </c>
      <c r="BM192" s="233" t="s">
        <v>689</v>
      </c>
      <c r="BN192" s="233"/>
      <c r="BO192" s="234"/>
    </row>
    <row r="193" spans="1:67">
      <c r="A193" s="219" t="s">
        <v>823</v>
      </c>
      <c r="B193" s="106" t="s">
        <v>244</v>
      </c>
      <c r="C193" s="66" t="s">
        <v>175</v>
      </c>
      <c r="D193" s="284"/>
      <c r="E193" s="77" t="s">
        <v>253</v>
      </c>
      <c r="F193" s="282"/>
      <c r="G193" s="71" t="s">
        <v>202</v>
      </c>
      <c r="H193" s="70" t="s">
        <v>648</v>
      </c>
      <c r="I193" s="70" t="s">
        <v>184</v>
      </c>
      <c r="J193" s="71" t="s">
        <v>567</v>
      </c>
      <c r="K193" s="70" t="s">
        <v>250</v>
      </c>
      <c r="L193" s="69" t="s">
        <v>257</v>
      </c>
      <c r="M193" s="180" t="s">
        <v>608</v>
      </c>
      <c r="N193" s="144">
        <v>15.75</v>
      </c>
      <c r="O193" s="144">
        <v>15.75</v>
      </c>
      <c r="P193" s="144">
        <v>15.75</v>
      </c>
      <c r="Q193" s="144">
        <v>15.75</v>
      </c>
      <c r="R193" s="144">
        <v>15.75</v>
      </c>
      <c r="S193" s="144">
        <v>15.75</v>
      </c>
      <c r="T193" s="144">
        <v>15.75</v>
      </c>
      <c r="U193" s="144">
        <v>15.75</v>
      </c>
      <c r="V193" s="144">
        <v>15.75</v>
      </c>
      <c r="W193" s="144">
        <v>15.75</v>
      </c>
      <c r="X193" s="144">
        <v>15.75</v>
      </c>
      <c r="Y193" s="259">
        <v>15.75</v>
      </c>
      <c r="Z193" s="144">
        <v>0.46</v>
      </c>
      <c r="AA193" s="144">
        <v>0.46</v>
      </c>
      <c r="AB193" s="144">
        <v>0.46</v>
      </c>
      <c r="AC193" s="144">
        <v>0.46</v>
      </c>
      <c r="AD193" s="144">
        <v>0.46</v>
      </c>
      <c r="AE193" s="144">
        <v>0.46</v>
      </c>
      <c r="AF193" s="144">
        <v>0.46</v>
      </c>
      <c r="AG193" s="144">
        <v>0.46</v>
      </c>
      <c r="AH193" s="144">
        <v>0.46</v>
      </c>
      <c r="AI193" s="144">
        <v>0.46</v>
      </c>
      <c r="AJ193" s="144">
        <v>0.46</v>
      </c>
      <c r="AK193" s="259">
        <v>0.46</v>
      </c>
      <c r="AL193" s="105">
        <v>0</v>
      </c>
      <c r="AM193" s="118">
        <f t="shared" si="1"/>
        <v>0</v>
      </c>
      <c r="AN193" s="105">
        <v>0</v>
      </c>
      <c r="AO193" s="118">
        <f t="shared" si="25"/>
        <v>0</v>
      </c>
      <c r="AP193" s="105">
        <v>0</v>
      </c>
      <c r="AQ193" s="127">
        <f t="shared" si="3"/>
        <v>0</v>
      </c>
      <c r="AR193" s="5">
        <v>0</v>
      </c>
      <c r="AS193" s="118">
        <f t="shared" si="26"/>
        <v>0</v>
      </c>
      <c r="AT193" s="105">
        <v>0</v>
      </c>
      <c r="AU193" s="118">
        <f t="shared" si="27"/>
        <v>0</v>
      </c>
      <c r="AV193" s="105">
        <v>0</v>
      </c>
      <c r="AW193" s="127">
        <f t="shared" si="28"/>
        <v>0</v>
      </c>
      <c r="AX193" s="105">
        <v>0</v>
      </c>
      <c r="AY193" s="118">
        <f t="shared" si="29"/>
        <v>0</v>
      </c>
      <c r="AZ193" s="105">
        <v>0</v>
      </c>
      <c r="BA193" s="118">
        <f t="shared" si="30"/>
        <v>0</v>
      </c>
      <c r="BB193" s="5">
        <v>0</v>
      </c>
      <c r="BC193" s="127">
        <f t="shared" si="31"/>
        <v>0</v>
      </c>
      <c r="BD193" s="105">
        <v>0</v>
      </c>
      <c r="BE193" s="118">
        <f t="shared" si="32"/>
        <v>0</v>
      </c>
      <c r="BF193" s="5">
        <v>0</v>
      </c>
      <c r="BG193" s="118">
        <f t="shared" si="33"/>
        <v>0</v>
      </c>
      <c r="BH193" s="5">
        <v>0</v>
      </c>
      <c r="BI193" s="127">
        <f t="shared" si="34"/>
        <v>0</v>
      </c>
      <c r="BJ193" s="220" t="s">
        <v>649</v>
      </c>
      <c r="BL193" s="1" t="s">
        <v>578</v>
      </c>
      <c r="BM193" s="233" t="s">
        <v>690</v>
      </c>
      <c r="BN193" s="233"/>
      <c r="BO193" s="234"/>
    </row>
    <row r="194" spans="1:67">
      <c r="A194" s="219" t="s">
        <v>823</v>
      </c>
      <c r="B194" s="106" t="s">
        <v>244</v>
      </c>
      <c r="C194" s="66" t="s">
        <v>175</v>
      </c>
      <c r="D194" s="284"/>
      <c r="E194" s="77" t="s">
        <v>253</v>
      </c>
      <c r="F194" s="282"/>
      <c r="G194" s="71" t="s">
        <v>202</v>
      </c>
      <c r="H194" s="70" t="s">
        <v>648</v>
      </c>
      <c r="I194" s="70" t="s">
        <v>184</v>
      </c>
      <c r="J194" s="71" t="s">
        <v>567</v>
      </c>
      <c r="K194" s="70" t="s">
        <v>250</v>
      </c>
      <c r="L194" s="69" t="s">
        <v>257</v>
      </c>
      <c r="M194" s="180" t="s">
        <v>608</v>
      </c>
      <c r="N194" s="144">
        <v>15.75</v>
      </c>
      <c r="O194" s="144">
        <v>15.75</v>
      </c>
      <c r="P194" s="144">
        <v>15.75</v>
      </c>
      <c r="Q194" s="144">
        <v>15.75</v>
      </c>
      <c r="R194" s="144">
        <v>15.75</v>
      </c>
      <c r="S194" s="144">
        <v>15.75</v>
      </c>
      <c r="T194" s="144">
        <v>15.75</v>
      </c>
      <c r="U194" s="144">
        <v>15.75</v>
      </c>
      <c r="V194" s="144">
        <v>15.75</v>
      </c>
      <c r="W194" s="144">
        <v>15.75</v>
      </c>
      <c r="X194" s="144">
        <v>15.75</v>
      </c>
      <c r="Y194" s="259">
        <v>15.75</v>
      </c>
      <c r="Z194" s="144">
        <v>0.46</v>
      </c>
      <c r="AA194" s="144">
        <v>0.46</v>
      </c>
      <c r="AB194" s="144">
        <v>0.46</v>
      </c>
      <c r="AC194" s="144">
        <v>0.46</v>
      </c>
      <c r="AD194" s="144">
        <v>0.46</v>
      </c>
      <c r="AE194" s="144">
        <v>0.46</v>
      </c>
      <c r="AF194" s="144">
        <v>0.46</v>
      </c>
      <c r="AG194" s="144">
        <v>0.46</v>
      </c>
      <c r="AH194" s="144">
        <v>0.46</v>
      </c>
      <c r="AI194" s="144">
        <v>0.46</v>
      </c>
      <c r="AJ194" s="144">
        <v>0.46</v>
      </c>
      <c r="AK194" s="259">
        <v>0.46</v>
      </c>
      <c r="AL194" s="105">
        <v>0</v>
      </c>
      <c r="AM194" s="118">
        <f t="shared" si="1"/>
        <v>0</v>
      </c>
      <c r="AN194" s="105">
        <v>0</v>
      </c>
      <c r="AO194" s="118">
        <f t="shared" si="25"/>
        <v>0</v>
      </c>
      <c r="AP194" s="105">
        <v>0</v>
      </c>
      <c r="AQ194" s="127">
        <f t="shared" si="3"/>
        <v>0</v>
      </c>
      <c r="AR194" s="5">
        <v>0</v>
      </c>
      <c r="AS194" s="118">
        <f t="shared" si="26"/>
        <v>0</v>
      </c>
      <c r="AT194" s="105">
        <v>0</v>
      </c>
      <c r="AU194" s="118">
        <f t="shared" si="27"/>
        <v>0</v>
      </c>
      <c r="AV194" s="105">
        <v>0</v>
      </c>
      <c r="AW194" s="127">
        <f t="shared" si="28"/>
        <v>0</v>
      </c>
      <c r="AX194" s="105">
        <v>0</v>
      </c>
      <c r="AY194" s="118">
        <f t="shared" si="29"/>
        <v>0</v>
      </c>
      <c r="AZ194" s="105">
        <v>0</v>
      </c>
      <c r="BA194" s="118">
        <f t="shared" si="30"/>
        <v>0</v>
      </c>
      <c r="BB194" s="5">
        <v>0</v>
      </c>
      <c r="BC194" s="127">
        <f t="shared" si="31"/>
        <v>0</v>
      </c>
      <c r="BD194" s="105">
        <v>0</v>
      </c>
      <c r="BE194" s="118">
        <f t="shared" si="32"/>
        <v>0</v>
      </c>
      <c r="BF194" s="5">
        <v>0</v>
      </c>
      <c r="BG194" s="118">
        <f t="shared" si="33"/>
        <v>0</v>
      </c>
      <c r="BH194" s="5">
        <v>0</v>
      </c>
      <c r="BI194" s="127">
        <f t="shared" si="34"/>
        <v>0</v>
      </c>
      <c r="BJ194" s="220" t="s">
        <v>649</v>
      </c>
      <c r="BL194" s="1" t="s">
        <v>578</v>
      </c>
      <c r="BM194" s="233" t="s">
        <v>691</v>
      </c>
      <c r="BN194" s="233"/>
      <c r="BO194" s="234"/>
    </row>
    <row r="195" spans="1:67">
      <c r="A195" s="219" t="s">
        <v>823</v>
      </c>
      <c r="B195" s="106" t="s">
        <v>244</v>
      </c>
      <c r="C195" s="66" t="s">
        <v>175</v>
      </c>
      <c r="D195" s="284"/>
      <c r="E195" s="77" t="s">
        <v>253</v>
      </c>
      <c r="F195" s="282"/>
      <c r="G195" s="71" t="s">
        <v>202</v>
      </c>
      <c r="H195" s="70" t="s">
        <v>648</v>
      </c>
      <c r="I195" s="70" t="s">
        <v>184</v>
      </c>
      <c r="J195" s="71" t="s">
        <v>567</v>
      </c>
      <c r="K195" s="70" t="s">
        <v>250</v>
      </c>
      <c r="L195" s="69" t="s">
        <v>257</v>
      </c>
      <c r="M195" s="180" t="s">
        <v>608</v>
      </c>
      <c r="N195" s="144">
        <v>15.75</v>
      </c>
      <c r="O195" s="144">
        <v>15.75</v>
      </c>
      <c r="P195" s="144">
        <v>15.75</v>
      </c>
      <c r="Q195" s="144">
        <v>15.75</v>
      </c>
      <c r="R195" s="144">
        <v>15.75</v>
      </c>
      <c r="S195" s="144">
        <v>15.75</v>
      </c>
      <c r="T195" s="144">
        <v>15.75</v>
      </c>
      <c r="U195" s="144">
        <v>15.75</v>
      </c>
      <c r="V195" s="144">
        <v>15.75</v>
      </c>
      <c r="W195" s="144">
        <v>15.75</v>
      </c>
      <c r="X195" s="144">
        <v>15.75</v>
      </c>
      <c r="Y195" s="259">
        <v>15.75</v>
      </c>
      <c r="Z195" s="144">
        <v>0.46</v>
      </c>
      <c r="AA195" s="144">
        <v>0.46</v>
      </c>
      <c r="AB195" s="144">
        <v>0.46</v>
      </c>
      <c r="AC195" s="144">
        <v>0.46</v>
      </c>
      <c r="AD195" s="144">
        <v>0.46</v>
      </c>
      <c r="AE195" s="144">
        <v>0.46</v>
      </c>
      <c r="AF195" s="144">
        <v>0.46</v>
      </c>
      <c r="AG195" s="144">
        <v>0.46</v>
      </c>
      <c r="AH195" s="144">
        <v>0.46</v>
      </c>
      <c r="AI195" s="144">
        <v>0.46</v>
      </c>
      <c r="AJ195" s="144">
        <v>0.46</v>
      </c>
      <c r="AK195" s="259">
        <v>0.46</v>
      </c>
      <c r="AL195" s="105">
        <v>0</v>
      </c>
      <c r="AM195" s="118">
        <f t="shared" si="1"/>
        <v>0</v>
      </c>
      <c r="AN195" s="105">
        <v>0</v>
      </c>
      <c r="AO195" s="118">
        <f t="shared" si="25"/>
        <v>0</v>
      </c>
      <c r="AP195" s="105">
        <v>0</v>
      </c>
      <c r="AQ195" s="127">
        <f t="shared" si="3"/>
        <v>0</v>
      </c>
      <c r="AR195" s="5">
        <v>0</v>
      </c>
      <c r="AS195" s="118">
        <f t="shared" si="26"/>
        <v>0</v>
      </c>
      <c r="AT195" s="105">
        <v>0</v>
      </c>
      <c r="AU195" s="118">
        <f t="shared" si="27"/>
        <v>0</v>
      </c>
      <c r="AV195" s="105">
        <v>0</v>
      </c>
      <c r="AW195" s="127">
        <f t="shared" si="28"/>
        <v>0</v>
      </c>
      <c r="AX195" s="105">
        <v>0</v>
      </c>
      <c r="AY195" s="118">
        <f t="shared" si="29"/>
        <v>0</v>
      </c>
      <c r="AZ195" s="105">
        <v>0</v>
      </c>
      <c r="BA195" s="118">
        <f t="shared" si="30"/>
        <v>0</v>
      </c>
      <c r="BB195" s="5">
        <v>0</v>
      </c>
      <c r="BC195" s="127">
        <f t="shared" si="31"/>
        <v>0</v>
      </c>
      <c r="BD195" s="105">
        <v>0</v>
      </c>
      <c r="BE195" s="118">
        <f t="shared" si="32"/>
        <v>0</v>
      </c>
      <c r="BF195" s="5">
        <v>0</v>
      </c>
      <c r="BG195" s="118">
        <f t="shared" si="33"/>
        <v>0</v>
      </c>
      <c r="BH195" s="5">
        <v>0</v>
      </c>
      <c r="BI195" s="127">
        <f t="shared" si="34"/>
        <v>0</v>
      </c>
      <c r="BJ195" s="220" t="s">
        <v>649</v>
      </c>
      <c r="BL195" s="1" t="s">
        <v>578</v>
      </c>
      <c r="BM195" s="233" t="s">
        <v>692</v>
      </c>
      <c r="BN195" s="233"/>
      <c r="BO195" s="234"/>
    </row>
    <row r="196" spans="1:67">
      <c r="A196" s="219" t="s">
        <v>823</v>
      </c>
      <c r="B196" s="106" t="s">
        <v>244</v>
      </c>
      <c r="C196" s="66" t="s">
        <v>175</v>
      </c>
      <c r="D196" s="284"/>
      <c r="E196" s="77" t="s">
        <v>253</v>
      </c>
      <c r="F196" s="282"/>
      <c r="G196" s="71" t="s">
        <v>202</v>
      </c>
      <c r="H196" s="70" t="s">
        <v>648</v>
      </c>
      <c r="I196" s="70" t="s">
        <v>184</v>
      </c>
      <c r="J196" s="71" t="s">
        <v>567</v>
      </c>
      <c r="K196" s="70" t="s">
        <v>250</v>
      </c>
      <c r="L196" s="69" t="s">
        <v>257</v>
      </c>
      <c r="M196" s="180" t="s">
        <v>608</v>
      </c>
      <c r="N196" s="144">
        <v>15.75</v>
      </c>
      <c r="O196" s="144">
        <v>15.75</v>
      </c>
      <c r="P196" s="144">
        <v>15.75</v>
      </c>
      <c r="Q196" s="144">
        <v>15.75</v>
      </c>
      <c r="R196" s="144">
        <v>15.75</v>
      </c>
      <c r="S196" s="144">
        <v>15.75</v>
      </c>
      <c r="T196" s="144">
        <v>15.75</v>
      </c>
      <c r="U196" s="144">
        <v>15.75</v>
      </c>
      <c r="V196" s="144">
        <v>15.75</v>
      </c>
      <c r="W196" s="144">
        <v>15.75</v>
      </c>
      <c r="X196" s="144">
        <v>15.75</v>
      </c>
      <c r="Y196" s="259">
        <v>15.75</v>
      </c>
      <c r="Z196" s="144">
        <v>0.46</v>
      </c>
      <c r="AA196" s="144">
        <v>0.46</v>
      </c>
      <c r="AB196" s="144">
        <v>0.46</v>
      </c>
      <c r="AC196" s="144">
        <v>0.46</v>
      </c>
      <c r="AD196" s="144">
        <v>0.46</v>
      </c>
      <c r="AE196" s="144">
        <v>0.46</v>
      </c>
      <c r="AF196" s="144">
        <v>0.46</v>
      </c>
      <c r="AG196" s="144">
        <v>0.46</v>
      </c>
      <c r="AH196" s="144">
        <v>0.46</v>
      </c>
      <c r="AI196" s="144">
        <v>0.46</v>
      </c>
      <c r="AJ196" s="144">
        <v>0.46</v>
      </c>
      <c r="AK196" s="259">
        <v>0.46</v>
      </c>
      <c r="AL196" s="105">
        <v>0</v>
      </c>
      <c r="AM196" s="118">
        <f t="shared" si="1"/>
        <v>0</v>
      </c>
      <c r="AN196" s="105">
        <v>0</v>
      </c>
      <c r="AO196" s="118">
        <f t="shared" ref="AO196:AO259" si="35">AA196*AN196</f>
        <v>0</v>
      </c>
      <c r="AP196" s="105">
        <v>0</v>
      </c>
      <c r="AQ196" s="127">
        <f t="shared" si="3"/>
        <v>0</v>
      </c>
      <c r="AR196" s="5">
        <v>0</v>
      </c>
      <c r="AS196" s="118">
        <f t="shared" si="26"/>
        <v>0</v>
      </c>
      <c r="AT196" s="105">
        <v>0</v>
      </c>
      <c r="AU196" s="118">
        <f t="shared" si="27"/>
        <v>0</v>
      </c>
      <c r="AV196" s="105">
        <v>0</v>
      </c>
      <c r="AW196" s="127">
        <f t="shared" si="28"/>
        <v>0</v>
      </c>
      <c r="AX196" s="105">
        <v>0</v>
      </c>
      <c r="AY196" s="118">
        <f t="shared" si="29"/>
        <v>0</v>
      </c>
      <c r="AZ196" s="105">
        <v>0</v>
      </c>
      <c r="BA196" s="118">
        <f t="shared" si="30"/>
        <v>0</v>
      </c>
      <c r="BB196" s="5">
        <v>0</v>
      </c>
      <c r="BC196" s="127">
        <f t="shared" si="31"/>
        <v>0</v>
      </c>
      <c r="BD196" s="105">
        <v>0</v>
      </c>
      <c r="BE196" s="118">
        <f t="shared" si="32"/>
        <v>0</v>
      </c>
      <c r="BF196" s="5">
        <v>0</v>
      </c>
      <c r="BG196" s="118">
        <f t="shared" si="33"/>
        <v>0</v>
      </c>
      <c r="BH196" s="5">
        <v>0</v>
      </c>
      <c r="BI196" s="127">
        <f t="shared" si="34"/>
        <v>0</v>
      </c>
      <c r="BJ196" s="220" t="s">
        <v>649</v>
      </c>
      <c r="BL196" s="1" t="s">
        <v>578</v>
      </c>
      <c r="BM196" s="233" t="s">
        <v>693</v>
      </c>
      <c r="BN196" s="233"/>
      <c r="BO196" s="234"/>
    </row>
    <row r="197" spans="1:67">
      <c r="A197" s="219" t="s">
        <v>823</v>
      </c>
      <c r="B197" s="106" t="s">
        <v>244</v>
      </c>
      <c r="C197" s="66" t="s">
        <v>175</v>
      </c>
      <c r="D197" s="284"/>
      <c r="E197" s="77" t="s">
        <v>253</v>
      </c>
      <c r="F197" s="282"/>
      <c r="G197" s="71" t="s">
        <v>202</v>
      </c>
      <c r="H197" s="70" t="s">
        <v>648</v>
      </c>
      <c r="I197" s="70" t="s">
        <v>184</v>
      </c>
      <c r="J197" s="71" t="s">
        <v>567</v>
      </c>
      <c r="K197" s="70" t="s">
        <v>250</v>
      </c>
      <c r="L197" s="69" t="s">
        <v>257</v>
      </c>
      <c r="M197" s="180" t="s">
        <v>608</v>
      </c>
      <c r="N197" s="144">
        <v>15.75</v>
      </c>
      <c r="O197" s="144">
        <v>15.75</v>
      </c>
      <c r="P197" s="144">
        <v>15.75</v>
      </c>
      <c r="Q197" s="144">
        <v>15.75</v>
      </c>
      <c r="R197" s="144">
        <v>15.75</v>
      </c>
      <c r="S197" s="144">
        <v>15.75</v>
      </c>
      <c r="T197" s="144">
        <v>15.75</v>
      </c>
      <c r="U197" s="144">
        <v>15.75</v>
      </c>
      <c r="V197" s="144">
        <v>15.75</v>
      </c>
      <c r="W197" s="144">
        <v>15.75</v>
      </c>
      <c r="X197" s="144">
        <v>15.75</v>
      </c>
      <c r="Y197" s="259">
        <v>15.75</v>
      </c>
      <c r="Z197" s="144">
        <v>0.46</v>
      </c>
      <c r="AA197" s="144">
        <v>0.46</v>
      </c>
      <c r="AB197" s="144">
        <v>0.46</v>
      </c>
      <c r="AC197" s="144">
        <v>0.46</v>
      </c>
      <c r="AD197" s="144">
        <v>0.46</v>
      </c>
      <c r="AE197" s="144">
        <v>0.46</v>
      </c>
      <c r="AF197" s="144">
        <v>0.46</v>
      </c>
      <c r="AG197" s="144">
        <v>0.46</v>
      </c>
      <c r="AH197" s="144">
        <v>0.46</v>
      </c>
      <c r="AI197" s="144">
        <v>0.46</v>
      </c>
      <c r="AJ197" s="144">
        <v>0.46</v>
      </c>
      <c r="AK197" s="259">
        <v>0.46</v>
      </c>
      <c r="AL197" s="105">
        <v>0</v>
      </c>
      <c r="AM197" s="118">
        <f t="shared" si="1"/>
        <v>0</v>
      </c>
      <c r="AN197" s="105">
        <v>0</v>
      </c>
      <c r="AO197" s="118">
        <f t="shared" si="35"/>
        <v>0</v>
      </c>
      <c r="AP197" s="105">
        <v>0</v>
      </c>
      <c r="AQ197" s="127">
        <f t="shared" si="3"/>
        <v>0</v>
      </c>
      <c r="AR197" s="5">
        <v>0</v>
      </c>
      <c r="AS197" s="118">
        <f t="shared" si="26"/>
        <v>0</v>
      </c>
      <c r="AT197" s="105">
        <v>0</v>
      </c>
      <c r="AU197" s="118">
        <f t="shared" si="27"/>
        <v>0</v>
      </c>
      <c r="AV197" s="105">
        <v>0</v>
      </c>
      <c r="AW197" s="127">
        <f t="shared" si="28"/>
        <v>0</v>
      </c>
      <c r="AX197" s="105">
        <v>0</v>
      </c>
      <c r="AY197" s="118">
        <f t="shared" si="29"/>
        <v>0</v>
      </c>
      <c r="AZ197" s="105">
        <v>0</v>
      </c>
      <c r="BA197" s="118">
        <f t="shared" si="30"/>
        <v>0</v>
      </c>
      <c r="BB197" s="5">
        <v>0</v>
      </c>
      <c r="BC197" s="127">
        <f t="shared" si="31"/>
        <v>0</v>
      </c>
      <c r="BD197" s="105">
        <v>0</v>
      </c>
      <c r="BE197" s="118">
        <f t="shared" si="32"/>
        <v>0</v>
      </c>
      <c r="BF197" s="5">
        <v>0</v>
      </c>
      <c r="BG197" s="118">
        <f t="shared" si="33"/>
        <v>0</v>
      </c>
      <c r="BH197" s="5">
        <v>0</v>
      </c>
      <c r="BI197" s="127">
        <f t="shared" si="34"/>
        <v>0</v>
      </c>
      <c r="BJ197" s="220" t="s">
        <v>649</v>
      </c>
      <c r="BL197" s="1" t="s">
        <v>578</v>
      </c>
      <c r="BM197" s="233" t="s">
        <v>694</v>
      </c>
      <c r="BN197" s="233"/>
      <c r="BO197" s="234"/>
    </row>
    <row r="198" spans="1:67">
      <c r="A198" s="219" t="s">
        <v>823</v>
      </c>
      <c r="B198" s="106" t="s">
        <v>244</v>
      </c>
      <c r="C198" s="66" t="s">
        <v>175</v>
      </c>
      <c r="D198" s="284"/>
      <c r="E198" s="77" t="s">
        <v>253</v>
      </c>
      <c r="F198" s="282"/>
      <c r="G198" s="71" t="s">
        <v>202</v>
      </c>
      <c r="H198" s="70" t="s">
        <v>648</v>
      </c>
      <c r="I198" s="70" t="s">
        <v>184</v>
      </c>
      <c r="J198" s="71" t="s">
        <v>567</v>
      </c>
      <c r="K198" s="70" t="s">
        <v>250</v>
      </c>
      <c r="L198" s="69" t="s">
        <v>257</v>
      </c>
      <c r="M198" s="180" t="s">
        <v>608</v>
      </c>
      <c r="N198" s="144">
        <v>15.75</v>
      </c>
      <c r="O198" s="144">
        <v>15.75</v>
      </c>
      <c r="P198" s="144">
        <v>15.75</v>
      </c>
      <c r="Q198" s="144">
        <v>15.75</v>
      </c>
      <c r="R198" s="144">
        <v>15.75</v>
      </c>
      <c r="S198" s="144">
        <v>15.75</v>
      </c>
      <c r="T198" s="144">
        <v>15.75</v>
      </c>
      <c r="U198" s="144">
        <v>15.75</v>
      </c>
      <c r="V198" s="144">
        <v>15.75</v>
      </c>
      <c r="W198" s="144">
        <v>15.75</v>
      </c>
      <c r="X198" s="144">
        <v>15.75</v>
      </c>
      <c r="Y198" s="259">
        <v>15.75</v>
      </c>
      <c r="Z198" s="144">
        <v>0.46</v>
      </c>
      <c r="AA198" s="144">
        <v>0.46</v>
      </c>
      <c r="AB198" s="144">
        <v>0.46</v>
      </c>
      <c r="AC198" s="144">
        <v>0.46</v>
      </c>
      <c r="AD198" s="144">
        <v>0.46</v>
      </c>
      <c r="AE198" s="144">
        <v>0.46</v>
      </c>
      <c r="AF198" s="144">
        <v>0.46</v>
      </c>
      <c r="AG198" s="144">
        <v>0.46</v>
      </c>
      <c r="AH198" s="144">
        <v>0.46</v>
      </c>
      <c r="AI198" s="144">
        <v>0.46</v>
      </c>
      <c r="AJ198" s="144">
        <v>0.46</v>
      </c>
      <c r="AK198" s="259">
        <v>0.46</v>
      </c>
      <c r="AL198" s="105">
        <v>0</v>
      </c>
      <c r="AM198" s="118">
        <f t="shared" si="1"/>
        <v>0</v>
      </c>
      <c r="AN198" s="105">
        <v>0</v>
      </c>
      <c r="AO198" s="118">
        <f t="shared" si="35"/>
        <v>0</v>
      </c>
      <c r="AP198" s="105">
        <v>0</v>
      </c>
      <c r="AQ198" s="127">
        <f t="shared" si="3"/>
        <v>0</v>
      </c>
      <c r="AR198" s="5">
        <v>0</v>
      </c>
      <c r="AS198" s="118">
        <f t="shared" si="26"/>
        <v>0</v>
      </c>
      <c r="AT198" s="105">
        <v>0</v>
      </c>
      <c r="AU198" s="118">
        <f t="shared" si="27"/>
        <v>0</v>
      </c>
      <c r="AV198" s="105">
        <v>0</v>
      </c>
      <c r="AW198" s="127">
        <f t="shared" si="28"/>
        <v>0</v>
      </c>
      <c r="AX198" s="105">
        <v>0</v>
      </c>
      <c r="AY198" s="118">
        <f t="shared" si="29"/>
        <v>0</v>
      </c>
      <c r="AZ198" s="105">
        <v>0</v>
      </c>
      <c r="BA198" s="118">
        <f t="shared" si="30"/>
        <v>0</v>
      </c>
      <c r="BB198" s="5">
        <v>0</v>
      </c>
      <c r="BC198" s="127">
        <f t="shared" si="31"/>
        <v>0</v>
      </c>
      <c r="BD198" s="105">
        <v>0</v>
      </c>
      <c r="BE198" s="118">
        <f t="shared" si="32"/>
        <v>0</v>
      </c>
      <c r="BF198" s="5">
        <v>0</v>
      </c>
      <c r="BG198" s="118">
        <f t="shared" si="33"/>
        <v>0</v>
      </c>
      <c r="BH198" s="5">
        <v>0</v>
      </c>
      <c r="BI198" s="127">
        <f t="shared" si="34"/>
        <v>0</v>
      </c>
      <c r="BJ198" s="220" t="s">
        <v>649</v>
      </c>
      <c r="BL198" s="1" t="s">
        <v>578</v>
      </c>
      <c r="BM198" s="233" t="s">
        <v>695</v>
      </c>
      <c r="BN198" s="233"/>
      <c r="BO198" s="234"/>
    </row>
    <row r="199" spans="1:67">
      <c r="A199" s="219" t="s">
        <v>823</v>
      </c>
      <c r="B199" s="106" t="s">
        <v>244</v>
      </c>
      <c r="C199" s="66" t="s">
        <v>175</v>
      </c>
      <c r="D199" s="284"/>
      <c r="E199" s="77" t="s">
        <v>253</v>
      </c>
      <c r="F199" s="282"/>
      <c r="G199" s="71" t="s">
        <v>202</v>
      </c>
      <c r="H199" s="70" t="s">
        <v>648</v>
      </c>
      <c r="I199" s="70" t="s">
        <v>184</v>
      </c>
      <c r="J199" s="71" t="s">
        <v>567</v>
      </c>
      <c r="K199" s="70" t="s">
        <v>250</v>
      </c>
      <c r="L199" s="69" t="s">
        <v>257</v>
      </c>
      <c r="M199" s="180" t="s">
        <v>608</v>
      </c>
      <c r="N199" s="144">
        <v>15.75</v>
      </c>
      <c r="O199" s="144">
        <v>15.75</v>
      </c>
      <c r="P199" s="144">
        <v>15.75</v>
      </c>
      <c r="Q199" s="144">
        <v>15.75</v>
      </c>
      <c r="R199" s="144">
        <v>15.75</v>
      </c>
      <c r="S199" s="144">
        <v>15.75</v>
      </c>
      <c r="T199" s="144">
        <v>15.75</v>
      </c>
      <c r="U199" s="144">
        <v>15.75</v>
      </c>
      <c r="V199" s="144">
        <v>15.75</v>
      </c>
      <c r="W199" s="144">
        <v>15.75</v>
      </c>
      <c r="X199" s="144">
        <v>15.75</v>
      </c>
      <c r="Y199" s="259">
        <v>15.75</v>
      </c>
      <c r="Z199" s="144">
        <v>0.46</v>
      </c>
      <c r="AA199" s="144">
        <v>0.46</v>
      </c>
      <c r="AB199" s="144">
        <v>0.46</v>
      </c>
      <c r="AC199" s="144">
        <v>0.46</v>
      </c>
      <c r="AD199" s="144">
        <v>0.46</v>
      </c>
      <c r="AE199" s="144">
        <v>0.46</v>
      </c>
      <c r="AF199" s="144">
        <v>0.46</v>
      </c>
      <c r="AG199" s="144">
        <v>0.46</v>
      </c>
      <c r="AH199" s="144">
        <v>0.46</v>
      </c>
      <c r="AI199" s="144">
        <v>0.46</v>
      </c>
      <c r="AJ199" s="144">
        <v>0.46</v>
      </c>
      <c r="AK199" s="259">
        <v>0.46</v>
      </c>
      <c r="AL199" s="105">
        <v>0</v>
      </c>
      <c r="AM199" s="118">
        <f t="shared" si="1"/>
        <v>0</v>
      </c>
      <c r="AN199" s="105">
        <v>0</v>
      </c>
      <c r="AO199" s="118">
        <f t="shared" si="35"/>
        <v>0</v>
      </c>
      <c r="AP199" s="105">
        <v>0</v>
      </c>
      <c r="AQ199" s="127">
        <f t="shared" si="3"/>
        <v>0</v>
      </c>
      <c r="AR199" s="5">
        <v>0</v>
      </c>
      <c r="AS199" s="118">
        <f t="shared" si="26"/>
        <v>0</v>
      </c>
      <c r="AT199" s="105">
        <v>0</v>
      </c>
      <c r="AU199" s="118">
        <f t="shared" si="27"/>
        <v>0</v>
      </c>
      <c r="AV199" s="105">
        <v>0</v>
      </c>
      <c r="AW199" s="127">
        <f t="shared" si="28"/>
        <v>0</v>
      </c>
      <c r="AX199" s="105">
        <v>0</v>
      </c>
      <c r="AY199" s="118">
        <f t="shared" si="29"/>
        <v>0</v>
      </c>
      <c r="AZ199" s="105">
        <v>0</v>
      </c>
      <c r="BA199" s="118">
        <f t="shared" si="30"/>
        <v>0</v>
      </c>
      <c r="BB199" s="5">
        <v>0</v>
      </c>
      <c r="BC199" s="127">
        <f t="shared" si="31"/>
        <v>0</v>
      </c>
      <c r="BD199" s="105">
        <v>0</v>
      </c>
      <c r="BE199" s="118">
        <f t="shared" si="32"/>
        <v>0</v>
      </c>
      <c r="BF199" s="5">
        <v>0</v>
      </c>
      <c r="BG199" s="118">
        <f t="shared" si="33"/>
        <v>0</v>
      </c>
      <c r="BH199" s="5">
        <v>0</v>
      </c>
      <c r="BI199" s="127">
        <f t="shared" si="34"/>
        <v>0</v>
      </c>
      <c r="BJ199" s="220" t="s">
        <v>649</v>
      </c>
      <c r="BL199" s="1" t="s">
        <v>578</v>
      </c>
      <c r="BM199" s="233" t="s">
        <v>696</v>
      </c>
      <c r="BN199" s="233"/>
      <c r="BO199" s="234"/>
    </row>
    <row r="200" spans="1:67">
      <c r="A200" s="219" t="s">
        <v>823</v>
      </c>
      <c r="B200" s="106" t="s">
        <v>244</v>
      </c>
      <c r="C200" s="66" t="s">
        <v>175</v>
      </c>
      <c r="D200" s="284"/>
      <c r="E200" s="77" t="s">
        <v>253</v>
      </c>
      <c r="F200" s="282"/>
      <c r="G200" s="71" t="s">
        <v>202</v>
      </c>
      <c r="H200" s="70" t="s">
        <v>648</v>
      </c>
      <c r="I200" s="70" t="s">
        <v>184</v>
      </c>
      <c r="J200" s="71" t="s">
        <v>567</v>
      </c>
      <c r="K200" s="70" t="s">
        <v>250</v>
      </c>
      <c r="L200" s="69" t="s">
        <v>257</v>
      </c>
      <c r="M200" s="180" t="s">
        <v>608</v>
      </c>
      <c r="N200" s="144">
        <v>15.75</v>
      </c>
      <c r="O200" s="144">
        <v>15.75</v>
      </c>
      <c r="P200" s="144">
        <v>15.75</v>
      </c>
      <c r="Q200" s="144">
        <v>15.75</v>
      </c>
      <c r="R200" s="144">
        <v>15.75</v>
      </c>
      <c r="S200" s="144">
        <v>15.75</v>
      </c>
      <c r="T200" s="144">
        <v>15.75</v>
      </c>
      <c r="U200" s="144">
        <v>15.75</v>
      </c>
      <c r="V200" s="144">
        <v>15.75</v>
      </c>
      <c r="W200" s="144">
        <v>15.75</v>
      </c>
      <c r="X200" s="144">
        <v>15.75</v>
      </c>
      <c r="Y200" s="259">
        <v>15.75</v>
      </c>
      <c r="Z200" s="144">
        <v>0.46</v>
      </c>
      <c r="AA200" s="144">
        <v>0.46</v>
      </c>
      <c r="AB200" s="144">
        <v>0.46</v>
      </c>
      <c r="AC200" s="144">
        <v>0.46</v>
      </c>
      <c r="AD200" s="144">
        <v>0.46</v>
      </c>
      <c r="AE200" s="144">
        <v>0.46</v>
      </c>
      <c r="AF200" s="144">
        <v>0.46</v>
      </c>
      <c r="AG200" s="144">
        <v>0.46</v>
      </c>
      <c r="AH200" s="144">
        <v>0.46</v>
      </c>
      <c r="AI200" s="144">
        <v>0.46</v>
      </c>
      <c r="AJ200" s="144">
        <v>0.46</v>
      </c>
      <c r="AK200" s="259">
        <v>0.46</v>
      </c>
      <c r="AL200" s="105">
        <v>0</v>
      </c>
      <c r="AM200" s="118">
        <f t="shared" si="1"/>
        <v>0</v>
      </c>
      <c r="AN200" s="105">
        <v>0</v>
      </c>
      <c r="AO200" s="118">
        <f t="shared" si="35"/>
        <v>0</v>
      </c>
      <c r="AP200" s="105">
        <v>0</v>
      </c>
      <c r="AQ200" s="127">
        <f t="shared" si="3"/>
        <v>0</v>
      </c>
      <c r="AR200" s="5">
        <v>0</v>
      </c>
      <c r="AS200" s="118">
        <f t="shared" si="26"/>
        <v>0</v>
      </c>
      <c r="AT200" s="105">
        <v>0</v>
      </c>
      <c r="AU200" s="118">
        <f t="shared" si="27"/>
        <v>0</v>
      </c>
      <c r="AV200" s="105">
        <v>0</v>
      </c>
      <c r="AW200" s="127">
        <f t="shared" si="28"/>
        <v>0</v>
      </c>
      <c r="AX200" s="105">
        <v>0</v>
      </c>
      <c r="AY200" s="118">
        <f t="shared" si="29"/>
        <v>0</v>
      </c>
      <c r="AZ200" s="105">
        <v>0</v>
      </c>
      <c r="BA200" s="118">
        <f t="shared" si="30"/>
        <v>0</v>
      </c>
      <c r="BB200" s="5">
        <v>0</v>
      </c>
      <c r="BC200" s="127">
        <f t="shared" si="31"/>
        <v>0</v>
      </c>
      <c r="BD200" s="105">
        <v>0</v>
      </c>
      <c r="BE200" s="118">
        <f t="shared" si="32"/>
        <v>0</v>
      </c>
      <c r="BF200" s="5">
        <v>0</v>
      </c>
      <c r="BG200" s="118">
        <f t="shared" si="33"/>
        <v>0</v>
      </c>
      <c r="BH200" s="5">
        <v>0</v>
      </c>
      <c r="BI200" s="127">
        <f t="shared" si="34"/>
        <v>0</v>
      </c>
      <c r="BJ200" s="220" t="s">
        <v>649</v>
      </c>
      <c r="BL200" s="1" t="s">
        <v>578</v>
      </c>
      <c r="BM200" s="233" t="s">
        <v>697</v>
      </c>
      <c r="BN200" s="233"/>
      <c r="BO200" s="234"/>
    </row>
    <row r="201" spans="1:67">
      <c r="A201" s="219" t="s">
        <v>823</v>
      </c>
      <c r="B201" s="106" t="s">
        <v>244</v>
      </c>
      <c r="C201" s="66" t="s">
        <v>175</v>
      </c>
      <c r="D201" s="284"/>
      <c r="E201" s="77" t="s">
        <v>253</v>
      </c>
      <c r="F201" s="282"/>
      <c r="G201" s="71" t="s">
        <v>202</v>
      </c>
      <c r="H201" s="70" t="s">
        <v>648</v>
      </c>
      <c r="I201" s="70" t="s">
        <v>184</v>
      </c>
      <c r="J201" s="71" t="s">
        <v>567</v>
      </c>
      <c r="K201" s="70" t="s">
        <v>250</v>
      </c>
      <c r="L201" s="69" t="s">
        <v>257</v>
      </c>
      <c r="M201" s="180" t="s">
        <v>608</v>
      </c>
      <c r="N201" s="144">
        <v>15.75</v>
      </c>
      <c r="O201" s="144">
        <v>15.75</v>
      </c>
      <c r="P201" s="144">
        <v>15.75</v>
      </c>
      <c r="Q201" s="144">
        <v>15.75</v>
      </c>
      <c r="R201" s="144">
        <v>15.75</v>
      </c>
      <c r="S201" s="144">
        <v>15.75</v>
      </c>
      <c r="T201" s="144">
        <v>15.75</v>
      </c>
      <c r="U201" s="144">
        <v>15.75</v>
      </c>
      <c r="V201" s="144">
        <v>15.75</v>
      </c>
      <c r="W201" s="144">
        <v>15.75</v>
      </c>
      <c r="X201" s="144">
        <v>15.75</v>
      </c>
      <c r="Y201" s="259">
        <v>15.75</v>
      </c>
      <c r="Z201" s="144">
        <v>0.46</v>
      </c>
      <c r="AA201" s="144">
        <v>0.46</v>
      </c>
      <c r="AB201" s="144">
        <v>0.46</v>
      </c>
      <c r="AC201" s="144">
        <v>0.46</v>
      </c>
      <c r="AD201" s="144">
        <v>0.46</v>
      </c>
      <c r="AE201" s="144">
        <v>0.46</v>
      </c>
      <c r="AF201" s="144">
        <v>0.46</v>
      </c>
      <c r="AG201" s="144">
        <v>0.46</v>
      </c>
      <c r="AH201" s="144">
        <v>0.46</v>
      </c>
      <c r="AI201" s="144">
        <v>0.46</v>
      </c>
      <c r="AJ201" s="144">
        <v>0.46</v>
      </c>
      <c r="AK201" s="259">
        <v>0.46</v>
      </c>
      <c r="AL201" s="105">
        <v>0</v>
      </c>
      <c r="AM201" s="118">
        <f t="shared" si="1"/>
        <v>0</v>
      </c>
      <c r="AN201" s="105">
        <v>0</v>
      </c>
      <c r="AO201" s="118">
        <f t="shared" si="35"/>
        <v>0</v>
      </c>
      <c r="AP201" s="105">
        <v>0</v>
      </c>
      <c r="AQ201" s="127">
        <f t="shared" si="3"/>
        <v>0</v>
      </c>
      <c r="AR201" s="5">
        <v>0</v>
      </c>
      <c r="AS201" s="118">
        <f t="shared" si="26"/>
        <v>0</v>
      </c>
      <c r="AT201" s="105">
        <v>0</v>
      </c>
      <c r="AU201" s="118">
        <f t="shared" si="27"/>
        <v>0</v>
      </c>
      <c r="AV201" s="105">
        <v>0</v>
      </c>
      <c r="AW201" s="127">
        <f t="shared" si="28"/>
        <v>0</v>
      </c>
      <c r="AX201" s="105">
        <v>0</v>
      </c>
      <c r="AY201" s="118">
        <f t="shared" si="29"/>
        <v>0</v>
      </c>
      <c r="AZ201" s="105">
        <v>0</v>
      </c>
      <c r="BA201" s="118">
        <f t="shared" si="30"/>
        <v>0</v>
      </c>
      <c r="BB201" s="5">
        <v>0</v>
      </c>
      <c r="BC201" s="127">
        <f t="shared" si="31"/>
        <v>0</v>
      </c>
      <c r="BD201" s="105">
        <v>0</v>
      </c>
      <c r="BE201" s="118">
        <f t="shared" si="32"/>
        <v>0</v>
      </c>
      <c r="BF201" s="5">
        <v>0</v>
      </c>
      <c r="BG201" s="118">
        <f t="shared" si="33"/>
        <v>0</v>
      </c>
      <c r="BH201" s="5">
        <v>0</v>
      </c>
      <c r="BI201" s="127">
        <f t="shared" si="34"/>
        <v>0</v>
      </c>
      <c r="BJ201" s="220" t="s">
        <v>649</v>
      </c>
      <c r="BL201" s="1" t="s">
        <v>578</v>
      </c>
      <c r="BM201" s="233" t="s">
        <v>698</v>
      </c>
      <c r="BN201" s="233"/>
      <c r="BO201" s="234"/>
    </row>
    <row r="202" spans="1:67">
      <c r="A202" s="219" t="s">
        <v>823</v>
      </c>
      <c r="B202" s="106" t="s">
        <v>244</v>
      </c>
      <c r="C202" s="66" t="s">
        <v>175</v>
      </c>
      <c r="D202" s="284"/>
      <c r="E202" s="77" t="s">
        <v>253</v>
      </c>
      <c r="F202" s="282"/>
      <c r="G202" s="71" t="s">
        <v>202</v>
      </c>
      <c r="H202" s="70" t="s">
        <v>648</v>
      </c>
      <c r="I202" s="70" t="s">
        <v>184</v>
      </c>
      <c r="J202" s="71" t="s">
        <v>567</v>
      </c>
      <c r="K202" s="70" t="s">
        <v>250</v>
      </c>
      <c r="L202" s="69" t="s">
        <v>257</v>
      </c>
      <c r="M202" s="180" t="s">
        <v>608</v>
      </c>
      <c r="N202" s="144">
        <v>15.75</v>
      </c>
      <c r="O202" s="144">
        <v>15.75</v>
      </c>
      <c r="P202" s="144">
        <v>15.75</v>
      </c>
      <c r="Q202" s="144">
        <v>15.75</v>
      </c>
      <c r="R202" s="144">
        <v>15.75</v>
      </c>
      <c r="S202" s="144">
        <v>15.75</v>
      </c>
      <c r="T202" s="144">
        <v>15.75</v>
      </c>
      <c r="U202" s="144">
        <v>15.75</v>
      </c>
      <c r="V202" s="144">
        <v>15.75</v>
      </c>
      <c r="W202" s="144">
        <v>15.75</v>
      </c>
      <c r="X202" s="144">
        <v>15.75</v>
      </c>
      <c r="Y202" s="259">
        <v>15.75</v>
      </c>
      <c r="Z202" s="144">
        <v>0.46</v>
      </c>
      <c r="AA202" s="144">
        <v>0.46</v>
      </c>
      <c r="AB202" s="144">
        <v>0.46</v>
      </c>
      <c r="AC202" s="144">
        <v>0.46</v>
      </c>
      <c r="AD202" s="144">
        <v>0.46</v>
      </c>
      <c r="AE202" s="144">
        <v>0.46</v>
      </c>
      <c r="AF202" s="144">
        <v>0.46</v>
      </c>
      <c r="AG202" s="144">
        <v>0.46</v>
      </c>
      <c r="AH202" s="144">
        <v>0.46</v>
      </c>
      <c r="AI202" s="144">
        <v>0.46</v>
      </c>
      <c r="AJ202" s="144">
        <v>0.46</v>
      </c>
      <c r="AK202" s="259">
        <v>0.46</v>
      </c>
      <c r="AL202" s="105">
        <v>0</v>
      </c>
      <c r="AM202" s="118">
        <f t="shared" si="1"/>
        <v>0</v>
      </c>
      <c r="AN202" s="105">
        <v>0</v>
      </c>
      <c r="AO202" s="118">
        <f t="shared" si="35"/>
        <v>0</v>
      </c>
      <c r="AP202" s="105">
        <v>0</v>
      </c>
      <c r="AQ202" s="127">
        <f t="shared" si="3"/>
        <v>0</v>
      </c>
      <c r="AR202" s="5">
        <v>0</v>
      </c>
      <c r="AS202" s="118">
        <f t="shared" si="26"/>
        <v>0</v>
      </c>
      <c r="AT202" s="105">
        <v>0</v>
      </c>
      <c r="AU202" s="118">
        <f t="shared" si="27"/>
        <v>0</v>
      </c>
      <c r="AV202" s="105">
        <v>0</v>
      </c>
      <c r="AW202" s="127">
        <f t="shared" si="28"/>
        <v>0</v>
      </c>
      <c r="AX202" s="105">
        <v>0</v>
      </c>
      <c r="AY202" s="118">
        <f t="shared" si="29"/>
        <v>0</v>
      </c>
      <c r="AZ202" s="105">
        <v>0</v>
      </c>
      <c r="BA202" s="118">
        <f t="shared" si="30"/>
        <v>0</v>
      </c>
      <c r="BB202" s="5">
        <v>0</v>
      </c>
      <c r="BC202" s="127">
        <f t="shared" si="31"/>
        <v>0</v>
      </c>
      <c r="BD202" s="105">
        <v>0</v>
      </c>
      <c r="BE202" s="118">
        <f t="shared" si="32"/>
        <v>0</v>
      </c>
      <c r="BF202" s="5">
        <v>0</v>
      </c>
      <c r="BG202" s="118">
        <f t="shared" si="33"/>
        <v>0</v>
      </c>
      <c r="BH202" s="5">
        <v>0</v>
      </c>
      <c r="BI202" s="127">
        <f t="shared" si="34"/>
        <v>0</v>
      </c>
      <c r="BJ202" s="220" t="s">
        <v>649</v>
      </c>
      <c r="BL202" s="1" t="s">
        <v>578</v>
      </c>
      <c r="BM202" s="233" t="s">
        <v>699</v>
      </c>
      <c r="BN202" s="233"/>
      <c r="BO202" s="234"/>
    </row>
    <row r="203" spans="1:67">
      <c r="A203" s="219" t="s">
        <v>823</v>
      </c>
      <c r="B203" s="106" t="s">
        <v>244</v>
      </c>
      <c r="C203" s="66" t="s">
        <v>175</v>
      </c>
      <c r="D203" s="284"/>
      <c r="E203" s="77" t="s">
        <v>253</v>
      </c>
      <c r="F203" s="282"/>
      <c r="G203" s="71" t="s">
        <v>202</v>
      </c>
      <c r="H203" s="70" t="s">
        <v>648</v>
      </c>
      <c r="I203" s="70" t="s">
        <v>184</v>
      </c>
      <c r="J203" s="71" t="s">
        <v>567</v>
      </c>
      <c r="K203" s="70" t="s">
        <v>250</v>
      </c>
      <c r="L203" s="69" t="s">
        <v>257</v>
      </c>
      <c r="M203" s="180" t="s">
        <v>608</v>
      </c>
      <c r="N203" s="144">
        <v>15.75</v>
      </c>
      <c r="O203" s="144">
        <v>15.75</v>
      </c>
      <c r="P203" s="144">
        <v>15.75</v>
      </c>
      <c r="Q203" s="144">
        <v>15.75</v>
      </c>
      <c r="R203" s="144">
        <v>15.75</v>
      </c>
      <c r="S203" s="144">
        <v>15.75</v>
      </c>
      <c r="T203" s="144">
        <v>15.75</v>
      </c>
      <c r="U203" s="144">
        <v>15.75</v>
      </c>
      <c r="V203" s="144">
        <v>15.75</v>
      </c>
      <c r="W203" s="144">
        <v>15.75</v>
      </c>
      <c r="X203" s="144">
        <v>15.75</v>
      </c>
      <c r="Y203" s="259">
        <v>15.75</v>
      </c>
      <c r="Z203" s="144">
        <v>0.46</v>
      </c>
      <c r="AA203" s="144">
        <v>0.46</v>
      </c>
      <c r="AB203" s="144">
        <v>0.46</v>
      </c>
      <c r="AC203" s="144">
        <v>0.46</v>
      </c>
      <c r="AD203" s="144">
        <v>0.46</v>
      </c>
      <c r="AE203" s="144">
        <v>0.46</v>
      </c>
      <c r="AF203" s="144">
        <v>0.46</v>
      </c>
      <c r="AG203" s="144">
        <v>0.46</v>
      </c>
      <c r="AH203" s="144">
        <v>0.46</v>
      </c>
      <c r="AI203" s="144">
        <v>0.46</v>
      </c>
      <c r="AJ203" s="144">
        <v>0.46</v>
      </c>
      <c r="AK203" s="259">
        <v>0.46</v>
      </c>
      <c r="AL203" s="105">
        <v>0</v>
      </c>
      <c r="AM203" s="118">
        <f t="shared" si="1"/>
        <v>0</v>
      </c>
      <c r="AN203" s="105">
        <v>0</v>
      </c>
      <c r="AO203" s="118">
        <f t="shared" si="35"/>
        <v>0</v>
      </c>
      <c r="AP203" s="105">
        <v>0</v>
      </c>
      <c r="AQ203" s="127">
        <f t="shared" si="3"/>
        <v>0</v>
      </c>
      <c r="AR203" s="5">
        <v>0</v>
      </c>
      <c r="AS203" s="118">
        <f t="shared" si="26"/>
        <v>0</v>
      </c>
      <c r="AT203" s="105">
        <v>0</v>
      </c>
      <c r="AU203" s="118">
        <f t="shared" si="27"/>
        <v>0</v>
      </c>
      <c r="AV203" s="105">
        <v>0</v>
      </c>
      <c r="AW203" s="127">
        <f t="shared" si="28"/>
        <v>0</v>
      </c>
      <c r="AX203" s="105">
        <v>0</v>
      </c>
      <c r="AY203" s="118">
        <f t="shared" si="29"/>
        <v>0</v>
      </c>
      <c r="AZ203" s="105">
        <v>0</v>
      </c>
      <c r="BA203" s="118">
        <f t="shared" si="30"/>
        <v>0</v>
      </c>
      <c r="BB203" s="5">
        <v>0</v>
      </c>
      <c r="BC203" s="127">
        <f t="shared" si="31"/>
        <v>0</v>
      </c>
      <c r="BD203" s="105">
        <v>0</v>
      </c>
      <c r="BE203" s="118">
        <f t="shared" si="32"/>
        <v>0</v>
      </c>
      <c r="BF203" s="5">
        <v>0</v>
      </c>
      <c r="BG203" s="118">
        <f t="shared" si="33"/>
        <v>0</v>
      </c>
      <c r="BH203" s="5">
        <v>0</v>
      </c>
      <c r="BI203" s="127">
        <f t="shared" si="34"/>
        <v>0</v>
      </c>
      <c r="BJ203" s="220" t="s">
        <v>649</v>
      </c>
      <c r="BL203" s="1" t="s">
        <v>578</v>
      </c>
      <c r="BM203" s="233" t="s">
        <v>700</v>
      </c>
      <c r="BN203" s="233"/>
      <c r="BO203" s="234"/>
    </row>
    <row r="204" spans="1:67">
      <c r="A204" s="219" t="s">
        <v>823</v>
      </c>
      <c r="B204" s="106" t="s">
        <v>244</v>
      </c>
      <c r="C204" s="66" t="s">
        <v>175</v>
      </c>
      <c r="D204" s="284"/>
      <c r="E204" s="77" t="s">
        <v>253</v>
      </c>
      <c r="F204" s="282"/>
      <c r="G204" s="71" t="s">
        <v>202</v>
      </c>
      <c r="H204" s="70" t="s">
        <v>648</v>
      </c>
      <c r="I204" s="70" t="s">
        <v>184</v>
      </c>
      <c r="J204" s="71" t="s">
        <v>567</v>
      </c>
      <c r="K204" s="70" t="s">
        <v>250</v>
      </c>
      <c r="L204" s="69" t="s">
        <v>257</v>
      </c>
      <c r="M204" s="180" t="s">
        <v>608</v>
      </c>
      <c r="N204" s="144">
        <v>15.75</v>
      </c>
      <c r="O204" s="144">
        <v>15.75</v>
      </c>
      <c r="P204" s="144">
        <v>15.75</v>
      </c>
      <c r="Q204" s="144">
        <v>15.75</v>
      </c>
      <c r="R204" s="144">
        <v>15.75</v>
      </c>
      <c r="S204" s="144">
        <v>15.75</v>
      </c>
      <c r="T204" s="144">
        <v>15.75</v>
      </c>
      <c r="U204" s="144">
        <v>15.75</v>
      </c>
      <c r="V204" s="144">
        <v>15.75</v>
      </c>
      <c r="W204" s="144">
        <v>15.75</v>
      </c>
      <c r="X204" s="144">
        <v>15.75</v>
      </c>
      <c r="Y204" s="259">
        <v>15.75</v>
      </c>
      <c r="Z204" s="144">
        <v>0.46</v>
      </c>
      <c r="AA204" s="144">
        <v>0.46</v>
      </c>
      <c r="AB204" s="144">
        <v>0.46</v>
      </c>
      <c r="AC204" s="144">
        <v>0.46</v>
      </c>
      <c r="AD204" s="144">
        <v>0.46</v>
      </c>
      <c r="AE204" s="144">
        <v>0.46</v>
      </c>
      <c r="AF204" s="144">
        <v>0.46</v>
      </c>
      <c r="AG204" s="144">
        <v>0.46</v>
      </c>
      <c r="AH204" s="144">
        <v>0.46</v>
      </c>
      <c r="AI204" s="144">
        <v>0.46</v>
      </c>
      <c r="AJ204" s="144">
        <v>0.46</v>
      </c>
      <c r="AK204" s="259">
        <v>0.46</v>
      </c>
      <c r="AL204" s="105">
        <v>0</v>
      </c>
      <c r="AM204" s="118">
        <f t="shared" si="1"/>
        <v>0</v>
      </c>
      <c r="AN204" s="105">
        <v>0</v>
      </c>
      <c r="AO204" s="118">
        <f t="shared" si="35"/>
        <v>0</v>
      </c>
      <c r="AP204" s="105">
        <v>0</v>
      </c>
      <c r="AQ204" s="127">
        <f t="shared" si="3"/>
        <v>0</v>
      </c>
      <c r="AR204" s="5">
        <v>0</v>
      </c>
      <c r="AS204" s="118">
        <f t="shared" si="26"/>
        <v>0</v>
      </c>
      <c r="AT204" s="105">
        <v>0</v>
      </c>
      <c r="AU204" s="118">
        <f t="shared" si="27"/>
        <v>0</v>
      </c>
      <c r="AV204" s="105">
        <v>0</v>
      </c>
      <c r="AW204" s="127">
        <f t="shared" si="28"/>
        <v>0</v>
      </c>
      <c r="AX204" s="105">
        <v>0</v>
      </c>
      <c r="AY204" s="118">
        <f t="shared" si="29"/>
        <v>0</v>
      </c>
      <c r="AZ204" s="105">
        <v>0</v>
      </c>
      <c r="BA204" s="118">
        <f t="shared" si="30"/>
        <v>0</v>
      </c>
      <c r="BB204" s="5">
        <v>0</v>
      </c>
      <c r="BC204" s="127">
        <f t="shared" si="31"/>
        <v>0</v>
      </c>
      <c r="BD204" s="105">
        <v>0</v>
      </c>
      <c r="BE204" s="118">
        <f t="shared" si="32"/>
        <v>0</v>
      </c>
      <c r="BF204" s="5">
        <v>0</v>
      </c>
      <c r="BG204" s="118">
        <f t="shared" si="33"/>
        <v>0</v>
      </c>
      <c r="BH204" s="5">
        <v>0</v>
      </c>
      <c r="BI204" s="127">
        <f t="shared" si="34"/>
        <v>0</v>
      </c>
      <c r="BJ204" s="220" t="s">
        <v>649</v>
      </c>
      <c r="BL204" s="1" t="s">
        <v>578</v>
      </c>
      <c r="BM204" s="233" t="s">
        <v>701</v>
      </c>
      <c r="BN204" s="233"/>
      <c r="BO204" s="234"/>
    </row>
    <row r="205" spans="1:67">
      <c r="A205" s="219" t="s">
        <v>823</v>
      </c>
      <c r="B205" s="106" t="s">
        <v>244</v>
      </c>
      <c r="C205" s="66" t="s">
        <v>175</v>
      </c>
      <c r="D205" s="284"/>
      <c r="E205" s="77" t="s">
        <v>253</v>
      </c>
      <c r="F205" s="282"/>
      <c r="G205" s="71" t="s">
        <v>202</v>
      </c>
      <c r="H205" s="70" t="s">
        <v>648</v>
      </c>
      <c r="I205" s="70" t="s">
        <v>184</v>
      </c>
      <c r="J205" s="71" t="s">
        <v>567</v>
      </c>
      <c r="K205" s="70" t="s">
        <v>250</v>
      </c>
      <c r="L205" s="69" t="s">
        <v>257</v>
      </c>
      <c r="M205" s="180" t="s">
        <v>608</v>
      </c>
      <c r="N205" s="144">
        <v>15.75</v>
      </c>
      <c r="O205" s="144">
        <v>15.75</v>
      </c>
      <c r="P205" s="144">
        <v>15.75</v>
      </c>
      <c r="Q205" s="144">
        <v>15.75</v>
      </c>
      <c r="R205" s="144">
        <v>15.75</v>
      </c>
      <c r="S205" s="144">
        <v>15.75</v>
      </c>
      <c r="T205" s="144">
        <v>15.75</v>
      </c>
      <c r="U205" s="144">
        <v>15.75</v>
      </c>
      <c r="V205" s="144">
        <v>15.75</v>
      </c>
      <c r="W205" s="144">
        <v>15.75</v>
      </c>
      <c r="X205" s="144">
        <v>15.75</v>
      </c>
      <c r="Y205" s="259">
        <v>15.75</v>
      </c>
      <c r="Z205" s="144">
        <v>0.46</v>
      </c>
      <c r="AA205" s="144">
        <v>0.46</v>
      </c>
      <c r="AB205" s="144">
        <v>0.46</v>
      </c>
      <c r="AC205" s="144">
        <v>0.46</v>
      </c>
      <c r="AD205" s="144">
        <v>0.46</v>
      </c>
      <c r="AE205" s="144">
        <v>0.46</v>
      </c>
      <c r="AF205" s="144">
        <v>0.46</v>
      </c>
      <c r="AG205" s="144">
        <v>0.46</v>
      </c>
      <c r="AH205" s="144">
        <v>0.46</v>
      </c>
      <c r="AI205" s="144">
        <v>0.46</v>
      </c>
      <c r="AJ205" s="144">
        <v>0.46</v>
      </c>
      <c r="AK205" s="259">
        <v>0.46</v>
      </c>
      <c r="AL205" s="105">
        <v>0</v>
      </c>
      <c r="AM205" s="118">
        <f t="shared" si="1"/>
        <v>0</v>
      </c>
      <c r="AN205" s="105">
        <v>0</v>
      </c>
      <c r="AO205" s="118">
        <f t="shared" si="35"/>
        <v>0</v>
      </c>
      <c r="AP205" s="105">
        <v>0</v>
      </c>
      <c r="AQ205" s="127">
        <f t="shared" si="3"/>
        <v>0</v>
      </c>
      <c r="AR205" s="5">
        <v>0</v>
      </c>
      <c r="AS205" s="118">
        <f t="shared" si="26"/>
        <v>0</v>
      </c>
      <c r="AT205" s="105">
        <v>0</v>
      </c>
      <c r="AU205" s="118">
        <f t="shared" si="27"/>
        <v>0</v>
      </c>
      <c r="AV205" s="105">
        <v>0</v>
      </c>
      <c r="AW205" s="127">
        <f t="shared" si="28"/>
        <v>0</v>
      </c>
      <c r="AX205" s="105">
        <v>0</v>
      </c>
      <c r="AY205" s="118">
        <f t="shared" si="29"/>
        <v>0</v>
      </c>
      <c r="AZ205" s="105">
        <v>0</v>
      </c>
      <c r="BA205" s="118">
        <f t="shared" si="30"/>
        <v>0</v>
      </c>
      <c r="BB205" s="5">
        <v>0</v>
      </c>
      <c r="BC205" s="127">
        <f t="shared" si="31"/>
        <v>0</v>
      </c>
      <c r="BD205" s="105">
        <v>0</v>
      </c>
      <c r="BE205" s="118">
        <f t="shared" si="32"/>
        <v>0</v>
      </c>
      <c r="BF205" s="5">
        <v>0</v>
      </c>
      <c r="BG205" s="118">
        <f t="shared" si="33"/>
        <v>0</v>
      </c>
      <c r="BH205" s="5">
        <v>0</v>
      </c>
      <c r="BI205" s="127">
        <f t="shared" si="34"/>
        <v>0</v>
      </c>
      <c r="BJ205" s="220" t="s">
        <v>649</v>
      </c>
      <c r="BL205" s="1" t="s">
        <v>578</v>
      </c>
      <c r="BM205" s="233" t="s">
        <v>702</v>
      </c>
      <c r="BN205" s="233"/>
      <c r="BO205" s="234"/>
    </row>
    <row r="206" spans="1:67">
      <c r="A206" s="219" t="s">
        <v>823</v>
      </c>
      <c r="B206" s="106" t="s">
        <v>244</v>
      </c>
      <c r="C206" s="66" t="s">
        <v>175</v>
      </c>
      <c r="D206" s="284"/>
      <c r="E206" s="77" t="s">
        <v>253</v>
      </c>
      <c r="F206" s="282"/>
      <c r="G206" s="71" t="s">
        <v>202</v>
      </c>
      <c r="H206" s="70" t="s">
        <v>648</v>
      </c>
      <c r="I206" s="70" t="s">
        <v>184</v>
      </c>
      <c r="J206" s="71" t="s">
        <v>567</v>
      </c>
      <c r="K206" s="70" t="s">
        <v>250</v>
      </c>
      <c r="L206" s="69" t="s">
        <v>257</v>
      </c>
      <c r="M206" s="180" t="s">
        <v>608</v>
      </c>
      <c r="N206" s="144">
        <v>15.75</v>
      </c>
      <c r="O206" s="144">
        <v>15.75</v>
      </c>
      <c r="P206" s="144">
        <v>15.75</v>
      </c>
      <c r="Q206" s="144">
        <v>15.75</v>
      </c>
      <c r="R206" s="144">
        <v>15.75</v>
      </c>
      <c r="S206" s="144">
        <v>15.75</v>
      </c>
      <c r="T206" s="144">
        <v>15.75</v>
      </c>
      <c r="U206" s="144">
        <v>15.75</v>
      </c>
      <c r="V206" s="144">
        <v>15.75</v>
      </c>
      <c r="W206" s="144">
        <v>15.75</v>
      </c>
      <c r="X206" s="144">
        <v>15.75</v>
      </c>
      <c r="Y206" s="259">
        <v>15.75</v>
      </c>
      <c r="Z206" s="144">
        <v>0.46</v>
      </c>
      <c r="AA206" s="144">
        <v>0.46</v>
      </c>
      <c r="AB206" s="144">
        <v>0.46</v>
      </c>
      <c r="AC206" s="144">
        <v>0.46</v>
      </c>
      <c r="AD206" s="144">
        <v>0.46</v>
      </c>
      <c r="AE206" s="144">
        <v>0.46</v>
      </c>
      <c r="AF206" s="144">
        <v>0.46</v>
      </c>
      <c r="AG206" s="144">
        <v>0.46</v>
      </c>
      <c r="AH206" s="144">
        <v>0.46</v>
      </c>
      <c r="AI206" s="144">
        <v>0.46</v>
      </c>
      <c r="AJ206" s="144">
        <v>0.46</v>
      </c>
      <c r="AK206" s="259">
        <v>0.46</v>
      </c>
      <c r="AL206" s="105">
        <v>0</v>
      </c>
      <c r="AM206" s="118">
        <f t="shared" si="1"/>
        <v>0</v>
      </c>
      <c r="AN206" s="105">
        <v>0</v>
      </c>
      <c r="AO206" s="118">
        <f t="shared" si="35"/>
        <v>0</v>
      </c>
      <c r="AP206" s="105">
        <v>0</v>
      </c>
      <c r="AQ206" s="127">
        <f t="shared" si="3"/>
        <v>0</v>
      </c>
      <c r="AR206" s="5">
        <v>0</v>
      </c>
      <c r="AS206" s="118">
        <f t="shared" si="26"/>
        <v>0</v>
      </c>
      <c r="AT206" s="105">
        <v>0</v>
      </c>
      <c r="AU206" s="118">
        <f t="shared" si="27"/>
        <v>0</v>
      </c>
      <c r="AV206" s="105">
        <v>0</v>
      </c>
      <c r="AW206" s="127">
        <f t="shared" si="28"/>
        <v>0</v>
      </c>
      <c r="AX206" s="105">
        <v>0</v>
      </c>
      <c r="AY206" s="118">
        <f t="shared" si="29"/>
        <v>0</v>
      </c>
      <c r="AZ206" s="105">
        <v>0</v>
      </c>
      <c r="BA206" s="118">
        <f t="shared" si="30"/>
        <v>0</v>
      </c>
      <c r="BB206" s="5">
        <v>0</v>
      </c>
      <c r="BC206" s="127">
        <f t="shared" si="31"/>
        <v>0</v>
      </c>
      <c r="BD206" s="105">
        <v>0</v>
      </c>
      <c r="BE206" s="118">
        <f t="shared" si="32"/>
        <v>0</v>
      </c>
      <c r="BF206" s="5">
        <v>0</v>
      </c>
      <c r="BG206" s="118">
        <f t="shared" si="33"/>
        <v>0</v>
      </c>
      <c r="BH206" s="5">
        <v>0</v>
      </c>
      <c r="BI206" s="127">
        <f t="shared" si="34"/>
        <v>0</v>
      </c>
      <c r="BJ206" s="220" t="s">
        <v>649</v>
      </c>
      <c r="BL206" s="1" t="s">
        <v>578</v>
      </c>
      <c r="BM206" s="233" t="s">
        <v>703</v>
      </c>
      <c r="BN206" s="233"/>
      <c r="BO206" s="234"/>
    </row>
    <row r="207" spans="1:67">
      <c r="A207" s="219" t="s">
        <v>823</v>
      </c>
      <c r="B207" s="106" t="s">
        <v>244</v>
      </c>
      <c r="C207" s="66" t="s">
        <v>175</v>
      </c>
      <c r="D207" s="284"/>
      <c r="E207" s="77" t="s">
        <v>253</v>
      </c>
      <c r="F207" s="282"/>
      <c r="G207" s="71" t="s">
        <v>202</v>
      </c>
      <c r="H207" s="70" t="s">
        <v>648</v>
      </c>
      <c r="I207" s="70" t="s">
        <v>184</v>
      </c>
      <c r="J207" s="71" t="s">
        <v>567</v>
      </c>
      <c r="K207" s="70" t="s">
        <v>250</v>
      </c>
      <c r="L207" s="69" t="s">
        <v>257</v>
      </c>
      <c r="M207" s="180" t="s">
        <v>608</v>
      </c>
      <c r="N207" s="144">
        <v>15.75</v>
      </c>
      <c r="O207" s="144">
        <v>15.75</v>
      </c>
      <c r="P207" s="144">
        <v>15.75</v>
      </c>
      <c r="Q207" s="144">
        <v>15.75</v>
      </c>
      <c r="R207" s="144">
        <v>15.75</v>
      </c>
      <c r="S207" s="144">
        <v>15.75</v>
      </c>
      <c r="T207" s="144">
        <v>15.75</v>
      </c>
      <c r="U207" s="144">
        <v>15.75</v>
      </c>
      <c r="V207" s="144">
        <v>15.75</v>
      </c>
      <c r="W207" s="144">
        <v>15.75</v>
      </c>
      <c r="X207" s="144">
        <v>15.75</v>
      </c>
      <c r="Y207" s="259">
        <v>15.75</v>
      </c>
      <c r="Z207" s="144">
        <v>0.46</v>
      </c>
      <c r="AA207" s="144">
        <v>0.46</v>
      </c>
      <c r="AB207" s="144">
        <v>0.46</v>
      </c>
      <c r="AC207" s="144">
        <v>0.46</v>
      </c>
      <c r="AD207" s="144">
        <v>0.46</v>
      </c>
      <c r="AE207" s="144">
        <v>0.46</v>
      </c>
      <c r="AF207" s="144">
        <v>0.46</v>
      </c>
      <c r="AG207" s="144">
        <v>0.46</v>
      </c>
      <c r="AH207" s="144">
        <v>0.46</v>
      </c>
      <c r="AI207" s="144">
        <v>0.46</v>
      </c>
      <c r="AJ207" s="144">
        <v>0.46</v>
      </c>
      <c r="AK207" s="259">
        <v>0.46</v>
      </c>
      <c r="AL207" s="105">
        <v>0</v>
      </c>
      <c r="AM207" s="118">
        <f t="shared" si="1"/>
        <v>0</v>
      </c>
      <c r="AN207" s="105">
        <v>0</v>
      </c>
      <c r="AO207" s="118">
        <f t="shared" si="35"/>
        <v>0</v>
      </c>
      <c r="AP207" s="105">
        <v>0</v>
      </c>
      <c r="AQ207" s="127">
        <f t="shared" si="3"/>
        <v>0</v>
      </c>
      <c r="AR207" s="5">
        <v>0</v>
      </c>
      <c r="AS207" s="118">
        <f t="shared" si="26"/>
        <v>0</v>
      </c>
      <c r="AT207" s="105">
        <v>0</v>
      </c>
      <c r="AU207" s="118">
        <f t="shared" si="27"/>
        <v>0</v>
      </c>
      <c r="AV207" s="105">
        <v>0</v>
      </c>
      <c r="AW207" s="127">
        <f t="shared" si="28"/>
        <v>0</v>
      </c>
      <c r="AX207" s="105">
        <v>0</v>
      </c>
      <c r="AY207" s="118">
        <f t="shared" si="29"/>
        <v>0</v>
      </c>
      <c r="AZ207" s="105">
        <v>0</v>
      </c>
      <c r="BA207" s="118">
        <f t="shared" si="30"/>
        <v>0</v>
      </c>
      <c r="BB207" s="5">
        <v>0</v>
      </c>
      <c r="BC207" s="127">
        <f t="shared" si="31"/>
        <v>0</v>
      </c>
      <c r="BD207" s="105">
        <v>0</v>
      </c>
      <c r="BE207" s="118">
        <f t="shared" si="32"/>
        <v>0</v>
      </c>
      <c r="BF207" s="5">
        <v>0</v>
      </c>
      <c r="BG207" s="118">
        <f t="shared" si="33"/>
        <v>0</v>
      </c>
      <c r="BH207" s="5">
        <v>0</v>
      </c>
      <c r="BI207" s="127">
        <f t="shared" si="34"/>
        <v>0</v>
      </c>
      <c r="BJ207" s="220" t="s">
        <v>649</v>
      </c>
      <c r="BL207" s="1" t="s">
        <v>578</v>
      </c>
      <c r="BM207" s="233" t="s">
        <v>704</v>
      </c>
      <c r="BN207" s="233"/>
      <c r="BO207" s="234"/>
    </row>
    <row r="208" spans="1:67">
      <c r="A208" s="219" t="s">
        <v>823</v>
      </c>
      <c r="B208" s="106" t="s">
        <v>244</v>
      </c>
      <c r="C208" s="66" t="s">
        <v>175</v>
      </c>
      <c r="D208" s="284"/>
      <c r="E208" s="77" t="s">
        <v>253</v>
      </c>
      <c r="F208" s="282"/>
      <c r="G208" s="71" t="s">
        <v>202</v>
      </c>
      <c r="H208" s="70" t="s">
        <v>648</v>
      </c>
      <c r="I208" s="70" t="s">
        <v>184</v>
      </c>
      <c r="J208" s="71" t="s">
        <v>567</v>
      </c>
      <c r="K208" s="70" t="s">
        <v>250</v>
      </c>
      <c r="L208" s="69" t="s">
        <v>257</v>
      </c>
      <c r="M208" s="180" t="s">
        <v>608</v>
      </c>
      <c r="N208" s="144">
        <v>15.75</v>
      </c>
      <c r="O208" s="144">
        <v>15.75</v>
      </c>
      <c r="P208" s="144">
        <v>15.75</v>
      </c>
      <c r="Q208" s="144">
        <v>15.75</v>
      </c>
      <c r="R208" s="144">
        <v>15.75</v>
      </c>
      <c r="S208" s="144">
        <v>15.75</v>
      </c>
      <c r="T208" s="144">
        <v>15.75</v>
      </c>
      <c r="U208" s="144">
        <v>15.75</v>
      </c>
      <c r="V208" s="144">
        <v>15.75</v>
      </c>
      <c r="W208" s="144">
        <v>15.75</v>
      </c>
      <c r="X208" s="144">
        <v>15.75</v>
      </c>
      <c r="Y208" s="259">
        <v>15.75</v>
      </c>
      <c r="Z208" s="144">
        <v>0.46</v>
      </c>
      <c r="AA208" s="144">
        <v>0.46</v>
      </c>
      <c r="AB208" s="144">
        <v>0.46</v>
      </c>
      <c r="AC208" s="144">
        <v>0.46</v>
      </c>
      <c r="AD208" s="144">
        <v>0.46</v>
      </c>
      <c r="AE208" s="144">
        <v>0.46</v>
      </c>
      <c r="AF208" s="144">
        <v>0.46</v>
      </c>
      <c r="AG208" s="144">
        <v>0.46</v>
      </c>
      <c r="AH208" s="144">
        <v>0.46</v>
      </c>
      <c r="AI208" s="144">
        <v>0.46</v>
      </c>
      <c r="AJ208" s="144">
        <v>0.46</v>
      </c>
      <c r="AK208" s="259">
        <v>0.46</v>
      </c>
      <c r="AL208" s="105">
        <v>0</v>
      </c>
      <c r="AM208" s="118">
        <f t="shared" si="1"/>
        <v>0</v>
      </c>
      <c r="AN208" s="105">
        <v>0</v>
      </c>
      <c r="AO208" s="118">
        <f t="shared" si="35"/>
        <v>0</v>
      </c>
      <c r="AP208" s="105">
        <v>0</v>
      </c>
      <c r="AQ208" s="127">
        <f t="shared" si="3"/>
        <v>0</v>
      </c>
      <c r="AR208" s="5">
        <v>0</v>
      </c>
      <c r="AS208" s="118">
        <f t="shared" si="26"/>
        <v>0</v>
      </c>
      <c r="AT208" s="105">
        <v>0</v>
      </c>
      <c r="AU208" s="118">
        <f t="shared" si="27"/>
        <v>0</v>
      </c>
      <c r="AV208" s="105">
        <v>0</v>
      </c>
      <c r="AW208" s="127">
        <f t="shared" si="28"/>
        <v>0</v>
      </c>
      <c r="AX208" s="105">
        <v>0</v>
      </c>
      <c r="AY208" s="118">
        <f t="shared" si="29"/>
        <v>0</v>
      </c>
      <c r="AZ208" s="105">
        <v>0</v>
      </c>
      <c r="BA208" s="118">
        <f t="shared" si="30"/>
        <v>0</v>
      </c>
      <c r="BB208" s="5">
        <v>0</v>
      </c>
      <c r="BC208" s="127">
        <f t="shared" si="31"/>
        <v>0</v>
      </c>
      <c r="BD208" s="105">
        <v>0</v>
      </c>
      <c r="BE208" s="118">
        <f t="shared" si="32"/>
        <v>0</v>
      </c>
      <c r="BF208" s="5">
        <v>0</v>
      </c>
      <c r="BG208" s="118">
        <f t="shared" si="33"/>
        <v>0</v>
      </c>
      <c r="BH208" s="5">
        <v>0</v>
      </c>
      <c r="BI208" s="127">
        <f t="shared" si="34"/>
        <v>0</v>
      </c>
      <c r="BJ208" s="220" t="s">
        <v>649</v>
      </c>
      <c r="BL208" s="1" t="s">
        <v>578</v>
      </c>
      <c r="BM208" s="233" t="s">
        <v>705</v>
      </c>
      <c r="BN208" s="233"/>
      <c r="BO208" s="234"/>
    </row>
    <row r="209" spans="1:67">
      <c r="A209" s="219" t="s">
        <v>823</v>
      </c>
      <c r="B209" s="106" t="s">
        <v>244</v>
      </c>
      <c r="C209" s="66" t="s">
        <v>175</v>
      </c>
      <c r="D209" s="284"/>
      <c r="E209" s="77" t="s">
        <v>253</v>
      </c>
      <c r="F209" s="282"/>
      <c r="G209" s="71" t="s">
        <v>202</v>
      </c>
      <c r="H209" s="70" t="s">
        <v>648</v>
      </c>
      <c r="I209" s="70" t="s">
        <v>184</v>
      </c>
      <c r="J209" s="71" t="s">
        <v>567</v>
      </c>
      <c r="K209" s="70" t="s">
        <v>250</v>
      </c>
      <c r="L209" s="69" t="s">
        <v>257</v>
      </c>
      <c r="M209" s="180" t="s">
        <v>608</v>
      </c>
      <c r="N209" s="144">
        <v>15.75</v>
      </c>
      <c r="O209" s="144">
        <v>15.75</v>
      </c>
      <c r="P209" s="144">
        <v>15.75</v>
      </c>
      <c r="Q209" s="144">
        <v>15.75</v>
      </c>
      <c r="R209" s="144">
        <v>15.75</v>
      </c>
      <c r="S209" s="144">
        <v>15.75</v>
      </c>
      <c r="T209" s="144">
        <v>15.75</v>
      </c>
      <c r="U209" s="144">
        <v>15.75</v>
      </c>
      <c r="V209" s="144">
        <v>15.75</v>
      </c>
      <c r="W209" s="144">
        <v>15.75</v>
      </c>
      <c r="X209" s="144">
        <v>15.75</v>
      </c>
      <c r="Y209" s="259">
        <v>15.75</v>
      </c>
      <c r="Z209" s="144">
        <v>0.46</v>
      </c>
      <c r="AA209" s="144">
        <v>0.46</v>
      </c>
      <c r="AB209" s="144">
        <v>0.46</v>
      </c>
      <c r="AC209" s="144">
        <v>0.46</v>
      </c>
      <c r="AD209" s="144">
        <v>0.46</v>
      </c>
      <c r="AE209" s="144">
        <v>0.46</v>
      </c>
      <c r="AF209" s="144">
        <v>0.46</v>
      </c>
      <c r="AG209" s="144">
        <v>0.46</v>
      </c>
      <c r="AH209" s="144">
        <v>0.46</v>
      </c>
      <c r="AI209" s="144">
        <v>0.46</v>
      </c>
      <c r="AJ209" s="144">
        <v>0.46</v>
      </c>
      <c r="AK209" s="259">
        <v>0.46</v>
      </c>
      <c r="AL209" s="105">
        <v>0</v>
      </c>
      <c r="AM209" s="118">
        <f t="shared" si="1"/>
        <v>0</v>
      </c>
      <c r="AN209" s="105">
        <v>0</v>
      </c>
      <c r="AO209" s="118">
        <f t="shared" si="35"/>
        <v>0</v>
      </c>
      <c r="AP209" s="105">
        <v>0</v>
      </c>
      <c r="AQ209" s="127">
        <f t="shared" si="3"/>
        <v>0</v>
      </c>
      <c r="AR209" s="5">
        <v>0</v>
      </c>
      <c r="AS209" s="118">
        <f t="shared" si="26"/>
        <v>0</v>
      </c>
      <c r="AT209" s="105">
        <v>0</v>
      </c>
      <c r="AU209" s="118">
        <f t="shared" si="27"/>
        <v>0</v>
      </c>
      <c r="AV209" s="105">
        <v>0</v>
      </c>
      <c r="AW209" s="127">
        <f t="shared" si="28"/>
        <v>0</v>
      </c>
      <c r="AX209" s="105">
        <v>0</v>
      </c>
      <c r="AY209" s="118">
        <f t="shared" si="29"/>
        <v>0</v>
      </c>
      <c r="AZ209" s="105">
        <v>0</v>
      </c>
      <c r="BA209" s="118">
        <f t="shared" si="30"/>
        <v>0</v>
      </c>
      <c r="BB209" s="5">
        <v>0</v>
      </c>
      <c r="BC209" s="127">
        <f t="shared" si="31"/>
        <v>0</v>
      </c>
      <c r="BD209" s="105">
        <v>0</v>
      </c>
      <c r="BE209" s="118">
        <f t="shared" si="32"/>
        <v>0</v>
      </c>
      <c r="BF209" s="5">
        <v>0</v>
      </c>
      <c r="BG209" s="118">
        <f t="shared" si="33"/>
        <v>0</v>
      </c>
      <c r="BH209" s="5">
        <v>0</v>
      </c>
      <c r="BI209" s="127">
        <f t="shared" si="34"/>
        <v>0</v>
      </c>
      <c r="BJ209" s="220" t="s">
        <v>649</v>
      </c>
      <c r="BL209" s="1" t="s">
        <v>578</v>
      </c>
      <c r="BM209" s="233" t="s">
        <v>706</v>
      </c>
      <c r="BN209" s="233"/>
      <c r="BO209" s="234"/>
    </row>
    <row r="210" spans="1:67">
      <c r="A210" s="219" t="s">
        <v>823</v>
      </c>
      <c r="B210" s="106" t="s">
        <v>244</v>
      </c>
      <c r="C210" s="66" t="s">
        <v>175</v>
      </c>
      <c r="D210" s="284"/>
      <c r="E210" s="77" t="s">
        <v>253</v>
      </c>
      <c r="F210" s="282"/>
      <c r="G210" s="71" t="s">
        <v>202</v>
      </c>
      <c r="H210" s="70" t="s">
        <v>648</v>
      </c>
      <c r="I210" s="70" t="s">
        <v>184</v>
      </c>
      <c r="J210" s="71" t="s">
        <v>567</v>
      </c>
      <c r="K210" s="70" t="s">
        <v>250</v>
      </c>
      <c r="L210" s="69" t="s">
        <v>257</v>
      </c>
      <c r="M210" s="180" t="s">
        <v>608</v>
      </c>
      <c r="N210" s="144">
        <v>15.75</v>
      </c>
      <c r="O210" s="144">
        <v>15.75</v>
      </c>
      <c r="P210" s="144">
        <v>15.75</v>
      </c>
      <c r="Q210" s="144">
        <v>15.75</v>
      </c>
      <c r="R210" s="144">
        <v>15.75</v>
      </c>
      <c r="S210" s="144">
        <v>15.75</v>
      </c>
      <c r="T210" s="144">
        <v>15.75</v>
      </c>
      <c r="U210" s="144">
        <v>15.75</v>
      </c>
      <c r="V210" s="144">
        <v>15.75</v>
      </c>
      <c r="W210" s="144">
        <v>15.75</v>
      </c>
      <c r="X210" s="144">
        <v>15.75</v>
      </c>
      <c r="Y210" s="259">
        <v>15.75</v>
      </c>
      <c r="Z210" s="144">
        <v>0.46</v>
      </c>
      <c r="AA210" s="144">
        <v>0.46</v>
      </c>
      <c r="AB210" s="144">
        <v>0.46</v>
      </c>
      <c r="AC210" s="144">
        <v>0.46</v>
      </c>
      <c r="AD210" s="144">
        <v>0.46</v>
      </c>
      <c r="AE210" s="144">
        <v>0.46</v>
      </c>
      <c r="AF210" s="144">
        <v>0.46</v>
      </c>
      <c r="AG210" s="144">
        <v>0.46</v>
      </c>
      <c r="AH210" s="144">
        <v>0.46</v>
      </c>
      <c r="AI210" s="144">
        <v>0.46</v>
      </c>
      <c r="AJ210" s="144">
        <v>0.46</v>
      </c>
      <c r="AK210" s="259">
        <v>0.46</v>
      </c>
      <c r="AL210" s="105">
        <v>0</v>
      </c>
      <c r="AM210" s="118">
        <f t="shared" si="1"/>
        <v>0</v>
      </c>
      <c r="AN210" s="105">
        <v>0</v>
      </c>
      <c r="AO210" s="118">
        <f t="shared" si="35"/>
        <v>0</v>
      </c>
      <c r="AP210" s="105">
        <v>0</v>
      </c>
      <c r="AQ210" s="127">
        <f t="shared" si="3"/>
        <v>0</v>
      </c>
      <c r="AR210" s="5">
        <v>0</v>
      </c>
      <c r="AS210" s="118">
        <f t="shared" si="26"/>
        <v>0</v>
      </c>
      <c r="AT210" s="105">
        <v>0</v>
      </c>
      <c r="AU210" s="118">
        <f t="shared" si="27"/>
        <v>0</v>
      </c>
      <c r="AV210" s="105">
        <v>0</v>
      </c>
      <c r="AW210" s="127">
        <f t="shared" si="28"/>
        <v>0</v>
      </c>
      <c r="AX210" s="105">
        <v>0</v>
      </c>
      <c r="AY210" s="118">
        <f t="shared" si="29"/>
        <v>0</v>
      </c>
      <c r="AZ210" s="105">
        <v>0</v>
      </c>
      <c r="BA210" s="118">
        <f t="shared" si="30"/>
        <v>0</v>
      </c>
      <c r="BB210" s="5">
        <v>0</v>
      </c>
      <c r="BC210" s="127">
        <f t="shared" si="31"/>
        <v>0</v>
      </c>
      <c r="BD210" s="105">
        <v>0</v>
      </c>
      <c r="BE210" s="118">
        <f t="shared" si="32"/>
        <v>0</v>
      </c>
      <c r="BF210" s="5">
        <v>0</v>
      </c>
      <c r="BG210" s="118">
        <f t="shared" si="33"/>
        <v>0</v>
      </c>
      <c r="BH210" s="5">
        <v>0</v>
      </c>
      <c r="BI210" s="127">
        <f t="shared" si="34"/>
        <v>0</v>
      </c>
      <c r="BJ210" s="220" t="s">
        <v>649</v>
      </c>
      <c r="BL210" s="1" t="s">
        <v>578</v>
      </c>
      <c r="BM210" s="233" t="s">
        <v>707</v>
      </c>
      <c r="BN210" s="233"/>
      <c r="BO210" s="234"/>
    </row>
    <row r="211" spans="1:67">
      <c r="A211" s="219" t="s">
        <v>823</v>
      </c>
      <c r="B211" s="106" t="s">
        <v>244</v>
      </c>
      <c r="C211" s="66" t="s">
        <v>175</v>
      </c>
      <c r="D211" s="284"/>
      <c r="E211" s="77" t="s">
        <v>253</v>
      </c>
      <c r="F211" s="282"/>
      <c r="G211" s="71" t="s">
        <v>202</v>
      </c>
      <c r="H211" s="70" t="s">
        <v>648</v>
      </c>
      <c r="I211" s="70" t="s">
        <v>184</v>
      </c>
      <c r="J211" s="71" t="s">
        <v>567</v>
      </c>
      <c r="K211" s="70" t="s">
        <v>250</v>
      </c>
      <c r="L211" s="69" t="s">
        <v>257</v>
      </c>
      <c r="M211" s="180" t="s">
        <v>608</v>
      </c>
      <c r="N211" s="144">
        <v>15.75</v>
      </c>
      <c r="O211" s="144">
        <v>15.75</v>
      </c>
      <c r="P211" s="144">
        <v>15.75</v>
      </c>
      <c r="Q211" s="144">
        <v>15.75</v>
      </c>
      <c r="R211" s="144">
        <v>15.75</v>
      </c>
      <c r="S211" s="144">
        <v>15.75</v>
      </c>
      <c r="T211" s="144">
        <v>15.75</v>
      </c>
      <c r="U211" s="144">
        <v>15.75</v>
      </c>
      <c r="V211" s="144">
        <v>15.75</v>
      </c>
      <c r="W211" s="144">
        <v>15.75</v>
      </c>
      <c r="X211" s="144">
        <v>15.75</v>
      </c>
      <c r="Y211" s="259">
        <v>15.75</v>
      </c>
      <c r="Z211" s="144">
        <v>0.46</v>
      </c>
      <c r="AA211" s="144">
        <v>0.46</v>
      </c>
      <c r="AB211" s="144">
        <v>0.46</v>
      </c>
      <c r="AC211" s="144">
        <v>0.46</v>
      </c>
      <c r="AD211" s="144">
        <v>0.46</v>
      </c>
      <c r="AE211" s="144">
        <v>0.46</v>
      </c>
      <c r="AF211" s="144">
        <v>0.46</v>
      </c>
      <c r="AG211" s="144">
        <v>0.46</v>
      </c>
      <c r="AH211" s="144">
        <v>0.46</v>
      </c>
      <c r="AI211" s="144">
        <v>0.46</v>
      </c>
      <c r="AJ211" s="144">
        <v>0.46</v>
      </c>
      <c r="AK211" s="259">
        <v>0.46</v>
      </c>
      <c r="AL211" s="105">
        <v>0</v>
      </c>
      <c r="AM211" s="118">
        <f t="shared" si="1"/>
        <v>0</v>
      </c>
      <c r="AN211" s="105">
        <v>0</v>
      </c>
      <c r="AO211" s="118">
        <f t="shared" si="35"/>
        <v>0</v>
      </c>
      <c r="AP211" s="105">
        <v>0</v>
      </c>
      <c r="AQ211" s="127">
        <f t="shared" ref="AQ211:AQ217" si="36">AB211*AP211</f>
        <v>0</v>
      </c>
      <c r="AR211" s="5">
        <v>0</v>
      </c>
      <c r="AS211" s="118">
        <f t="shared" si="26"/>
        <v>0</v>
      </c>
      <c r="AT211" s="105">
        <v>0</v>
      </c>
      <c r="AU211" s="118">
        <f t="shared" si="27"/>
        <v>0</v>
      </c>
      <c r="AV211" s="105">
        <v>0</v>
      </c>
      <c r="AW211" s="127">
        <f t="shared" si="28"/>
        <v>0</v>
      </c>
      <c r="AX211" s="105">
        <v>0</v>
      </c>
      <c r="AY211" s="118">
        <f t="shared" si="29"/>
        <v>0</v>
      </c>
      <c r="AZ211" s="105">
        <v>0</v>
      </c>
      <c r="BA211" s="118">
        <f t="shared" si="30"/>
        <v>0</v>
      </c>
      <c r="BB211" s="5">
        <v>0</v>
      </c>
      <c r="BC211" s="127">
        <f t="shared" si="31"/>
        <v>0</v>
      </c>
      <c r="BD211" s="105">
        <v>0</v>
      </c>
      <c r="BE211" s="118">
        <f t="shared" si="32"/>
        <v>0</v>
      </c>
      <c r="BF211" s="5">
        <v>0</v>
      </c>
      <c r="BG211" s="118">
        <f t="shared" si="33"/>
        <v>0</v>
      </c>
      <c r="BH211" s="5">
        <v>0</v>
      </c>
      <c r="BI211" s="127">
        <f t="shared" si="34"/>
        <v>0</v>
      </c>
      <c r="BJ211" s="220" t="s">
        <v>649</v>
      </c>
      <c r="BL211" s="1" t="s">
        <v>578</v>
      </c>
      <c r="BM211" s="233" t="s">
        <v>708</v>
      </c>
      <c r="BN211" s="233"/>
      <c r="BO211" s="234"/>
    </row>
    <row r="212" spans="1:67">
      <c r="A212" s="219" t="s">
        <v>823</v>
      </c>
      <c r="B212" s="106" t="s">
        <v>244</v>
      </c>
      <c r="C212" s="66" t="s">
        <v>175</v>
      </c>
      <c r="D212" s="284"/>
      <c r="E212" s="77" t="s">
        <v>253</v>
      </c>
      <c r="F212" s="282"/>
      <c r="G212" s="71" t="s">
        <v>202</v>
      </c>
      <c r="H212" s="70" t="s">
        <v>648</v>
      </c>
      <c r="I212" s="70" t="s">
        <v>184</v>
      </c>
      <c r="J212" s="71" t="s">
        <v>567</v>
      </c>
      <c r="K212" s="70" t="s">
        <v>250</v>
      </c>
      <c r="L212" s="69" t="s">
        <v>257</v>
      </c>
      <c r="M212" s="180" t="s">
        <v>608</v>
      </c>
      <c r="N212" s="144">
        <v>15.75</v>
      </c>
      <c r="O212" s="144">
        <v>15.75</v>
      </c>
      <c r="P212" s="144">
        <v>15.75</v>
      </c>
      <c r="Q212" s="144">
        <v>15.75</v>
      </c>
      <c r="R212" s="144">
        <v>15.75</v>
      </c>
      <c r="S212" s="144">
        <v>15.75</v>
      </c>
      <c r="T212" s="144">
        <v>15.75</v>
      </c>
      <c r="U212" s="144">
        <v>15.75</v>
      </c>
      <c r="V212" s="144">
        <v>15.75</v>
      </c>
      <c r="W212" s="144">
        <v>15.75</v>
      </c>
      <c r="X212" s="144">
        <v>15.75</v>
      </c>
      <c r="Y212" s="259">
        <v>15.75</v>
      </c>
      <c r="Z212" s="144">
        <v>0.46</v>
      </c>
      <c r="AA212" s="144">
        <v>0.46</v>
      </c>
      <c r="AB212" s="144">
        <v>0.46</v>
      </c>
      <c r="AC212" s="144">
        <v>0.46</v>
      </c>
      <c r="AD212" s="144">
        <v>0.46</v>
      </c>
      <c r="AE212" s="144">
        <v>0.46</v>
      </c>
      <c r="AF212" s="144">
        <v>0.46</v>
      </c>
      <c r="AG212" s="144">
        <v>0.46</v>
      </c>
      <c r="AH212" s="144">
        <v>0.46</v>
      </c>
      <c r="AI212" s="144">
        <v>0.46</v>
      </c>
      <c r="AJ212" s="144">
        <v>0.46</v>
      </c>
      <c r="AK212" s="259">
        <v>0.46</v>
      </c>
      <c r="AL212" s="105">
        <v>0</v>
      </c>
      <c r="AM212" s="118">
        <f t="shared" si="1"/>
        <v>0</v>
      </c>
      <c r="AN212" s="105">
        <v>0</v>
      </c>
      <c r="AO212" s="118">
        <f t="shared" si="35"/>
        <v>0</v>
      </c>
      <c r="AP212" s="105">
        <v>0</v>
      </c>
      <c r="AQ212" s="127">
        <f t="shared" si="36"/>
        <v>0</v>
      </c>
      <c r="AR212" s="5">
        <v>0</v>
      </c>
      <c r="AS212" s="118">
        <f t="shared" si="26"/>
        <v>0</v>
      </c>
      <c r="AT212" s="105">
        <v>0</v>
      </c>
      <c r="AU212" s="118">
        <f t="shared" si="27"/>
        <v>0</v>
      </c>
      <c r="AV212" s="105">
        <v>0</v>
      </c>
      <c r="AW212" s="127">
        <f t="shared" si="28"/>
        <v>0</v>
      </c>
      <c r="AX212" s="105">
        <v>0</v>
      </c>
      <c r="AY212" s="118">
        <f t="shared" si="29"/>
        <v>0</v>
      </c>
      <c r="AZ212" s="105">
        <v>0</v>
      </c>
      <c r="BA212" s="118">
        <f t="shared" si="30"/>
        <v>0</v>
      </c>
      <c r="BB212" s="5">
        <v>0</v>
      </c>
      <c r="BC212" s="127">
        <f t="shared" si="31"/>
        <v>0</v>
      </c>
      <c r="BD212" s="105">
        <v>0</v>
      </c>
      <c r="BE212" s="118">
        <f t="shared" si="32"/>
        <v>0</v>
      </c>
      <c r="BF212" s="5">
        <v>0</v>
      </c>
      <c r="BG212" s="118">
        <f t="shared" si="33"/>
        <v>0</v>
      </c>
      <c r="BH212" s="5">
        <v>0</v>
      </c>
      <c r="BI212" s="127">
        <f t="shared" si="34"/>
        <v>0</v>
      </c>
      <c r="BJ212" s="220" t="s">
        <v>649</v>
      </c>
      <c r="BL212" s="1" t="s">
        <v>578</v>
      </c>
      <c r="BM212" s="233" t="s">
        <v>709</v>
      </c>
      <c r="BN212" s="233"/>
      <c r="BO212" s="234"/>
    </row>
    <row r="213" spans="1:67">
      <c r="A213" s="219" t="s">
        <v>823</v>
      </c>
      <c r="B213" s="106" t="s">
        <v>244</v>
      </c>
      <c r="C213" s="66" t="s">
        <v>175</v>
      </c>
      <c r="D213" s="284"/>
      <c r="E213" s="77" t="s">
        <v>253</v>
      </c>
      <c r="F213" s="282"/>
      <c r="G213" s="71" t="s">
        <v>202</v>
      </c>
      <c r="H213" s="70" t="s">
        <v>648</v>
      </c>
      <c r="I213" s="70" t="s">
        <v>184</v>
      </c>
      <c r="J213" s="71" t="s">
        <v>567</v>
      </c>
      <c r="K213" s="70" t="s">
        <v>250</v>
      </c>
      <c r="L213" s="69" t="s">
        <v>257</v>
      </c>
      <c r="M213" s="180" t="s">
        <v>608</v>
      </c>
      <c r="N213" s="144">
        <v>15.75</v>
      </c>
      <c r="O213" s="144">
        <v>15.75</v>
      </c>
      <c r="P213" s="144">
        <v>15.75</v>
      </c>
      <c r="Q213" s="144">
        <v>15.75</v>
      </c>
      <c r="R213" s="144">
        <v>15.75</v>
      </c>
      <c r="S213" s="144">
        <v>15.75</v>
      </c>
      <c r="T213" s="144">
        <v>15.75</v>
      </c>
      <c r="U213" s="144">
        <v>15.75</v>
      </c>
      <c r="V213" s="144">
        <v>15.75</v>
      </c>
      <c r="W213" s="144">
        <v>15.75</v>
      </c>
      <c r="X213" s="144">
        <v>15.75</v>
      </c>
      <c r="Y213" s="259">
        <v>15.75</v>
      </c>
      <c r="Z213" s="144">
        <v>0.46</v>
      </c>
      <c r="AA213" s="144">
        <v>0.46</v>
      </c>
      <c r="AB213" s="144">
        <v>0.46</v>
      </c>
      <c r="AC213" s="144">
        <v>0.46</v>
      </c>
      <c r="AD213" s="144">
        <v>0.46</v>
      </c>
      <c r="AE213" s="144">
        <v>0.46</v>
      </c>
      <c r="AF213" s="144">
        <v>0.46</v>
      </c>
      <c r="AG213" s="144">
        <v>0.46</v>
      </c>
      <c r="AH213" s="144">
        <v>0.46</v>
      </c>
      <c r="AI213" s="144">
        <v>0.46</v>
      </c>
      <c r="AJ213" s="144">
        <v>0.46</v>
      </c>
      <c r="AK213" s="259">
        <v>0.46</v>
      </c>
      <c r="AL213" s="105">
        <v>0</v>
      </c>
      <c r="AM213" s="118">
        <f t="shared" si="1"/>
        <v>0</v>
      </c>
      <c r="AN213" s="105">
        <v>0</v>
      </c>
      <c r="AO213" s="118">
        <f t="shared" si="35"/>
        <v>0</v>
      </c>
      <c r="AP213" s="105">
        <v>0</v>
      </c>
      <c r="AQ213" s="127">
        <f t="shared" si="36"/>
        <v>0</v>
      </c>
      <c r="AR213" s="5">
        <v>0</v>
      </c>
      <c r="AS213" s="118">
        <f t="shared" si="26"/>
        <v>0</v>
      </c>
      <c r="AT213" s="105">
        <v>0</v>
      </c>
      <c r="AU213" s="118">
        <f t="shared" si="27"/>
        <v>0</v>
      </c>
      <c r="AV213" s="105">
        <v>0</v>
      </c>
      <c r="AW213" s="127">
        <f t="shared" si="28"/>
        <v>0</v>
      </c>
      <c r="AX213" s="105">
        <v>0</v>
      </c>
      <c r="AY213" s="118">
        <f t="shared" si="29"/>
        <v>0</v>
      </c>
      <c r="AZ213" s="105">
        <v>0</v>
      </c>
      <c r="BA213" s="118">
        <f t="shared" si="30"/>
        <v>0</v>
      </c>
      <c r="BB213" s="5">
        <v>0</v>
      </c>
      <c r="BC213" s="127">
        <f t="shared" si="31"/>
        <v>0</v>
      </c>
      <c r="BD213" s="105">
        <v>0</v>
      </c>
      <c r="BE213" s="118">
        <f t="shared" si="32"/>
        <v>0</v>
      </c>
      <c r="BF213" s="5">
        <v>0</v>
      </c>
      <c r="BG213" s="118">
        <f t="shared" si="33"/>
        <v>0</v>
      </c>
      <c r="BH213" s="5">
        <v>0</v>
      </c>
      <c r="BI213" s="127">
        <f t="shared" si="34"/>
        <v>0</v>
      </c>
      <c r="BJ213" s="220" t="s">
        <v>649</v>
      </c>
      <c r="BL213" s="1" t="s">
        <v>578</v>
      </c>
      <c r="BM213" s="233" t="s">
        <v>710</v>
      </c>
      <c r="BN213" s="233"/>
      <c r="BO213" s="234"/>
    </row>
    <row r="214" spans="1:67">
      <c r="A214" s="219" t="s">
        <v>823</v>
      </c>
      <c r="B214" s="106" t="s">
        <v>244</v>
      </c>
      <c r="C214" s="66" t="s">
        <v>175</v>
      </c>
      <c r="D214" s="284"/>
      <c r="E214" s="77" t="s">
        <v>253</v>
      </c>
      <c r="F214" s="282"/>
      <c r="G214" s="71" t="s">
        <v>202</v>
      </c>
      <c r="H214" s="70" t="s">
        <v>648</v>
      </c>
      <c r="I214" s="70" t="s">
        <v>184</v>
      </c>
      <c r="J214" s="71" t="s">
        <v>567</v>
      </c>
      <c r="K214" s="70" t="s">
        <v>250</v>
      </c>
      <c r="L214" s="69" t="s">
        <v>257</v>
      </c>
      <c r="M214" s="180" t="s">
        <v>608</v>
      </c>
      <c r="N214" s="144">
        <v>15.75</v>
      </c>
      <c r="O214" s="144">
        <v>15.75</v>
      </c>
      <c r="P214" s="144">
        <v>15.75</v>
      </c>
      <c r="Q214" s="144">
        <v>15.75</v>
      </c>
      <c r="R214" s="144">
        <v>15.75</v>
      </c>
      <c r="S214" s="144">
        <v>15.75</v>
      </c>
      <c r="T214" s="144">
        <v>15.75</v>
      </c>
      <c r="U214" s="144">
        <v>15.75</v>
      </c>
      <c r="V214" s="144">
        <v>15.75</v>
      </c>
      <c r="W214" s="144">
        <v>15.75</v>
      </c>
      <c r="X214" s="144">
        <v>15.75</v>
      </c>
      <c r="Y214" s="259">
        <v>15.75</v>
      </c>
      <c r="Z214" s="144">
        <v>0.46</v>
      </c>
      <c r="AA214" s="144">
        <v>0.46</v>
      </c>
      <c r="AB214" s="144">
        <v>0.46</v>
      </c>
      <c r="AC214" s="144">
        <v>0.46</v>
      </c>
      <c r="AD214" s="144">
        <v>0.46</v>
      </c>
      <c r="AE214" s="144">
        <v>0.46</v>
      </c>
      <c r="AF214" s="144">
        <v>0.46</v>
      </c>
      <c r="AG214" s="144">
        <v>0.46</v>
      </c>
      <c r="AH214" s="144">
        <v>0.46</v>
      </c>
      <c r="AI214" s="144">
        <v>0.46</v>
      </c>
      <c r="AJ214" s="144">
        <v>0.46</v>
      </c>
      <c r="AK214" s="259">
        <v>0.46</v>
      </c>
      <c r="AL214" s="105">
        <v>0</v>
      </c>
      <c r="AM214" s="118">
        <f t="shared" si="1"/>
        <v>0</v>
      </c>
      <c r="AN214" s="105">
        <v>0</v>
      </c>
      <c r="AO214" s="118">
        <f t="shared" si="35"/>
        <v>0</v>
      </c>
      <c r="AP214" s="105">
        <v>0</v>
      </c>
      <c r="AQ214" s="127">
        <f t="shared" si="36"/>
        <v>0</v>
      </c>
      <c r="AR214" s="5">
        <v>0</v>
      </c>
      <c r="AS214" s="118">
        <f t="shared" si="26"/>
        <v>0</v>
      </c>
      <c r="AT214" s="105">
        <v>0</v>
      </c>
      <c r="AU214" s="118">
        <f t="shared" si="27"/>
        <v>0</v>
      </c>
      <c r="AV214" s="105">
        <v>0</v>
      </c>
      <c r="AW214" s="127">
        <f t="shared" si="28"/>
        <v>0</v>
      </c>
      <c r="AX214" s="105">
        <v>0</v>
      </c>
      <c r="AY214" s="118">
        <f t="shared" si="29"/>
        <v>0</v>
      </c>
      <c r="AZ214" s="105">
        <v>0</v>
      </c>
      <c r="BA214" s="118">
        <f t="shared" si="30"/>
        <v>0</v>
      </c>
      <c r="BB214" s="5">
        <v>0</v>
      </c>
      <c r="BC214" s="127">
        <f t="shared" si="31"/>
        <v>0</v>
      </c>
      <c r="BD214" s="105">
        <v>0</v>
      </c>
      <c r="BE214" s="118">
        <f t="shared" si="32"/>
        <v>0</v>
      </c>
      <c r="BF214" s="5">
        <v>0</v>
      </c>
      <c r="BG214" s="118">
        <f t="shared" si="33"/>
        <v>0</v>
      </c>
      <c r="BH214" s="5">
        <v>0</v>
      </c>
      <c r="BI214" s="127">
        <f t="shared" si="34"/>
        <v>0</v>
      </c>
      <c r="BJ214" s="220" t="s">
        <v>649</v>
      </c>
      <c r="BL214" s="1" t="s">
        <v>578</v>
      </c>
      <c r="BM214" s="233" t="s">
        <v>711</v>
      </c>
      <c r="BN214" s="233"/>
      <c r="BO214" s="234"/>
    </row>
    <row r="215" spans="1:67">
      <c r="A215" s="219" t="s">
        <v>823</v>
      </c>
      <c r="B215" s="106" t="s">
        <v>244</v>
      </c>
      <c r="C215" s="66" t="s">
        <v>175</v>
      </c>
      <c r="D215" s="284"/>
      <c r="E215" s="77" t="s">
        <v>253</v>
      </c>
      <c r="F215" s="282"/>
      <c r="G215" s="71" t="s">
        <v>202</v>
      </c>
      <c r="H215" s="70" t="s">
        <v>648</v>
      </c>
      <c r="I215" s="70" t="s">
        <v>184</v>
      </c>
      <c r="J215" s="71" t="s">
        <v>567</v>
      </c>
      <c r="K215" s="70" t="s">
        <v>250</v>
      </c>
      <c r="L215" s="69" t="s">
        <v>257</v>
      </c>
      <c r="M215" s="180" t="s">
        <v>608</v>
      </c>
      <c r="N215" s="144">
        <v>15.75</v>
      </c>
      <c r="O215" s="144">
        <v>15.75</v>
      </c>
      <c r="P215" s="144">
        <v>15.75</v>
      </c>
      <c r="Q215" s="144">
        <v>15.75</v>
      </c>
      <c r="R215" s="144">
        <v>15.75</v>
      </c>
      <c r="S215" s="144">
        <v>15.75</v>
      </c>
      <c r="T215" s="144">
        <v>15.75</v>
      </c>
      <c r="U215" s="144">
        <v>15.75</v>
      </c>
      <c r="V215" s="144">
        <v>15.75</v>
      </c>
      <c r="W215" s="144">
        <v>15.75</v>
      </c>
      <c r="X215" s="144">
        <v>15.75</v>
      </c>
      <c r="Y215" s="259">
        <v>15.75</v>
      </c>
      <c r="Z215" s="144">
        <v>0.46</v>
      </c>
      <c r="AA215" s="144">
        <v>0.46</v>
      </c>
      <c r="AB215" s="144">
        <v>0.46</v>
      </c>
      <c r="AC215" s="144">
        <v>0.46</v>
      </c>
      <c r="AD215" s="144">
        <v>0.46</v>
      </c>
      <c r="AE215" s="144">
        <v>0.46</v>
      </c>
      <c r="AF215" s="144">
        <v>0.46</v>
      </c>
      <c r="AG215" s="144">
        <v>0.46</v>
      </c>
      <c r="AH215" s="144">
        <v>0.46</v>
      </c>
      <c r="AI215" s="144">
        <v>0.46</v>
      </c>
      <c r="AJ215" s="144">
        <v>0.46</v>
      </c>
      <c r="AK215" s="259">
        <v>0.46</v>
      </c>
      <c r="AL215" s="105">
        <v>0</v>
      </c>
      <c r="AM215" s="118">
        <f t="shared" si="1"/>
        <v>0</v>
      </c>
      <c r="AN215" s="105">
        <v>0</v>
      </c>
      <c r="AO215" s="118">
        <f t="shared" si="35"/>
        <v>0</v>
      </c>
      <c r="AP215" s="105">
        <v>0</v>
      </c>
      <c r="AQ215" s="127">
        <f t="shared" si="36"/>
        <v>0</v>
      </c>
      <c r="AR215" s="5">
        <v>0</v>
      </c>
      <c r="AS215" s="118">
        <f t="shared" si="26"/>
        <v>0</v>
      </c>
      <c r="AT215" s="105">
        <v>0</v>
      </c>
      <c r="AU215" s="118">
        <f t="shared" si="27"/>
        <v>0</v>
      </c>
      <c r="AV215" s="105">
        <v>0</v>
      </c>
      <c r="AW215" s="127">
        <f t="shared" si="28"/>
        <v>0</v>
      </c>
      <c r="AX215" s="105">
        <v>0</v>
      </c>
      <c r="AY215" s="118">
        <f t="shared" si="29"/>
        <v>0</v>
      </c>
      <c r="AZ215" s="105">
        <v>0</v>
      </c>
      <c r="BA215" s="118">
        <f t="shared" si="30"/>
        <v>0</v>
      </c>
      <c r="BB215" s="5">
        <v>0</v>
      </c>
      <c r="BC215" s="127">
        <f t="shared" si="31"/>
        <v>0</v>
      </c>
      <c r="BD215" s="105">
        <v>0</v>
      </c>
      <c r="BE215" s="118">
        <f t="shared" si="32"/>
        <v>0</v>
      </c>
      <c r="BF215" s="5">
        <v>0</v>
      </c>
      <c r="BG215" s="118">
        <f t="shared" si="33"/>
        <v>0</v>
      </c>
      <c r="BH215" s="5">
        <v>0</v>
      </c>
      <c r="BI215" s="127">
        <f t="shared" si="34"/>
        <v>0</v>
      </c>
      <c r="BJ215" s="220" t="s">
        <v>649</v>
      </c>
      <c r="BL215" s="1" t="s">
        <v>578</v>
      </c>
      <c r="BM215" s="233" t="s">
        <v>712</v>
      </c>
      <c r="BN215" s="233"/>
      <c r="BO215" s="234"/>
    </row>
    <row r="216" spans="1:67">
      <c r="A216" s="219" t="s">
        <v>823</v>
      </c>
      <c r="B216" s="106" t="s">
        <v>244</v>
      </c>
      <c r="C216" s="66" t="s">
        <v>175</v>
      </c>
      <c r="D216" s="284"/>
      <c r="E216" s="77" t="s">
        <v>253</v>
      </c>
      <c r="F216" s="282"/>
      <c r="G216" s="71" t="s">
        <v>202</v>
      </c>
      <c r="H216" s="70" t="s">
        <v>648</v>
      </c>
      <c r="I216" s="70" t="s">
        <v>184</v>
      </c>
      <c r="J216" s="71" t="s">
        <v>567</v>
      </c>
      <c r="K216" s="70" t="s">
        <v>250</v>
      </c>
      <c r="L216" s="69" t="s">
        <v>257</v>
      </c>
      <c r="M216" s="180" t="s">
        <v>608</v>
      </c>
      <c r="N216" s="144">
        <v>15.75</v>
      </c>
      <c r="O216" s="144">
        <v>15.75</v>
      </c>
      <c r="P216" s="144">
        <v>15.75</v>
      </c>
      <c r="Q216" s="144">
        <v>15.75</v>
      </c>
      <c r="R216" s="144">
        <v>15.75</v>
      </c>
      <c r="S216" s="144">
        <v>15.75</v>
      </c>
      <c r="T216" s="144">
        <v>15.75</v>
      </c>
      <c r="U216" s="144">
        <v>15.75</v>
      </c>
      <c r="V216" s="144">
        <v>15.75</v>
      </c>
      <c r="W216" s="144">
        <v>15.75</v>
      </c>
      <c r="X216" s="144">
        <v>15.75</v>
      </c>
      <c r="Y216" s="259">
        <v>15.75</v>
      </c>
      <c r="Z216" s="144">
        <v>0.46</v>
      </c>
      <c r="AA216" s="144">
        <v>0.46</v>
      </c>
      <c r="AB216" s="144">
        <v>0.46</v>
      </c>
      <c r="AC216" s="144">
        <v>0.46</v>
      </c>
      <c r="AD216" s="144">
        <v>0.46</v>
      </c>
      <c r="AE216" s="144">
        <v>0.46</v>
      </c>
      <c r="AF216" s="144">
        <v>0.46</v>
      </c>
      <c r="AG216" s="144">
        <v>0.46</v>
      </c>
      <c r="AH216" s="144">
        <v>0.46</v>
      </c>
      <c r="AI216" s="144">
        <v>0.46</v>
      </c>
      <c r="AJ216" s="144">
        <v>0.46</v>
      </c>
      <c r="AK216" s="259">
        <v>0.46</v>
      </c>
      <c r="AL216" s="105">
        <v>0</v>
      </c>
      <c r="AM216" s="118">
        <f t="shared" si="1"/>
        <v>0</v>
      </c>
      <c r="AN216" s="105">
        <v>0</v>
      </c>
      <c r="AO216" s="118">
        <f t="shared" si="35"/>
        <v>0</v>
      </c>
      <c r="AP216" s="105">
        <v>0</v>
      </c>
      <c r="AQ216" s="127">
        <f t="shared" si="36"/>
        <v>0</v>
      </c>
      <c r="AR216" s="5">
        <v>0</v>
      </c>
      <c r="AS216" s="118">
        <f t="shared" si="26"/>
        <v>0</v>
      </c>
      <c r="AT216" s="105">
        <v>0</v>
      </c>
      <c r="AU216" s="118">
        <f t="shared" si="27"/>
        <v>0</v>
      </c>
      <c r="AV216" s="105">
        <v>0</v>
      </c>
      <c r="AW216" s="127">
        <f t="shared" si="28"/>
        <v>0</v>
      </c>
      <c r="AX216" s="105">
        <v>0</v>
      </c>
      <c r="AY216" s="118">
        <f t="shared" si="29"/>
        <v>0</v>
      </c>
      <c r="AZ216" s="105">
        <v>0</v>
      </c>
      <c r="BA216" s="118">
        <f t="shared" si="30"/>
        <v>0</v>
      </c>
      <c r="BB216" s="5">
        <v>0</v>
      </c>
      <c r="BC216" s="127">
        <f t="shared" si="31"/>
        <v>0</v>
      </c>
      <c r="BD216" s="105">
        <v>0</v>
      </c>
      <c r="BE216" s="118">
        <f t="shared" si="32"/>
        <v>0</v>
      </c>
      <c r="BF216" s="5">
        <v>0</v>
      </c>
      <c r="BG216" s="118">
        <f t="shared" si="33"/>
        <v>0</v>
      </c>
      <c r="BH216" s="5">
        <v>0</v>
      </c>
      <c r="BI216" s="127">
        <f t="shared" si="34"/>
        <v>0</v>
      </c>
      <c r="BJ216" s="220" t="s">
        <v>649</v>
      </c>
      <c r="BL216" s="1" t="s">
        <v>578</v>
      </c>
      <c r="BM216" s="233" t="s">
        <v>713</v>
      </c>
      <c r="BN216" s="233"/>
      <c r="BO216" s="234"/>
    </row>
    <row r="217" spans="1:67" s="8" customFormat="1">
      <c r="A217" s="218" t="s">
        <v>823</v>
      </c>
      <c r="B217" s="110"/>
      <c r="C217" s="57"/>
      <c r="D217" s="285"/>
      <c r="E217" s="76"/>
      <c r="F217" s="282"/>
      <c r="G217" s="72"/>
      <c r="H217" s="75"/>
      <c r="I217" s="75"/>
      <c r="J217" s="72"/>
      <c r="K217" s="75"/>
      <c r="L217" s="74"/>
      <c r="M217" s="181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258"/>
      <c r="Z217" s="48"/>
      <c r="AA217" s="48"/>
      <c r="AB217" s="48"/>
      <c r="AC217" s="48"/>
      <c r="AD217" s="48"/>
      <c r="AE217" s="48"/>
      <c r="AF217" s="48"/>
      <c r="AG217" s="48"/>
      <c r="AH217" s="48"/>
      <c r="AI217" s="48"/>
      <c r="AJ217" s="48"/>
      <c r="AK217" s="262"/>
      <c r="AL217" s="23"/>
      <c r="AM217" s="184">
        <f t="shared" ref="AM217:AM280" si="37">Z217*AL217</f>
        <v>0</v>
      </c>
      <c r="AN217" s="23"/>
      <c r="AO217" s="184">
        <f t="shared" si="35"/>
        <v>0</v>
      </c>
      <c r="AP217" s="205"/>
      <c r="AQ217" s="185">
        <f t="shared" si="36"/>
        <v>0</v>
      </c>
      <c r="AR217" s="23">
        <v>0</v>
      </c>
      <c r="AS217" s="184">
        <f t="shared" ref="AS217" si="38">AC217*AR217</f>
        <v>0</v>
      </c>
      <c r="AT217" s="23"/>
      <c r="AU217" s="184">
        <f t="shared" ref="AU217" si="39">AD217*AT217</f>
        <v>0</v>
      </c>
      <c r="AV217" s="23">
        <v>0</v>
      </c>
      <c r="AW217" s="185">
        <f t="shared" ref="AW217" si="40">AE217*AV217</f>
        <v>0</v>
      </c>
      <c r="AX217" s="50">
        <v>0</v>
      </c>
      <c r="AY217" s="184">
        <f t="shared" ref="AY217" si="41">AF217*AX217</f>
        <v>0</v>
      </c>
      <c r="AZ217" s="50">
        <v>0</v>
      </c>
      <c r="BA217" s="184">
        <f t="shared" ref="BA217" si="42">AG217*AZ217</f>
        <v>0</v>
      </c>
      <c r="BB217" s="23">
        <v>0</v>
      </c>
      <c r="BC217" s="185">
        <f t="shared" ref="BC217" si="43">AH217*BB217</f>
        <v>0</v>
      </c>
      <c r="BD217" s="50">
        <v>0</v>
      </c>
      <c r="BE217" s="184">
        <f t="shared" ref="BE217" si="44">AI217*BD217</f>
        <v>0</v>
      </c>
      <c r="BF217" s="23">
        <v>0</v>
      </c>
      <c r="BG217" s="184">
        <f t="shared" ref="BG217" si="45">AJ217*BF217</f>
        <v>0</v>
      </c>
      <c r="BH217" s="23">
        <v>0</v>
      </c>
      <c r="BI217" s="185">
        <f t="shared" ref="BI217" si="46">AK217*BH217</f>
        <v>0</v>
      </c>
      <c r="BJ217" s="220"/>
      <c r="BM217" s="220" t="s">
        <v>208</v>
      </c>
      <c r="BN217" s="233"/>
      <c r="BO217" s="234"/>
    </row>
    <row r="218" spans="1:67" s="8" customFormat="1">
      <c r="A218" s="219" t="s">
        <v>823</v>
      </c>
      <c r="B218" s="182" t="s">
        <v>267</v>
      </c>
      <c r="C218" s="66" t="s">
        <v>175</v>
      </c>
      <c r="D218" s="284" t="s">
        <v>383</v>
      </c>
      <c r="E218" s="77" t="s">
        <v>176</v>
      </c>
      <c r="F218" s="281" t="s">
        <v>384</v>
      </c>
      <c r="G218" s="71" t="s">
        <v>215</v>
      </c>
      <c r="H218" s="70" t="s">
        <v>714</v>
      </c>
      <c r="I218" s="70" t="s">
        <v>180</v>
      </c>
      <c r="J218" s="71" t="s">
        <v>193</v>
      </c>
      <c r="K218" s="70" t="s">
        <v>715</v>
      </c>
      <c r="L218" s="69" t="s">
        <v>213</v>
      </c>
      <c r="M218" s="180" t="s">
        <v>562</v>
      </c>
      <c r="N218" s="144">
        <v>2.98</v>
      </c>
      <c r="O218" s="144">
        <v>2.98</v>
      </c>
      <c r="P218" s="144">
        <v>2.98</v>
      </c>
      <c r="Q218" s="144">
        <v>2.98</v>
      </c>
      <c r="R218" s="144">
        <v>2.98</v>
      </c>
      <c r="S218" s="144">
        <v>2.98</v>
      </c>
      <c r="T218" s="144">
        <v>2.98</v>
      </c>
      <c r="U218" s="144">
        <v>2.98</v>
      </c>
      <c r="V218" s="144">
        <v>2.98</v>
      </c>
      <c r="W218" s="144">
        <v>2.98</v>
      </c>
      <c r="X218" s="144">
        <v>2.98</v>
      </c>
      <c r="Y218" s="259">
        <v>2.98</v>
      </c>
      <c r="Z218" s="10">
        <v>0.13</v>
      </c>
      <c r="AA218" s="10">
        <v>0.13</v>
      </c>
      <c r="AB218" s="10">
        <v>0.18</v>
      </c>
      <c r="AC218" s="10">
        <v>0.18</v>
      </c>
      <c r="AD218" s="10">
        <v>0.18</v>
      </c>
      <c r="AE218" s="10">
        <v>0.18</v>
      </c>
      <c r="AF218" s="10">
        <v>0.18</v>
      </c>
      <c r="AG218" s="10">
        <v>0.18</v>
      </c>
      <c r="AH218" s="10">
        <v>0.18</v>
      </c>
      <c r="AI218" s="10">
        <v>0.18</v>
      </c>
      <c r="AJ218" s="10">
        <v>0.18</v>
      </c>
      <c r="AK218" s="257">
        <v>0.18</v>
      </c>
      <c r="AL218" s="5">
        <v>0</v>
      </c>
      <c r="AM218" s="118">
        <f t="shared" si="37"/>
        <v>0</v>
      </c>
      <c r="AN218" s="5">
        <v>0</v>
      </c>
      <c r="AO218" s="118">
        <f t="shared" si="35"/>
        <v>0</v>
      </c>
      <c r="AP218" s="5">
        <v>96</v>
      </c>
      <c r="AQ218" s="127">
        <f t="shared" si="3"/>
        <v>17.28</v>
      </c>
      <c r="AR218" s="5">
        <v>0</v>
      </c>
      <c r="AS218" s="118">
        <f t="shared" si="4"/>
        <v>0</v>
      </c>
      <c r="AT218" s="5">
        <v>0</v>
      </c>
      <c r="AU218" s="118">
        <f t="shared" si="5"/>
        <v>0</v>
      </c>
      <c r="AV218" s="5">
        <v>0</v>
      </c>
      <c r="AW218" s="127">
        <f t="shared" si="6"/>
        <v>0</v>
      </c>
      <c r="AX218" s="105">
        <v>0</v>
      </c>
      <c r="AY218" s="118">
        <f t="shared" si="7"/>
        <v>0</v>
      </c>
      <c r="AZ218" s="105">
        <v>0</v>
      </c>
      <c r="BA218" s="118">
        <f t="shared" si="8"/>
        <v>0</v>
      </c>
      <c r="BB218" s="5">
        <v>0</v>
      </c>
      <c r="BC218" s="127">
        <f t="shared" si="9"/>
        <v>0</v>
      </c>
      <c r="BD218" s="105">
        <v>0</v>
      </c>
      <c r="BE218" s="118">
        <f t="shared" si="10"/>
        <v>0</v>
      </c>
      <c r="BF218" s="5">
        <v>0</v>
      </c>
      <c r="BG218" s="118">
        <f t="shared" si="11"/>
        <v>0</v>
      </c>
      <c r="BH218" s="5">
        <v>0</v>
      </c>
      <c r="BI218" s="127">
        <f t="shared" si="12"/>
        <v>0</v>
      </c>
      <c r="BJ218" s="220" t="s">
        <v>716</v>
      </c>
      <c r="BL218" s="1" t="s">
        <v>539</v>
      </c>
      <c r="BM218" s="220" t="s">
        <v>717</v>
      </c>
      <c r="BN218" s="233"/>
      <c r="BO218" s="234"/>
    </row>
    <row r="219" spans="1:67" s="8" customFormat="1">
      <c r="A219" s="219" t="s">
        <v>823</v>
      </c>
      <c r="B219" s="182" t="s">
        <v>267</v>
      </c>
      <c r="C219" s="66" t="s">
        <v>175</v>
      </c>
      <c r="D219" s="284"/>
      <c r="E219" s="77" t="s">
        <v>176</v>
      </c>
      <c r="F219" s="281"/>
      <c r="G219" s="71" t="s">
        <v>718</v>
      </c>
      <c r="H219" s="70" t="s">
        <v>714</v>
      </c>
      <c r="I219" s="70" t="s">
        <v>180</v>
      </c>
      <c r="J219" s="71" t="s">
        <v>193</v>
      </c>
      <c r="K219" s="70" t="s">
        <v>719</v>
      </c>
      <c r="L219" s="69" t="s">
        <v>213</v>
      </c>
      <c r="M219" s="180" t="s">
        <v>562</v>
      </c>
      <c r="N219" s="144">
        <v>2.98</v>
      </c>
      <c r="O219" s="144">
        <v>2.98</v>
      </c>
      <c r="P219" s="144">
        <v>2.98</v>
      </c>
      <c r="Q219" s="144">
        <v>2.98</v>
      </c>
      <c r="R219" s="144">
        <v>2.98</v>
      </c>
      <c r="S219" s="144">
        <v>2.98</v>
      </c>
      <c r="T219" s="144">
        <v>2.98</v>
      </c>
      <c r="U219" s="144">
        <v>2.98</v>
      </c>
      <c r="V219" s="144">
        <v>2.98</v>
      </c>
      <c r="W219" s="144">
        <v>2.98</v>
      </c>
      <c r="X219" s="144">
        <v>2.98</v>
      </c>
      <c r="Y219" s="259">
        <v>2.98</v>
      </c>
      <c r="Z219" s="10">
        <v>0.13</v>
      </c>
      <c r="AA219" s="10">
        <v>0.13</v>
      </c>
      <c r="AB219" s="10">
        <v>0.18</v>
      </c>
      <c r="AC219" s="10">
        <v>0.18</v>
      </c>
      <c r="AD219" s="10">
        <v>0.18</v>
      </c>
      <c r="AE219" s="10">
        <v>0.18</v>
      </c>
      <c r="AF219" s="10">
        <v>0.18</v>
      </c>
      <c r="AG219" s="10">
        <v>0.18</v>
      </c>
      <c r="AH219" s="10">
        <v>0.18</v>
      </c>
      <c r="AI219" s="10">
        <v>0.18</v>
      </c>
      <c r="AJ219" s="10">
        <v>0.18</v>
      </c>
      <c r="AK219" s="257">
        <v>0.18</v>
      </c>
      <c r="AL219" s="5">
        <v>0</v>
      </c>
      <c r="AM219" s="118">
        <f t="shared" si="37"/>
        <v>0</v>
      </c>
      <c r="AN219" s="5">
        <v>0</v>
      </c>
      <c r="AO219" s="118">
        <f t="shared" si="35"/>
        <v>0</v>
      </c>
      <c r="AP219" s="5">
        <v>0</v>
      </c>
      <c r="AQ219" s="127">
        <f t="shared" si="3"/>
        <v>0</v>
      </c>
      <c r="AR219" s="5">
        <v>0</v>
      </c>
      <c r="AS219" s="118">
        <f t="shared" si="4"/>
        <v>0</v>
      </c>
      <c r="AT219" s="5">
        <v>0</v>
      </c>
      <c r="AU219" s="118">
        <f t="shared" si="5"/>
        <v>0</v>
      </c>
      <c r="AV219" s="5">
        <v>0</v>
      </c>
      <c r="AW219" s="127">
        <f t="shared" si="6"/>
        <v>0</v>
      </c>
      <c r="AX219" s="105">
        <v>0</v>
      </c>
      <c r="AY219" s="118">
        <f t="shared" si="7"/>
        <v>0</v>
      </c>
      <c r="AZ219" s="105">
        <v>0</v>
      </c>
      <c r="BA219" s="118">
        <f t="shared" si="8"/>
        <v>0</v>
      </c>
      <c r="BB219" s="5">
        <v>0</v>
      </c>
      <c r="BC219" s="127">
        <f t="shared" si="9"/>
        <v>0</v>
      </c>
      <c r="BD219" s="105">
        <v>0</v>
      </c>
      <c r="BE219" s="118">
        <f t="shared" si="10"/>
        <v>0</v>
      </c>
      <c r="BF219" s="5">
        <v>0</v>
      </c>
      <c r="BG219" s="118">
        <f t="shared" si="11"/>
        <v>0</v>
      </c>
      <c r="BH219" s="5">
        <v>0</v>
      </c>
      <c r="BI219" s="127">
        <f t="shared" si="12"/>
        <v>0</v>
      </c>
      <c r="BJ219" s="220" t="s">
        <v>720</v>
      </c>
      <c r="BL219" s="1" t="s">
        <v>539</v>
      </c>
      <c r="BM219" s="220" t="s">
        <v>721</v>
      </c>
      <c r="BN219" s="233"/>
      <c r="BO219" s="234"/>
    </row>
    <row r="220" spans="1:67" s="8" customFormat="1">
      <c r="A220" s="219" t="s">
        <v>823</v>
      </c>
      <c r="B220" s="182" t="s">
        <v>267</v>
      </c>
      <c r="C220" s="66" t="s">
        <v>175</v>
      </c>
      <c r="D220" s="284"/>
      <c r="E220" s="77" t="s">
        <v>176</v>
      </c>
      <c r="F220" s="281"/>
      <c r="G220" s="71" t="s">
        <v>385</v>
      </c>
      <c r="H220" s="70" t="s">
        <v>722</v>
      </c>
      <c r="I220" s="70" t="s">
        <v>180</v>
      </c>
      <c r="J220" s="71" t="s">
        <v>193</v>
      </c>
      <c r="K220" s="70" t="s">
        <v>715</v>
      </c>
      <c r="L220" s="69" t="s">
        <v>213</v>
      </c>
      <c r="M220" s="180" t="s">
        <v>562</v>
      </c>
      <c r="N220" s="144">
        <v>2.98</v>
      </c>
      <c r="O220" s="144">
        <v>2.98</v>
      </c>
      <c r="P220" s="144">
        <v>2.98</v>
      </c>
      <c r="Q220" s="144">
        <v>2.98</v>
      </c>
      <c r="R220" s="144">
        <v>2.98</v>
      </c>
      <c r="S220" s="144">
        <v>2.98</v>
      </c>
      <c r="T220" s="144">
        <v>2.98</v>
      </c>
      <c r="U220" s="144">
        <v>2.98</v>
      </c>
      <c r="V220" s="144">
        <v>2.98</v>
      </c>
      <c r="W220" s="144">
        <v>2.98</v>
      </c>
      <c r="X220" s="144">
        <v>2.98</v>
      </c>
      <c r="Y220" s="259">
        <v>2.98</v>
      </c>
      <c r="Z220" s="10">
        <v>0.13</v>
      </c>
      <c r="AA220" s="10">
        <v>0.13</v>
      </c>
      <c r="AB220" s="10">
        <v>0.18</v>
      </c>
      <c r="AC220" s="10">
        <v>0.18</v>
      </c>
      <c r="AD220" s="10">
        <v>0.18</v>
      </c>
      <c r="AE220" s="10">
        <v>0.18</v>
      </c>
      <c r="AF220" s="10">
        <v>0.18</v>
      </c>
      <c r="AG220" s="10">
        <v>0.18</v>
      </c>
      <c r="AH220" s="10">
        <v>0.18</v>
      </c>
      <c r="AI220" s="10">
        <v>0.18</v>
      </c>
      <c r="AJ220" s="10">
        <v>0.18</v>
      </c>
      <c r="AK220" s="257">
        <v>0.18</v>
      </c>
      <c r="AL220" s="5">
        <v>9024</v>
      </c>
      <c r="AM220" s="118">
        <f t="shared" si="37"/>
        <v>1173.1200000000001</v>
      </c>
      <c r="AN220" s="5">
        <v>2016</v>
      </c>
      <c r="AO220" s="118">
        <f t="shared" si="35"/>
        <v>262.08</v>
      </c>
      <c r="AP220" s="5">
        <v>240</v>
      </c>
      <c r="AQ220" s="127">
        <f t="shared" si="3"/>
        <v>43.199999999999996</v>
      </c>
      <c r="AR220" s="5">
        <v>816</v>
      </c>
      <c r="AS220" s="118">
        <f t="shared" si="4"/>
        <v>146.88</v>
      </c>
      <c r="AT220" s="5">
        <v>2352</v>
      </c>
      <c r="AU220" s="118">
        <f t="shared" si="5"/>
        <v>423.35999999999996</v>
      </c>
      <c r="AV220" s="5">
        <v>0</v>
      </c>
      <c r="AW220" s="127">
        <f t="shared" si="6"/>
        <v>0</v>
      </c>
      <c r="AX220" s="105">
        <v>0</v>
      </c>
      <c r="AY220" s="118">
        <f t="shared" si="7"/>
        <v>0</v>
      </c>
      <c r="AZ220" s="105">
        <v>0</v>
      </c>
      <c r="BA220" s="118">
        <f t="shared" si="8"/>
        <v>0</v>
      </c>
      <c r="BB220" s="5">
        <v>0</v>
      </c>
      <c r="BC220" s="127">
        <f t="shared" si="9"/>
        <v>0</v>
      </c>
      <c r="BD220" s="105">
        <v>0</v>
      </c>
      <c r="BE220" s="118">
        <f t="shared" si="10"/>
        <v>0</v>
      </c>
      <c r="BF220" s="5">
        <v>0</v>
      </c>
      <c r="BG220" s="118">
        <f t="shared" si="11"/>
        <v>0</v>
      </c>
      <c r="BH220" s="5">
        <v>0</v>
      </c>
      <c r="BI220" s="127">
        <f t="shared" si="12"/>
        <v>0</v>
      </c>
      <c r="BJ220" s="220" t="s">
        <v>723</v>
      </c>
      <c r="BL220" s="1" t="s">
        <v>539</v>
      </c>
      <c r="BM220" s="220" t="s">
        <v>724</v>
      </c>
      <c r="BN220" s="233"/>
      <c r="BO220" s="234"/>
    </row>
    <row r="221" spans="1:67" s="8" customFormat="1">
      <c r="A221" s="219" t="s">
        <v>823</v>
      </c>
      <c r="B221" s="182" t="s">
        <v>267</v>
      </c>
      <c r="C221" s="66" t="s">
        <v>175</v>
      </c>
      <c r="D221" s="284"/>
      <c r="E221" s="77" t="s">
        <v>176</v>
      </c>
      <c r="F221" s="281"/>
      <c r="G221" s="71" t="s">
        <v>202</v>
      </c>
      <c r="H221" s="70" t="s">
        <v>276</v>
      </c>
      <c r="I221" s="70" t="s">
        <v>180</v>
      </c>
      <c r="J221" s="71" t="s">
        <v>193</v>
      </c>
      <c r="K221" s="70" t="s">
        <v>275</v>
      </c>
      <c r="L221" s="69" t="s">
        <v>185</v>
      </c>
      <c r="M221" s="180" t="s">
        <v>465</v>
      </c>
      <c r="N221" s="144">
        <v>3.08</v>
      </c>
      <c r="O221" s="144">
        <v>3.08</v>
      </c>
      <c r="P221" s="144">
        <v>3.05</v>
      </c>
      <c r="Q221" s="144">
        <v>3.05</v>
      </c>
      <c r="R221" s="144">
        <v>3.05</v>
      </c>
      <c r="S221" s="144">
        <v>3.05</v>
      </c>
      <c r="T221" s="144">
        <v>3.05</v>
      </c>
      <c r="U221" s="144">
        <v>3.05</v>
      </c>
      <c r="V221" s="144">
        <v>3.05</v>
      </c>
      <c r="W221" s="144">
        <v>3.05</v>
      </c>
      <c r="X221" s="144">
        <v>3.05</v>
      </c>
      <c r="Y221" s="259">
        <v>3.05</v>
      </c>
      <c r="Z221" s="10">
        <v>0.23</v>
      </c>
      <c r="AA221" s="10">
        <v>0.23</v>
      </c>
      <c r="AB221" s="10">
        <v>0.25</v>
      </c>
      <c r="AC221" s="10">
        <v>0.25</v>
      </c>
      <c r="AD221" s="10">
        <v>0.25</v>
      </c>
      <c r="AE221" s="10">
        <v>0.25</v>
      </c>
      <c r="AF221" s="10">
        <v>0.25</v>
      </c>
      <c r="AG221" s="10">
        <v>0.25</v>
      </c>
      <c r="AH221" s="10">
        <v>0.25</v>
      </c>
      <c r="AI221" s="10">
        <v>0.25</v>
      </c>
      <c r="AJ221" s="10">
        <v>0.25</v>
      </c>
      <c r="AK221" s="257">
        <v>0.25</v>
      </c>
      <c r="AL221" s="5">
        <v>0</v>
      </c>
      <c r="AM221" s="118">
        <f t="shared" si="37"/>
        <v>0</v>
      </c>
      <c r="AN221" s="5">
        <v>0</v>
      </c>
      <c r="AO221" s="118">
        <f t="shared" si="35"/>
        <v>0</v>
      </c>
      <c r="AP221" s="5">
        <v>0</v>
      </c>
      <c r="AQ221" s="127">
        <v>0</v>
      </c>
      <c r="AR221" s="5">
        <v>0</v>
      </c>
      <c r="AS221" s="118">
        <f t="shared" si="4"/>
        <v>0</v>
      </c>
      <c r="AT221" s="5">
        <v>0</v>
      </c>
      <c r="AU221" s="118">
        <f t="shared" si="5"/>
        <v>0</v>
      </c>
      <c r="AV221" s="5">
        <v>0</v>
      </c>
      <c r="AW221" s="127">
        <f t="shared" si="6"/>
        <v>0</v>
      </c>
      <c r="AX221" s="5">
        <v>0</v>
      </c>
      <c r="AY221" s="118">
        <f t="shared" si="7"/>
        <v>0</v>
      </c>
      <c r="AZ221" s="5">
        <v>0</v>
      </c>
      <c r="BA221" s="118">
        <f t="shared" si="8"/>
        <v>0</v>
      </c>
      <c r="BB221" s="5">
        <v>0</v>
      </c>
      <c r="BC221" s="127">
        <f t="shared" si="9"/>
        <v>0</v>
      </c>
      <c r="BD221" s="5">
        <v>0</v>
      </c>
      <c r="BE221" s="118">
        <f t="shared" si="10"/>
        <v>0</v>
      </c>
      <c r="BF221" s="5">
        <v>0</v>
      </c>
      <c r="BG221" s="118">
        <f t="shared" si="11"/>
        <v>0</v>
      </c>
      <c r="BH221" s="5">
        <v>0</v>
      </c>
      <c r="BI221" s="127">
        <f t="shared" si="12"/>
        <v>0</v>
      </c>
      <c r="BJ221" s="220" t="s">
        <v>725</v>
      </c>
      <c r="BL221" s="1" t="s">
        <v>539</v>
      </c>
      <c r="BM221" s="220" t="s">
        <v>726</v>
      </c>
      <c r="BN221" s="264"/>
      <c r="BO221" s="234"/>
    </row>
    <row r="222" spans="1:67" s="8" customFormat="1">
      <c r="A222" s="219" t="s">
        <v>823</v>
      </c>
      <c r="B222" s="182" t="s">
        <v>267</v>
      </c>
      <c r="C222" s="66" t="s">
        <v>175</v>
      </c>
      <c r="D222" s="284"/>
      <c r="E222" s="77" t="s">
        <v>176</v>
      </c>
      <c r="F222" s="281"/>
      <c r="G222" s="71" t="s">
        <v>202</v>
      </c>
      <c r="H222" s="70" t="s">
        <v>276</v>
      </c>
      <c r="I222" s="70" t="s">
        <v>180</v>
      </c>
      <c r="J222" s="71" t="s">
        <v>193</v>
      </c>
      <c r="K222" s="70" t="s">
        <v>275</v>
      </c>
      <c r="L222" s="69" t="s">
        <v>185</v>
      </c>
      <c r="M222" s="180" t="s">
        <v>465</v>
      </c>
      <c r="N222" s="144">
        <v>3.08</v>
      </c>
      <c r="O222" s="144">
        <v>3.08</v>
      </c>
      <c r="P222" s="144">
        <v>3.05</v>
      </c>
      <c r="Q222" s="144">
        <v>3.05</v>
      </c>
      <c r="R222" s="144">
        <v>3.05</v>
      </c>
      <c r="S222" s="144">
        <v>3.05</v>
      </c>
      <c r="T222" s="144">
        <v>3.05</v>
      </c>
      <c r="U222" s="144">
        <v>3.05</v>
      </c>
      <c r="V222" s="144">
        <v>3.05</v>
      </c>
      <c r="W222" s="144">
        <v>3.05</v>
      </c>
      <c r="X222" s="144">
        <v>3.05</v>
      </c>
      <c r="Y222" s="259">
        <v>3.05</v>
      </c>
      <c r="Z222" s="10">
        <v>0.23</v>
      </c>
      <c r="AA222" s="10">
        <v>0.23</v>
      </c>
      <c r="AB222" s="10">
        <v>0.25</v>
      </c>
      <c r="AC222" s="10">
        <v>0.25</v>
      </c>
      <c r="AD222" s="10">
        <v>0.25</v>
      </c>
      <c r="AE222" s="10">
        <v>0.25</v>
      </c>
      <c r="AF222" s="10">
        <v>0.25</v>
      </c>
      <c r="AG222" s="10">
        <v>0.25</v>
      </c>
      <c r="AH222" s="10">
        <v>0.25</v>
      </c>
      <c r="AI222" s="10">
        <v>0.25</v>
      </c>
      <c r="AJ222" s="10">
        <v>0.25</v>
      </c>
      <c r="AK222" s="257">
        <v>0.25</v>
      </c>
      <c r="AL222" s="5">
        <v>0</v>
      </c>
      <c r="AM222" s="118">
        <f t="shared" si="37"/>
        <v>0</v>
      </c>
      <c r="AN222" s="5">
        <v>0</v>
      </c>
      <c r="AO222" s="118">
        <f t="shared" si="35"/>
        <v>0</v>
      </c>
      <c r="AP222" s="5">
        <v>0</v>
      </c>
      <c r="AQ222" s="127">
        <v>0</v>
      </c>
      <c r="AR222" s="5">
        <v>0</v>
      </c>
      <c r="AS222" s="118">
        <f t="shared" si="4"/>
        <v>0</v>
      </c>
      <c r="AT222" s="5">
        <v>0</v>
      </c>
      <c r="AU222" s="118">
        <f t="shared" si="5"/>
        <v>0</v>
      </c>
      <c r="AV222" s="5">
        <v>0</v>
      </c>
      <c r="AW222" s="127">
        <f t="shared" si="6"/>
        <v>0</v>
      </c>
      <c r="AX222" s="5">
        <v>0</v>
      </c>
      <c r="AY222" s="118">
        <f t="shared" si="7"/>
        <v>0</v>
      </c>
      <c r="AZ222" s="5">
        <v>0</v>
      </c>
      <c r="BA222" s="118">
        <f t="shared" si="8"/>
        <v>0</v>
      </c>
      <c r="BB222" s="5">
        <v>0</v>
      </c>
      <c r="BC222" s="127">
        <f t="shared" si="9"/>
        <v>0</v>
      </c>
      <c r="BD222" s="5">
        <v>0</v>
      </c>
      <c r="BE222" s="118">
        <f t="shared" si="10"/>
        <v>0</v>
      </c>
      <c r="BF222" s="5">
        <v>0</v>
      </c>
      <c r="BG222" s="118">
        <f t="shared" si="11"/>
        <v>0</v>
      </c>
      <c r="BH222" s="5">
        <v>0</v>
      </c>
      <c r="BI222" s="127">
        <f t="shared" si="12"/>
        <v>0</v>
      </c>
      <c r="BJ222" s="220" t="s">
        <v>725</v>
      </c>
      <c r="BL222" s="1" t="s">
        <v>539</v>
      </c>
      <c r="BM222" s="220" t="s">
        <v>727</v>
      </c>
      <c r="BN222" s="264"/>
      <c r="BO222" s="234"/>
    </row>
    <row r="223" spans="1:67" s="8" customFormat="1">
      <c r="A223" s="219" t="s">
        <v>823</v>
      </c>
      <c r="B223" s="182" t="s">
        <v>267</v>
      </c>
      <c r="C223" s="66" t="s">
        <v>175</v>
      </c>
      <c r="D223" s="284"/>
      <c r="E223" s="77" t="s">
        <v>176</v>
      </c>
      <c r="F223" s="281"/>
      <c r="G223" s="71" t="s">
        <v>202</v>
      </c>
      <c r="H223" s="70" t="s">
        <v>276</v>
      </c>
      <c r="I223" s="70" t="s">
        <v>180</v>
      </c>
      <c r="J223" s="71" t="s">
        <v>193</v>
      </c>
      <c r="K223" s="70" t="s">
        <v>275</v>
      </c>
      <c r="L223" s="69" t="s">
        <v>185</v>
      </c>
      <c r="M223" s="180" t="s">
        <v>465</v>
      </c>
      <c r="N223" s="144">
        <v>3.08</v>
      </c>
      <c r="O223" s="144">
        <v>3.08</v>
      </c>
      <c r="P223" s="144">
        <v>3.05</v>
      </c>
      <c r="Q223" s="144">
        <v>3.05</v>
      </c>
      <c r="R223" s="144">
        <v>3.05</v>
      </c>
      <c r="S223" s="144">
        <v>3.05</v>
      </c>
      <c r="T223" s="144">
        <v>3.05</v>
      </c>
      <c r="U223" s="144">
        <v>3.05</v>
      </c>
      <c r="V223" s="144">
        <v>3.05</v>
      </c>
      <c r="W223" s="144">
        <v>3.05</v>
      </c>
      <c r="X223" s="144">
        <v>3.05</v>
      </c>
      <c r="Y223" s="259">
        <v>3.05</v>
      </c>
      <c r="Z223" s="10">
        <v>0.23</v>
      </c>
      <c r="AA223" s="10">
        <v>0.23</v>
      </c>
      <c r="AB223" s="10">
        <v>0.25</v>
      </c>
      <c r="AC223" s="10">
        <v>0.25</v>
      </c>
      <c r="AD223" s="10">
        <v>0.25</v>
      </c>
      <c r="AE223" s="10">
        <v>0.25</v>
      </c>
      <c r="AF223" s="10">
        <v>0.25</v>
      </c>
      <c r="AG223" s="10">
        <v>0.25</v>
      </c>
      <c r="AH223" s="10">
        <v>0.25</v>
      </c>
      <c r="AI223" s="10">
        <v>0.25</v>
      </c>
      <c r="AJ223" s="10">
        <v>0.25</v>
      </c>
      <c r="AK223" s="257">
        <v>0.25</v>
      </c>
      <c r="AL223" s="5">
        <v>0</v>
      </c>
      <c r="AM223" s="118">
        <f t="shared" si="37"/>
        <v>0</v>
      </c>
      <c r="AN223" s="5">
        <v>0</v>
      </c>
      <c r="AO223" s="118">
        <f t="shared" si="35"/>
        <v>0</v>
      </c>
      <c r="AP223" s="5">
        <v>0</v>
      </c>
      <c r="AQ223" s="127">
        <v>0</v>
      </c>
      <c r="AR223" s="5">
        <v>0</v>
      </c>
      <c r="AS223" s="118">
        <f t="shared" si="4"/>
        <v>0</v>
      </c>
      <c r="AT223" s="5">
        <v>0</v>
      </c>
      <c r="AU223" s="118">
        <f t="shared" si="5"/>
        <v>0</v>
      </c>
      <c r="AV223" s="5">
        <v>0</v>
      </c>
      <c r="AW223" s="127">
        <f t="shared" si="6"/>
        <v>0</v>
      </c>
      <c r="AX223" s="5">
        <v>0</v>
      </c>
      <c r="AY223" s="118">
        <f t="shared" si="7"/>
        <v>0</v>
      </c>
      <c r="AZ223" s="5">
        <v>0</v>
      </c>
      <c r="BA223" s="118">
        <f t="shared" si="8"/>
        <v>0</v>
      </c>
      <c r="BB223" s="5">
        <v>0</v>
      </c>
      <c r="BC223" s="127">
        <f t="shared" si="9"/>
        <v>0</v>
      </c>
      <c r="BD223" s="5">
        <v>0</v>
      </c>
      <c r="BE223" s="118">
        <f t="shared" si="10"/>
        <v>0</v>
      </c>
      <c r="BF223" s="5">
        <v>0</v>
      </c>
      <c r="BG223" s="118">
        <f t="shared" si="11"/>
        <v>0</v>
      </c>
      <c r="BH223" s="5">
        <v>0</v>
      </c>
      <c r="BI223" s="127">
        <f t="shared" si="12"/>
        <v>0</v>
      </c>
      <c r="BJ223" s="220" t="s">
        <v>725</v>
      </c>
      <c r="BL223" s="1" t="s">
        <v>539</v>
      </c>
      <c r="BM223" s="220" t="s">
        <v>728</v>
      </c>
      <c r="BN223" s="264"/>
      <c r="BO223" s="234"/>
    </row>
    <row r="224" spans="1:67" s="8" customFormat="1">
      <c r="A224" s="219" t="s">
        <v>823</v>
      </c>
      <c r="B224" s="182" t="s">
        <v>267</v>
      </c>
      <c r="C224" s="66" t="s">
        <v>175</v>
      </c>
      <c r="D224" s="284"/>
      <c r="E224" s="77" t="s">
        <v>176</v>
      </c>
      <c r="F224" s="281"/>
      <c r="G224" s="71" t="s">
        <v>202</v>
      </c>
      <c r="H224" s="70" t="s">
        <v>276</v>
      </c>
      <c r="I224" s="70" t="s">
        <v>180</v>
      </c>
      <c r="J224" s="71" t="s">
        <v>193</v>
      </c>
      <c r="K224" s="70" t="s">
        <v>275</v>
      </c>
      <c r="L224" s="69" t="s">
        <v>185</v>
      </c>
      <c r="M224" s="180" t="s">
        <v>465</v>
      </c>
      <c r="N224" s="144">
        <v>3.08</v>
      </c>
      <c r="O224" s="144">
        <v>3.08</v>
      </c>
      <c r="P224" s="144">
        <v>3.05</v>
      </c>
      <c r="Q224" s="144">
        <v>3.05</v>
      </c>
      <c r="R224" s="144">
        <v>3.05</v>
      </c>
      <c r="S224" s="144">
        <v>3.05</v>
      </c>
      <c r="T224" s="144">
        <v>3.05</v>
      </c>
      <c r="U224" s="144">
        <v>3.05</v>
      </c>
      <c r="V224" s="144">
        <v>3.05</v>
      </c>
      <c r="W224" s="144">
        <v>3.05</v>
      </c>
      <c r="X224" s="144">
        <v>3.05</v>
      </c>
      <c r="Y224" s="259">
        <v>3.05</v>
      </c>
      <c r="Z224" s="10">
        <v>0.23</v>
      </c>
      <c r="AA224" s="10">
        <v>0.23</v>
      </c>
      <c r="AB224" s="10">
        <v>0.25</v>
      </c>
      <c r="AC224" s="10">
        <v>0.25</v>
      </c>
      <c r="AD224" s="10">
        <v>0.25</v>
      </c>
      <c r="AE224" s="10">
        <v>0.25</v>
      </c>
      <c r="AF224" s="10">
        <v>0.25</v>
      </c>
      <c r="AG224" s="10">
        <v>0.25</v>
      </c>
      <c r="AH224" s="10">
        <v>0.25</v>
      </c>
      <c r="AI224" s="10">
        <v>0.25</v>
      </c>
      <c r="AJ224" s="10">
        <v>0.25</v>
      </c>
      <c r="AK224" s="257">
        <v>0.25</v>
      </c>
      <c r="AL224" s="5">
        <v>0</v>
      </c>
      <c r="AM224" s="118">
        <f t="shared" si="37"/>
        <v>0</v>
      </c>
      <c r="AN224" s="5">
        <v>0</v>
      </c>
      <c r="AO224" s="118">
        <f t="shared" si="35"/>
        <v>0</v>
      </c>
      <c r="AP224" s="5">
        <v>0</v>
      </c>
      <c r="AQ224" s="127">
        <v>0</v>
      </c>
      <c r="AR224" s="5">
        <v>0</v>
      </c>
      <c r="AS224" s="118">
        <f t="shared" si="4"/>
        <v>0</v>
      </c>
      <c r="AT224" s="5">
        <v>0</v>
      </c>
      <c r="AU224" s="118">
        <f t="shared" si="5"/>
        <v>0</v>
      </c>
      <c r="AV224" s="5">
        <v>0</v>
      </c>
      <c r="AW224" s="127">
        <f t="shared" si="6"/>
        <v>0</v>
      </c>
      <c r="AX224" s="5">
        <v>0</v>
      </c>
      <c r="AY224" s="118">
        <f t="shared" si="7"/>
        <v>0</v>
      </c>
      <c r="AZ224" s="5">
        <v>0</v>
      </c>
      <c r="BA224" s="118">
        <f t="shared" si="8"/>
        <v>0</v>
      </c>
      <c r="BB224" s="5">
        <v>0</v>
      </c>
      <c r="BC224" s="127">
        <f t="shared" si="9"/>
        <v>0</v>
      </c>
      <c r="BD224" s="5">
        <v>0</v>
      </c>
      <c r="BE224" s="118">
        <f t="shared" si="10"/>
        <v>0</v>
      </c>
      <c r="BF224" s="5">
        <v>0</v>
      </c>
      <c r="BG224" s="118">
        <f t="shared" si="11"/>
        <v>0</v>
      </c>
      <c r="BH224" s="5">
        <v>0</v>
      </c>
      <c r="BI224" s="127">
        <f t="shared" si="12"/>
        <v>0</v>
      </c>
      <c r="BJ224" s="220" t="s">
        <v>725</v>
      </c>
      <c r="BL224" s="1" t="s">
        <v>539</v>
      </c>
      <c r="BM224" s="220" t="s">
        <v>729</v>
      </c>
      <c r="BN224" s="264"/>
      <c r="BO224" s="234"/>
    </row>
    <row r="225" spans="1:67" s="8" customFormat="1">
      <c r="A225" s="219" t="s">
        <v>823</v>
      </c>
      <c r="B225" s="182" t="s">
        <v>267</v>
      </c>
      <c r="C225" s="66" t="s">
        <v>175</v>
      </c>
      <c r="D225" s="284"/>
      <c r="E225" s="77" t="s">
        <v>176</v>
      </c>
      <c r="F225" s="281"/>
      <c r="G225" s="71" t="s">
        <v>202</v>
      </c>
      <c r="H225" s="70" t="s">
        <v>276</v>
      </c>
      <c r="I225" s="70" t="s">
        <v>180</v>
      </c>
      <c r="J225" s="71" t="s">
        <v>193</v>
      </c>
      <c r="K225" s="70" t="s">
        <v>275</v>
      </c>
      <c r="L225" s="69" t="s">
        <v>185</v>
      </c>
      <c r="M225" s="180" t="s">
        <v>465</v>
      </c>
      <c r="N225" s="144">
        <v>3.08</v>
      </c>
      <c r="O225" s="144">
        <v>3.08</v>
      </c>
      <c r="P225" s="144">
        <v>3.05</v>
      </c>
      <c r="Q225" s="144">
        <v>3.05</v>
      </c>
      <c r="R225" s="144">
        <v>3.05</v>
      </c>
      <c r="S225" s="144">
        <v>3.05</v>
      </c>
      <c r="T225" s="144">
        <v>3.05</v>
      </c>
      <c r="U225" s="144">
        <v>3.05</v>
      </c>
      <c r="V225" s="144">
        <v>3.05</v>
      </c>
      <c r="W225" s="144">
        <v>3.05</v>
      </c>
      <c r="X225" s="144">
        <v>3.05</v>
      </c>
      <c r="Y225" s="259">
        <v>3.05</v>
      </c>
      <c r="Z225" s="10">
        <v>0.23</v>
      </c>
      <c r="AA225" s="10">
        <v>0.23</v>
      </c>
      <c r="AB225" s="10">
        <v>0.25</v>
      </c>
      <c r="AC225" s="10">
        <v>0.25</v>
      </c>
      <c r="AD225" s="10">
        <v>0.25</v>
      </c>
      <c r="AE225" s="10">
        <v>0.25</v>
      </c>
      <c r="AF225" s="10">
        <v>0.25</v>
      </c>
      <c r="AG225" s="10">
        <v>0.25</v>
      </c>
      <c r="AH225" s="10">
        <v>0.25</v>
      </c>
      <c r="AI225" s="10">
        <v>0.25</v>
      </c>
      <c r="AJ225" s="10">
        <v>0.25</v>
      </c>
      <c r="AK225" s="257">
        <v>0.25</v>
      </c>
      <c r="AL225" s="5">
        <v>0</v>
      </c>
      <c r="AM225" s="118">
        <f t="shared" si="37"/>
        <v>0</v>
      </c>
      <c r="AN225" s="5">
        <v>0</v>
      </c>
      <c r="AO225" s="118">
        <f t="shared" si="35"/>
        <v>0</v>
      </c>
      <c r="AP225" s="5">
        <v>0</v>
      </c>
      <c r="AQ225" s="127">
        <v>0</v>
      </c>
      <c r="AR225" s="5">
        <v>0</v>
      </c>
      <c r="AS225" s="118">
        <f t="shared" si="4"/>
        <v>0</v>
      </c>
      <c r="AT225" s="5">
        <v>0</v>
      </c>
      <c r="AU225" s="118">
        <f t="shared" si="5"/>
        <v>0</v>
      </c>
      <c r="AV225" s="5">
        <v>0</v>
      </c>
      <c r="AW225" s="127">
        <f t="shared" si="6"/>
        <v>0</v>
      </c>
      <c r="AX225" s="5">
        <v>0</v>
      </c>
      <c r="AY225" s="118">
        <f t="shared" si="7"/>
        <v>0</v>
      </c>
      <c r="AZ225" s="5">
        <v>0</v>
      </c>
      <c r="BA225" s="118">
        <f t="shared" si="8"/>
        <v>0</v>
      </c>
      <c r="BB225" s="5">
        <v>0</v>
      </c>
      <c r="BC225" s="127">
        <f t="shared" si="9"/>
        <v>0</v>
      </c>
      <c r="BD225" s="5">
        <v>0</v>
      </c>
      <c r="BE225" s="118">
        <f t="shared" si="10"/>
        <v>0</v>
      </c>
      <c r="BF225" s="5">
        <v>0</v>
      </c>
      <c r="BG225" s="118">
        <f t="shared" si="11"/>
        <v>0</v>
      </c>
      <c r="BH225" s="5">
        <v>0</v>
      </c>
      <c r="BI225" s="127">
        <f t="shared" si="12"/>
        <v>0</v>
      </c>
      <c r="BJ225" s="220" t="s">
        <v>725</v>
      </c>
      <c r="BL225" s="1" t="s">
        <v>539</v>
      </c>
      <c r="BM225" s="220" t="s">
        <v>730</v>
      </c>
      <c r="BN225" s="264"/>
      <c r="BO225" s="234"/>
    </row>
    <row r="226" spans="1:67" s="8" customFormat="1">
      <c r="A226" s="219" t="s">
        <v>823</v>
      </c>
      <c r="B226" s="182" t="s">
        <v>267</v>
      </c>
      <c r="C226" s="66" t="s">
        <v>175</v>
      </c>
      <c r="D226" s="284"/>
      <c r="E226" s="77" t="s">
        <v>176</v>
      </c>
      <c r="F226" s="281"/>
      <c r="G226" s="71" t="s">
        <v>202</v>
      </c>
      <c r="H226" s="70" t="s">
        <v>276</v>
      </c>
      <c r="I226" s="70" t="s">
        <v>180</v>
      </c>
      <c r="J226" s="71" t="s">
        <v>193</v>
      </c>
      <c r="K226" s="70" t="s">
        <v>275</v>
      </c>
      <c r="L226" s="69" t="s">
        <v>387</v>
      </c>
      <c r="M226" s="83" t="s">
        <v>731</v>
      </c>
      <c r="N226" s="144">
        <v>3.08</v>
      </c>
      <c r="O226" s="144">
        <v>3.08</v>
      </c>
      <c r="P226" s="144">
        <v>3.05</v>
      </c>
      <c r="Q226" s="144">
        <v>3.05</v>
      </c>
      <c r="R226" s="144">
        <v>3.05</v>
      </c>
      <c r="S226" s="144">
        <v>3.05</v>
      </c>
      <c r="T226" s="144">
        <v>3.05</v>
      </c>
      <c r="U226" s="144">
        <v>3.05</v>
      </c>
      <c r="V226" s="144">
        <v>3.05</v>
      </c>
      <c r="W226" s="144">
        <v>3.05</v>
      </c>
      <c r="X226" s="144">
        <v>3.05</v>
      </c>
      <c r="Y226" s="259">
        <v>3.05</v>
      </c>
      <c r="Z226" s="10">
        <v>0.23</v>
      </c>
      <c r="AA226" s="10">
        <v>0.23</v>
      </c>
      <c r="AB226" s="10">
        <v>0.25</v>
      </c>
      <c r="AC226" s="10">
        <v>0.25</v>
      </c>
      <c r="AD226" s="10">
        <v>0.25</v>
      </c>
      <c r="AE226" s="10">
        <v>0.25</v>
      </c>
      <c r="AF226" s="10">
        <v>0.25</v>
      </c>
      <c r="AG226" s="10">
        <v>0.25</v>
      </c>
      <c r="AH226" s="10">
        <v>0.25</v>
      </c>
      <c r="AI226" s="10">
        <v>0.25</v>
      </c>
      <c r="AJ226" s="10">
        <v>0.25</v>
      </c>
      <c r="AK226" s="257">
        <v>0.25</v>
      </c>
      <c r="AL226" s="5">
        <v>0</v>
      </c>
      <c r="AM226" s="118">
        <f t="shared" si="37"/>
        <v>0</v>
      </c>
      <c r="AN226" s="5">
        <v>0</v>
      </c>
      <c r="AO226" s="118">
        <f t="shared" si="35"/>
        <v>0</v>
      </c>
      <c r="AP226" s="5">
        <v>0</v>
      </c>
      <c r="AQ226" s="127">
        <v>0</v>
      </c>
      <c r="AR226" s="5">
        <v>0</v>
      </c>
      <c r="AS226" s="118">
        <f t="shared" si="4"/>
        <v>0</v>
      </c>
      <c r="AT226" s="5">
        <v>0</v>
      </c>
      <c r="AU226" s="118">
        <f t="shared" si="5"/>
        <v>0</v>
      </c>
      <c r="AV226" s="5">
        <v>0</v>
      </c>
      <c r="AW226" s="127">
        <f t="shared" si="6"/>
        <v>0</v>
      </c>
      <c r="AX226" s="5">
        <v>0</v>
      </c>
      <c r="AY226" s="118">
        <f t="shared" si="7"/>
        <v>0</v>
      </c>
      <c r="AZ226" s="5">
        <v>0</v>
      </c>
      <c r="BA226" s="118">
        <f t="shared" si="8"/>
        <v>0</v>
      </c>
      <c r="BB226" s="5">
        <v>0</v>
      </c>
      <c r="BC226" s="127">
        <f t="shared" si="9"/>
        <v>0</v>
      </c>
      <c r="BD226" s="5">
        <v>0</v>
      </c>
      <c r="BE226" s="118">
        <f t="shared" si="10"/>
        <v>0</v>
      </c>
      <c r="BF226" s="5">
        <v>0</v>
      </c>
      <c r="BG226" s="118">
        <f t="shared" si="11"/>
        <v>0</v>
      </c>
      <c r="BH226" s="5">
        <v>0</v>
      </c>
      <c r="BI226" s="127">
        <f t="shared" si="12"/>
        <v>0</v>
      </c>
      <c r="BJ226" s="220" t="s">
        <v>725</v>
      </c>
      <c r="BL226" s="1" t="s">
        <v>539</v>
      </c>
      <c r="BM226" s="220" t="s">
        <v>726</v>
      </c>
      <c r="BN226" s="264"/>
      <c r="BO226" s="234"/>
    </row>
    <row r="227" spans="1:67" s="8" customFormat="1">
      <c r="A227" s="219" t="s">
        <v>823</v>
      </c>
      <c r="B227" s="182" t="s">
        <v>267</v>
      </c>
      <c r="C227" s="66" t="s">
        <v>175</v>
      </c>
      <c r="D227" s="284"/>
      <c r="E227" s="77" t="s">
        <v>176</v>
      </c>
      <c r="F227" s="281"/>
      <c r="G227" s="71" t="s">
        <v>202</v>
      </c>
      <c r="H227" s="70" t="s">
        <v>276</v>
      </c>
      <c r="I227" s="70" t="s">
        <v>180</v>
      </c>
      <c r="J227" s="71" t="s">
        <v>193</v>
      </c>
      <c r="K227" s="70" t="s">
        <v>275</v>
      </c>
      <c r="L227" s="69" t="s">
        <v>387</v>
      </c>
      <c r="M227" s="83" t="s">
        <v>731</v>
      </c>
      <c r="N227" s="144">
        <v>3.08</v>
      </c>
      <c r="O227" s="144">
        <v>3.08</v>
      </c>
      <c r="P227" s="144">
        <v>3.05</v>
      </c>
      <c r="Q227" s="144">
        <v>3.05</v>
      </c>
      <c r="R227" s="144">
        <v>3.05</v>
      </c>
      <c r="S227" s="144">
        <v>3.05</v>
      </c>
      <c r="T227" s="144">
        <v>3.05</v>
      </c>
      <c r="U227" s="144">
        <v>3.05</v>
      </c>
      <c r="V227" s="144">
        <v>3.05</v>
      </c>
      <c r="W227" s="144">
        <v>3.05</v>
      </c>
      <c r="X227" s="144">
        <v>3.05</v>
      </c>
      <c r="Y227" s="259">
        <v>3.05</v>
      </c>
      <c r="Z227" s="10">
        <v>0.23</v>
      </c>
      <c r="AA227" s="10">
        <v>0.23</v>
      </c>
      <c r="AB227" s="10">
        <v>0.25</v>
      </c>
      <c r="AC227" s="10">
        <v>0.25</v>
      </c>
      <c r="AD227" s="10">
        <v>0.25</v>
      </c>
      <c r="AE227" s="10">
        <v>0.25</v>
      </c>
      <c r="AF227" s="10">
        <v>0.25</v>
      </c>
      <c r="AG227" s="10">
        <v>0.25</v>
      </c>
      <c r="AH227" s="10">
        <v>0.25</v>
      </c>
      <c r="AI227" s="10">
        <v>0.25</v>
      </c>
      <c r="AJ227" s="10">
        <v>0.25</v>
      </c>
      <c r="AK227" s="257">
        <v>0.25</v>
      </c>
      <c r="AL227" s="5">
        <v>0</v>
      </c>
      <c r="AM227" s="118">
        <f t="shared" si="37"/>
        <v>0</v>
      </c>
      <c r="AN227" s="5">
        <v>0</v>
      </c>
      <c r="AO227" s="118">
        <f t="shared" si="35"/>
        <v>0</v>
      </c>
      <c r="AP227" s="5">
        <v>0</v>
      </c>
      <c r="AQ227" s="127">
        <v>0</v>
      </c>
      <c r="AR227" s="5">
        <v>0</v>
      </c>
      <c r="AS227" s="118">
        <f t="shared" si="4"/>
        <v>0</v>
      </c>
      <c r="AT227" s="5">
        <v>0</v>
      </c>
      <c r="AU227" s="118">
        <f t="shared" si="5"/>
        <v>0</v>
      </c>
      <c r="AV227" s="5">
        <v>0</v>
      </c>
      <c r="AW227" s="127">
        <f t="shared" si="6"/>
        <v>0</v>
      </c>
      <c r="AX227" s="5">
        <v>0</v>
      </c>
      <c r="AY227" s="118">
        <f t="shared" si="7"/>
        <v>0</v>
      </c>
      <c r="AZ227" s="5">
        <v>0</v>
      </c>
      <c r="BA227" s="118">
        <f t="shared" si="8"/>
        <v>0</v>
      </c>
      <c r="BB227" s="5">
        <v>0</v>
      </c>
      <c r="BC227" s="127">
        <f t="shared" si="9"/>
        <v>0</v>
      </c>
      <c r="BD227" s="5">
        <v>0</v>
      </c>
      <c r="BE227" s="118">
        <f t="shared" si="10"/>
        <v>0</v>
      </c>
      <c r="BF227" s="5">
        <v>0</v>
      </c>
      <c r="BG227" s="118">
        <f t="shared" si="11"/>
        <v>0</v>
      </c>
      <c r="BH227" s="5">
        <v>0</v>
      </c>
      <c r="BI227" s="127">
        <f t="shared" si="12"/>
        <v>0</v>
      </c>
      <c r="BJ227" s="220" t="s">
        <v>725</v>
      </c>
      <c r="BL227" s="1" t="s">
        <v>539</v>
      </c>
      <c r="BM227" s="220" t="s">
        <v>727</v>
      </c>
      <c r="BN227" s="264"/>
      <c r="BO227" s="234"/>
    </row>
    <row r="228" spans="1:67" s="8" customFormat="1">
      <c r="A228" s="219" t="s">
        <v>823</v>
      </c>
      <c r="B228" s="182" t="s">
        <v>267</v>
      </c>
      <c r="C228" s="66" t="s">
        <v>175</v>
      </c>
      <c r="D228" s="284"/>
      <c r="E228" s="77" t="s">
        <v>176</v>
      </c>
      <c r="F228" s="281"/>
      <c r="G228" s="71" t="s">
        <v>202</v>
      </c>
      <c r="H228" s="70" t="s">
        <v>276</v>
      </c>
      <c r="I228" s="70" t="s">
        <v>180</v>
      </c>
      <c r="J228" s="71" t="s">
        <v>193</v>
      </c>
      <c r="K228" s="70" t="s">
        <v>275</v>
      </c>
      <c r="L228" s="69" t="s">
        <v>387</v>
      </c>
      <c r="M228" s="83" t="s">
        <v>731</v>
      </c>
      <c r="N228" s="144">
        <v>3.08</v>
      </c>
      <c r="O228" s="144">
        <v>3.08</v>
      </c>
      <c r="P228" s="144">
        <v>3.05</v>
      </c>
      <c r="Q228" s="144">
        <v>3.05</v>
      </c>
      <c r="R228" s="144">
        <v>3.05</v>
      </c>
      <c r="S228" s="144">
        <v>3.05</v>
      </c>
      <c r="T228" s="144">
        <v>3.05</v>
      </c>
      <c r="U228" s="144">
        <v>3.05</v>
      </c>
      <c r="V228" s="144">
        <v>3.05</v>
      </c>
      <c r="W228" s="144">
        <v>3.05</v>
      </c>
      <c r="X228" s="144">
        <v>3.05</v>
      </c>
      <c r="Y228" s="259">
        <v>3.05</v>
      </c>
      <c r="Z228" s="10">
        <v>0.23</v>
      </c>
      <c r="AA228" s="10">
        <v>0.23</v>
      </c>
      <c r="AB228" s="10">
        <v>0.25</v>
      </c>
      <c r="AC228" s="10">
        <v>0.25</v>
      </c>
      <c r="AD228" s="10">
        <v>0.25</v>
      </c>
      <c r="AE228" s="10">
        <v>0.25</v>
      </c>
      <c r="AF228" s="10">
        <v>0.25</v>
      </c>
      <c r="AG228" s="10">
        <v>0.25</v>
      </c>
      <c r="AH228" s="10">
        <v>0.25</v>
      </c>
      <c r="AI228" s="10">
        <v>0.25</v>
      </c>
      <c r="AJ228" s="10">
        <v>0.25</v>
      </c>
      <c r="AK228" s="257">
        <v>0.25</v>
      </c>
      <c r="AL228" s="5">
        <v>0</v>
      </c>
      <c r="AM228" s="118">
        <f t="shared" si="37"/>
        <v>0</v>
      </c>
      <c r="AN228" s="5">
        <v>0</v>
      </c>
      <c r="AO228" s="118">
        <f t="shared" si="35"/>
        <v>0</v>
      </c>
      <c r="AP228" s="5">
        <v>0</v>
      </c>
      <c r="AQ228" s="127">
        <v>0</v>
      </c>
      <c r="AR228" s="5">
        <v>0</v>
      </c>
      <c r="AS228" s="118">
        <f t="shared" si="4"/>
        <v>0</v>
      </c>
      <c r="AT228" s="5">
        <v>0</v>
      </c>
      <c r="AU228" s="118">
        <f t="shared" si="5"/>
        <v>0</v>
      </c>
      <c r="AV228" s="5">
        <v>0</v>
      </c>
      <c r="AW228" s="127">
        <f t="shared" si="6"/>
        <v>0</v>
      </c>
      <c r="AX228" s="5">
        <v>0</v>
      </c>
      <c r="AY228" s="118">
        <f t="shared" si="7"/>
        <v>0</v>
      </c>
      <c r="AZ228" s="5">
        <v>0</v>
      </c>
      <c r="BA228" s="118">
        <f t="shared" si="8"/>
        <v>0</v>
      </c>
      <c r="BB228" s="5">
        <v>0</v>
      </c>
      <c r="BC228" s="127">
        <f t="shared" si="9"/>
        <v>0</v>
      </c>
      <c r="BD228" s="5">
        <v>0</v>
      </c>
      <c r="BE228" s="118">
        <f t="shared" si="10"/>
        <v>0</v>
      </c>
      <c r="BF228" s="5">
        <v>0</v>
      </c>
      <c r="BG228" s="118">
        <f t="shared" si="11"/>
        <v>0</v>
      </c>
      <c r="BH228" s="5">
        <v>0</v>
      </c>
      <c r="BI228" s="127">
        <f t="shared" si="12"/>
        <v>0</v>
      </c>
      <c r="BJ228" s="220" t="s">
        <v>725</v>
      </c>
      <c r="BL228" s="1" t="s">
        <v>539</v>
      </c>
      <c r="BM228" s="220" t="s">
        <v>728</v>
      </c>
      <c r="BN228" s="264"/>
      <c r="BO228" s="234"/>
    </row>
    <row r="229" spans="1:67" s="8" customFormat="1">
      <c r="A229" s="219" t="s">
        <v>823</v>
      </c>
      <c r="B229" s="182" t="s">
        <v>267</v>
      </c>
      <c r="C229" s="66" t="s">
        <v>175</v>
      </c>
      <c r="D229" s="284"/>
      <c r="E229" s="77" t="s">
        <v>176</v>
      </c>
      <c r="F229" s="281"/>
      <c r="G229" s="71" t="s">
        <v>202</v>
      </c>
      <c r="H229" s="70" t="s">
        <v>276</v>
      </c>
      <c r="I229" s="70" t="s">
        <v>180</v>
      </c>
      <c r="J229" s="71" t="s">
        <v>193</v>
      </c>
      <c r="K229" s="70" t="s">
        <v>275</v>
      </c>
      <c r="L229" s="69" t="s">
        <v>387</v>
      </c>
      <c r="M229" s="83" t="s">
        <v>731</v>
      </c>
      <c r="N229" s="144">
        <v>3.08</v>
      </c>
      <c r="O229" s="144">
        <v>3.08</v>
      </c>
      <c r="P229" s="144">
        <v>3.05</v>
      </c>
      <c r="Q229" s="144">
        <v>3.05</v>
      </c>
      <c r="R229" s="144">
        <v>3.05</v>
      </c>
      <c r="S229" s="144">
        <v>3.05</v>
      </c>
      <c r="T229" s="144">
        <v>3.05</v>
      </c>
      <c r="U229" s="144">
        <v>3.05</v>
      </c>
      <c r="V229" s="144">
        <v>3.05</v>
      </c>
      <c r="W229" s="144">
        <v>3.05</v>
      </c>
      <c r="X229" s="144">
        <v>3.05</v>
      </c>
      <c r="Y229" s="259">
        <v>3.05</v>
      </c>
      <c r="Z229" s="10">
        <v>0.23</v>
      </c>
      <c r="AA229" s="10">
        <v>0.23</v>
      </c>
      <c r="AB229" s="10">
        <v>0.25</v>
      </c>
      <c r="AC229" s="10">
        <v>0.25</v>
      </c>
      <c r="AD229" s="10">
        <v>0.25</v>
      </c>
      <c r="AE229" s="10">
        <v>0.25</v>
      </c>
      <c r="AF229" s="10">
        <v>0.25</v>
      </c>
      <c r="AG229" s="10">
        <v>0.25</v>
      </c>
      <c r="AH229" s="10">
        <v>0.25</v>
      </c>
      <c r="AI229" s="10">
        <v>0.25</v>
      </c>
      <c r="AJ229" s="10">
        <v>0.25</v>
      </c>
      <c r="AK229" s="257">
        <v>0.25</v>
      </c>
      <c r="AL229" s="5">
        <v>0</v>
      </c>
      <c r="AM229" s="118">
        <f t="shared" si="37"/>
        <v>0</v>
      </c>
      <c r="AN229" s="5">
        <v>0</v>
      </c>
      <c r="AO229" s="118">
        <f t="shared" si="35"/>
        <v>0</v>
      </c>
      <c r="AP229" s="5">
        <v>0</v>
      </c>
      <c r="AQ229" s="127">
        <v>0</v>
      </c>
      <c r="AR229" s="5">
        <v>0</v>
      </c>
      <c r="AS229" s="118">
        <f t="shared" si="4"/>
        <v>0</v>
      </c>
      <c r="AT229" s="5">
        <v>0</v>
      </c>
      <c r="AU229" s="118">
        <f t="shared" si="5"/>
        <v>0</v>
      </c>
      <c r="AV229" s="5">
        <v>0</v>
      </c>
      <c r="AW229" s="127">
        <f t="shared" si="6"/>
        <v>0</v>
      </c>
      <c r="AX229" s="5">
        <v>0</v>
      </c>
      <c r="AY229" s="118">
        <f t="shared" si="7"/>
        <v>0</v>
      </c>
      <c r="AZ229" s="5">
        <v>0</v>
      </c>
      <c r="BA229" s="118">
        <f t="shared" si="8"/>
        <v>0</v>
      </c>
      <c r="BB229" s="5">
        <v>0</v>
      </c>
      <c r="BC229" s="127">
        <f t="shared" si="9"/>
        <v>0</v>
      </c>
      <c r="BD229" s="5">
        <v>0</v>
      </c>
      <c r="BE229" s="118">
        <f t="shared" si="10"/>
        <v>0</v>
      </c>
      <c r="BF229" s="5">
        <v>0</v>
      </c>
      <c r="BG229" s="118">
        <f t="shared" si="11"/>
        <v>0</v>
      </c>
      <c r="BH229" s="5">
        <v>0</v>
      </c>
      <c r="BI229" s="127">
        <f t="shared" si="12"/>
        <v>0</v>
      </c>
      <c r="BJ229" s="220" t="s">
        <v>725</v>
      </c>
      <c r="BL229" s="1" t="s">
        <v>539</v>
      </c>
      <c r="BM229" s="220" t="s">
        <v>729</v>
      </c>
      <c r="BN229" s="264"/>
      <c r="BO229" s="234"/>
    </row>
    <row r="230" spans="1:67" s="8" customFormat="1">
      <c r="A230" s="219" t="s">
        <v>823</v>
      </c>
      <c r="B230" s="182" t="s">
        <v>267</v>
      </c>
      <c r="C230" s="66" t="s">
        <v>175</v>
      </c>
      <c r="D230" s="284"/>
      <c r="E230" s="77" t="s">
        <v>176</v>
      </c>
      <c r="F230" s="281"/>
      <c r="G230" s="71" t="s">
        <v>202</v>
      </c>
      <c r="H230" s="70" t="s">
        <v>276</v>
      </c>
      <c r="I230" s="70" t="s">
        <v>180</v>
      </c>
      <c r="J230" s="71" t="s">
        <v>193</v>
      </c>
      <c r="K230" s="70" t="s">
        <v>275</v>
      </c>
      <c r="L230" s="69" t="s">
        <v>387</v>
      </c>
      <c r="M230" s="83" t="s">
        <v>731</v>
      </c>
      <c r="N230" s="144">
        <v>3.08</v>
      </c>
      <c r="O230" s="144">
        <v>3.08</v>
      </c>
      <c r="P230" s="144">
        <v>3.05</v>
      </c>
      <c r="Q230" s="144">
        <v>3.05</v>
      </c>
      <c r="R230" s="144">
        <v>3.05</v>
      </c>
      <c r="S230" s="144">
        <v>3.05</v>
      </c>
      <c r="T230" s="144">
        <v>3.05</v>
      </c>
      <c r="U230" s="144">
        <v>3.05</v>
      </c>
      <c r="V230" s="144">
        <v>3.05</v>
      </c>
      <c r="W230" s="144">
        <v>3.05</v>
      </c>
      <c r="X230" s="144">
        <v>3.05</v>
      </c>
      <c r="Y230" s="259">
        <v>3.05</v>
      </c>
      <c r="Z230" s="10">
        <v>0.23</v>
      </c>
      <c r="AA230" s="10">
        <v>0.23</v>
      </c>
      <c r="AB230" s="10">
        <v>0.25</v>
      </c>
      <c r="AC230" s="10">
        <v>0.25</v>
      </c>
      <c r="AD230" s="10">
        <v>0.25</v>
      </c>
      <c r="AE230" s="10">
        <v>0.25</v>
      </c>
      <c r="AF230" s="10">
        <v>0.25</v>
      </c>
      <c r="AG230" s="10">
        <v>0.25</v>
      </c>
      <c r="AH230" s="10">
        <v>0.25</v>
      </c>
      <c r="AI230" s="10">
        <v>0.25</v>
      </c>
      <c r="AJ230" s="10">
        <v>0.25</v>
      </c>
      <c r="AK230" s="257">
        <v>0.25</v>
      </c>
      <c r="AL230" s="5">
        <v>0</v>
      </c>
      <c r="AM230" s="118">
        <f t="shared" si="37"/>
        <v>0</v>
      </c>
      <c r="AN230" s="5">
        <v>0</v>
      </c>
      <c r="AO230" s="118">
        <f t="shared" si="35"/>
        <v>0</v>
      </c>
      <c r="AP230" s="5">
        <v>0</v>
      </c>
      <c r="AQ230" s="127">
        <v>0</v>
      </c>
      <c r="AR230" s="5">
        <v>0</v>
      </c>
      <c r="AS230" s="118">
        <f t="shared" si="4"/>
        <v>0</v>
      </c>
      <c r="AT230" s="5">
        <v>0</v>
      </c>
      <c r="AU230" s="118">
        <f t="shared" si="5"/>
        <v>0</v>
      </c>
      <c r="AV230" s="5">
        <v>0</v>
      </c>
      <c r="AW230" s="127">
        <f t="shared" si="6"/>
        <v>0</v>
      </c>
      <c r="AX230" s="5">
        <v>0</v>
      </c>
      <c r="AY230" s="118">
        <f t="shared" si="7"/>
        <v>0</v>
      </c>
      <c r="AZ230" s="5">
        <v>0</v>
      </c>
      <c r="BA230" s="118">
        <f t="shared" si="8"/>
        <v>0</v>
      </c>
      <c r="BB230" s="5">
        <v>0</v>
      </c>
      <c r="BC230" s="127">
        <f t="shared" si="9"/>
        <v>0</v>
      </c>
      <c r="BD230" s="5">
        <v>0</v>
      </c>
      <c r="BE230" s="118">
        <f t="shared" si="10"/>
        <v>0</v>
      </c>
      <c r="BF230" s="5">
        <v>0</v>
      </c>
      <c r="BG230" s="118">
        <f t="shared" si="11"/>
        <v>0</v>
      </c>
      <c r="BH230" s="5">
        <v>0</v>
      </c>
      <c r="BI230" s="127">
        <f t="shared" si="12"/>
        <v>0</v>
      </c>
      <c r="BJ230" s="220" t="s">
        <v>725</v>
      </c>
      <c r="BL230" s="1" t="s">
        <v>539</v>
      </c>
      <c r="BM230" s="220" t="s">
        <v>730</v>
      </c>
      <c r="BN230" s="264"/>
      <c r="BO230" s="234"/>
    </row>
    <row r="231" spans="1:67" s="8" customFormat="1">
      <c r="A231" s="219" t="s">
        <v>823</v>
      </c>
      <c r="B231" s="182"/>
      <c r="C231" s="66" t="s">
        <v>175</v>
      </c>
      <c r="D231" s="285"/>
      <c r="E231" s="77" t="s">
        <v>176</v>
      </c>
      <c r="F231" s="280"/>
      <c r="G231" s="71"/>
      <c r="H231" s="70"/>
      <c r="I231" s="70"/>
      <c r="J231" s="71"/>
      <c r="K231" s="70"/>
      <c r="L231" s="69"/>
      <c r="M231" s="52"/>
      <c r="N231" s="181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258"/>
      <c r="Z231" s="48"/>
      <c r="AA231" s="48"/>
      <c r="AB231" s="48"/>
      <c r="AC231" s="48"/>
      <c r="AD231" s="48"/>
      <c r="AE231" s="48"/>
      <c r="AF231" s="48"/>
      <c r="AG231" s="48"/>
      <c r="AH231" s="48"/>
      <c r="AI231" s="48"/>
      <c r="AJ231" s="48"/>
      <c r="AK231" s="262"/>
      <c r="AL231" s="23"/>
      <c r="AM231" s="184">
        <f t="shared" si="37"/>
        <v>0</v>
      </c>
      <c r="AN231" s="23"/>
      <c r="AO231" s="184">
        <f t="shared" si="35"/>
        <v>0</v>
      </c>
      <c r="AP231" s="23"/>
      <c r="AQ231" s="185">
        <f t="shared" si="3"/>
        <v>0</v>
      </c>
      <c r="AR231" s="23"/>
      <c r="AS231" s="184">
        <f t="shared" si="4"/>
        <v>0</v>
      </c>
      <c r="AT231" s="23"/>
      <c r="AU231" s="184">
        <f t="shared" si="5"/>
        <v>0</v>
      </c>
      <c r="AV231" s="23">
        <v>0</v>
      </c>
      <c r="AW231" s="185">
        <f t="shared" si="6"/>
        <v>0</v>
      </c>
      <c r="AX231" s="50">
        <v>0</v>
      </c>
      <c r="AY231" s="184">
        <f t="shared" si="7"/>
        <v>0</v>
      </c>
      <c r="AZ231" s="50">
        <v>0</v>
      </c>
      <c r="BA231" s="184">
        <f t="shared" si="8"/>
        <v>0</v>
      </c>
      <c r="BB231" s="23">
        <v>0</v>
      </c>
      <c r="BC231" s="185">
        <f t="shared" si="9"/>
        <v>0</v>
      </c>
      <c r="BD231" s="50">
        <v>0</v>
      </c>
      <c r="BE231" s="184">
        <f t="shared" si="10"/>
        <v>0</v>
      </c>
      <c r="BF231" s="23">
        <v>0</v>
      </c>
      <c r="BG231" s="184">
        <f t="shared" si="11"/>
        <v>0</v>
      </c>
      <c r="BH231" s="23">
        <v>0</v>
      </c>
      <c r="BI231" s="185">
        <f t="shared" si="12"/>
        <v>0</v>
      </c>
      <c r="BJ231" s="220"/>
      <c r="BM231" s="220" t="s">
        <v>208</v>
      </c>
      <c r="BN231" s="233"/>
      <c r="BO231" s="234"/>
    </row>
    <row r="232" spans="1:67">
      <c r="A232" s="219" t="s">
        <v>823</v>
      </c>
      <c r="B232" s="212" t="s">
        <v>267</v>
      </c>
      <c r="C232" s="73" t="s">
        <v>175</v>
      </c>
      <c r="D232" s="286" t="s">
        <v>388</v>
      </c>
      <c r="E232" s="102" t="s">
        <v>176</v>
      </c>
      <c r="F232" s="279" t="s">
        <v>75</v>
      </c>
      <c r="G232" s="64" t="s">
        <v>178</v>
      </c>
      <c r="H232" s="63" t="s">
        <v>732</v>
      </c>
      <c r="I232" s="63" t="s">
        <v>180</v>
      </c>
      <c r="J232" s="64" t="s">
        <v>272</v>
      </c>
      <c r="K232" s="63" t="s">
        <v>715</v>
      </c>
      <c r="L232" s="62" t="s">
        <v>185</v>
      </c>
      <c r="M232" s="83" t="s">
        <v>453</v>
      </c>
      <c r="N232" s="144">
        <v>3.1</v>
      </c>
      <c r="O232" s="144">
        <v>3.1</v>
      </c>
      <c r="P232" s="144">
        <v>3.1</v>
      </c>
      <c r="Q232" s="144">
        <v>3.1</v>
      </c>
      <c r="R232" s="144">
        <v>3.1</v>
      </c>
      <c r="S232" s="144">
        <v>3.1</v>
      </c>
      <c r="T232" s="144">
        <v>3.1</v>
      </c>
      <c r="U232" s="144">
        <v>3.1</v>
      </c>
      <c r="V232" s="144">
        <v>3.1</v>
      </c>
      <c r="W232" s="144">
        <v>3.1</v>
      </c>
      <c r="X232" s="144">
        <v>3.1</v>
      </c>
      <c r="Y232" s="259">
        <v>3.1</v>
      </c>
      <c r="Z232" s="10">
        <v>0.22</v>
      </c>
      <c r="AA232" s="10">
        <v>0.22</v>
      </c>
      <c r="AB232" s="10">
        <v>0.22</v>
      </c>
      <c r="AC232" s="10">
        <v>0.22</v>
      </c>
      <c r="AD232" s="10">
        <v>0.22</v>
      </c>
      <c r="AE232" s="10">
        <v>0.22</v>
      </c>
      <c r="AF232" s="10">
        <v>0.22</v>
      </c>
      <c r="AG232" s="10">
        <v>0.22</v>
      </c>
      <c r="AH232" s="10">
        <v>0.22</v>
      </c>
      <c r="AI232" s="10">
        <v>0.22</v>
      </c>
      <c r="AJ232" s="10">
        <v>0.22</v>
      </c>
      <c r="AK232" s="257">
        <v>0.22</v>
      </c>
      <c r="AL232" s="5">
        <v>1080</v>
      </c>
      <c r="AM232" s="118">
        <f t="shared" si="37"/>
        <v>237.6</v>
      </c>
      <c r="AN232" s="5">
        <v>2080</v>
      </c>
      <c r="AO232" s="118">
        <f t="shared" si="35"/>
        <v>457.6</v>
      </c>
      <c r="AP232" s="5">
        <v>0</v>
      </c>
      <c r="AQ232" s="127">
        <f t="shared" si="3"/>
        <v>0</v>
      </c>
      <c r="AR232" s="5">
        <v>0</v>
      </c>
      <c r="AS232" s="118">
        <f t="shared" si="4"/>
        <v>0</v>
      </c>
      <c r="AT232" s="5">
        <v>40</v>
      </c>
      <c r="AU232" s="118">
        <f t="shared" si="5"/>
        <v>8.8000000000000007</v>
      </c>
      <c r="AV232" s="5">
        <v>0</v>
      </c>
      <c r="AW232" s="127">
        <f t="shared" si="6"/>
        <v>0</v>
      </c>
      <c r="AX232" s="5">
        <v>0</v>
      </c>
      <c r="AY232" s="118">
        <f t="shared" si="7"/>
        <v>0</v>
      </c>
      <c r="AZ232" s="5">
        <v>0</v>
      </c>
      <c r="BA232" s="118">
        <f t="shared" si="8"/>
        <v>0</v>
      </c>
      <c r="BB232" s="5">
        <v>0</v>
      </c>
      <c r="BC232" s="127">
        <f t="shared" si="9"/>
        <v>0</v>
      </c>
      <c r="BD232" s="5">
        <v>0</v>
      </c>
      <c r="BE232" s="118">
        <f t="shared" si="10"/>
        <v>0</v>
      </c>
      <c r="BF232" s="5">
        <v>0</v>
      </c>
      <c r="BG232" s="118">
        <f t="shared" si="11"/>
        <v>0</v>
      </c>
      <c r="BH232" s="5">
        <v>0</v>
      </c>
      <c r="BI232" s="127">
        <f t="shared" si="12"/>
        <v>0</v>
      </c>
      <c r="BJ232" s="236" t="s">
        <v>733</v>
      </c>
      <c r="BL232" s="1" t="s">
        <v>539</v>
      </c>
      <c r="BM232" s="220" t="s">
        <v>734</v>
      </c>
      <c r="BN232" s="233"/>
      <c r="BO232" s="234"/>
    </row>
    <row r="233" spans="1:67">
      <c r="A233" s="219" t="s">
        <v>823</v>
      </c>
      <c r="B233" s="213" t="s">
        <v>267</v>
      </c>
      <c r="C233" s="66" t="s">
        <v>175</v>
      </c>
      <c r="D233" s="287"/>
      <c r="E233" s="103" t="s">
        <v>176</v>
      </c>
      <c r="F233" s="281"/>
      <c r="G233" s="71" t="s">
        <v>178</v>
      </c>
      <c r="H233" s="70" t="s">
        <v>735</v>
      </c>
      <c r="I233" s="70" t="s">
        <v>180</v>
      </c>
      <c r="J233" s="71" t="s">
        <v>272</v>
      </c>
      <c r="K233" s="70" t="s">
        <v>228</v>
      </c>
      <c r="L233" s="69" t="s">
        <v>185</v>
      </c>
      <c r="M233" s="83" t="s">
        <v>453</v>
      </c>
      <c r="N233" s="144">
        <v>3.1</v>
      </c>
      <c r="O233" s="144">
        <v>3.1</v>
      </c>
      <c r="P233" s="144">
        <v>3.1</v>
      </c>
      <c r="Q233" s="144">
        <v>3.1</v>
      </c>
      <c r="R233" s="144">
        <v>3.1</v>
      </c>
      <c r="S233" s="144">
        <v>3.1</v>
      </c>
      <c r="T233" s="144">
        <v>3.1</v>
      </c>
      <c r="U233" s="144">
        <v>3.1</v>
      </c>
      <c r="V233" s="144">
        <v>3.1</v>
      </c>
      <c r="W233" s="144">
        <v>3.1</v>
      </c>
      <c r="X233" s="144">
        <v>3.1</v>
      </c>
      <c r="Y233" s="259">
        <v>3.1</v>
      </c>
      <c r="Z233" s="10">
        <v>0.22</v>
      </c>
      <c r="AA233" s="10">
        <v>0.22</v>
      </c>
      <c r="AB233" s="10">
        <v>0.22</v>
      </c>
      <c r="AC233" s="10">
        <v>0.22</v>
      </c>
      <c r="AD233" s="10">
        <v>0.22</v>
      </c>
      <c r="AE233" s="10">
        <v>0.22</v>
      </c>
      <c r="AF233" s="10">
        <v>0.22</v>
      </c>
      <c r="AG233" s="10">
        <v>0.22</v>
      </c>
      <c r="AH233" s="10">
        <v>0.22</v>
      </c>
      <c r="AI233" s="10">
        <v>0.22</v>
      </c>
      <c r="AJ233" s="10">
        <v>0.22</v>
      </c>
      <c r="AK233" s="257">
        <v>0.22</v>
      </c>
      <c r="AL233" s="5">
        <v>1240</v>
      </c>
      <c r="AM233" s="118">
        <f t="shared" si="37"/>
        <v>272.8</v>
      </c>
      <c r="AN233" s="5">
        <v>1600</v>
      </c>
      <c r="AO233" s="118">
        <f t="shared" si="35"/>
        <v>352</v>
      </c>
      <c r="AP233" s="5">
        <v>160</v>
      </c>
      <c r="AQ233" s="127">
        <f t="shared" si="3"/>
        <v>35.200000000000003</v>
      </c>
      <c r="AR233" s="5">
        <v>40</v>
      </c>
      <c r="AS233" s="118">
        <f t="shared" si="4"/>
        <v>8.8000000000000007</v>
      </c>
      <c r="AT233" s="5">
        <v>0</v>
      </c>
      <c r="AU233" s="118">
        <f t="shared" si="5"/>
        <v>0</v>
      </c>
      <c r="AV233" s="5">
        <v>500</v>
      </c>
      <c r="AW233" s="127">
        <f t="shared" si="6"/>
        <v>110</v>
      </c>
      <c r="AX233" s="5">
        <v>500</v>
      </c>
      <c r="AY233" s="118">
        <f t="shared" si="7"/>
        <v>110</v>
      </c>
      <c r="AZ233" s="5">
        <v>500</v>
      </c>
      <c r="BA233" s="118">
        <f t="shared" si="8"/>
        <v>110</v>
      </c>
      <c r="BB233" s="5">
        <v>500</v>
      </c>
      <c r="BC233" s="127">
        <f t="shared" si="9"/>
        <v>110</v>
      </c>
      <c r="BD233" s="5">
        <v>500</v>
      </c>
      <c r="BE233" s="118">
        <f t="shared" si="10"/>
        <v>110</v>
      </c>
      <c r="BF233" s="5">
        <v>500</v>
      </c>
      <c r="BG233" s="118">
        <f t="shared" si="11"/>
        <v>110</v>
      </c>
      <c r="BH233" s="5">
        <v>500</v>
      </c>
      <c r="BI233" s="127">
        <f t="shared" si="12"/>
        <v>110</v>
      </c>
      <c r="BJ233" s="236" t="s">
        <v>736</v>
      </c>
      <c r="BL233" s="1" t="s">
        <v>539</v>
      </c>
      <c r="BM233" s="220" t="s">
        <v>737</v>
      </c>
      <c r="BN233" s="233"/>
      <c r="BO233" s="234"/>
    </row>
    <row r="234" spans="1:67">
      <c r="A234" s="219" t="s">
        <v>823</v>
      </c>
      <c r="B234" s="213" t="s">
        <v>267</v>
      </c>
      <c r="C234" s="66" t="s">
        <v>175</v>
      </c>
      <c r="D234" s="287"/>
      <c r="E234" s="103" t="s">
        <v>176</v>
      </c>
      <c r="F234" s="281"/>
      <c r="G234" s="71" t="s">
        <v>178</v>
      </c>
      <c r="H234" s="70" t="s">
        <v>735</v>
      </c>
      <c r="I234" s="70" t="s">
        <v>180</v>
      </c>
      <c r="J234" s="71" t="s">
        <v>272</v>
      </c>
      <c r="K234" s="70" t="s">
        <v>394</v>
      </c>
      <c r="L234" s="69" t="s">
        <v>185</v>
      </c>
      <c r="M234" s="83" t="s">
        <v>453</v>
      </c>
      <c r="N234" s="144">
        <v>3.1</v>
      </c>
      <c r="O234" s="144">
        <v>3.1</v>
      </c>
      <c r="P234" s="144">
        <v>3.1</v>
      </c>
      <c r="Q234" s="144">
        <v>3.1</v>
      </c>
      <c r="R234" s="144">
        <v>3.1</v>
      </c>
      <c r="S234" s="144">
        <v>3.1</v>
      </c>
      <c r="T234" s="144">
        <v>3.1</v>
      </c>
      <c r="U234" s="144">
        <v>3.1</v>
      </c>
      <c r="V234" s="144">
        <v>3.1</v>
      </c>
      <c r="W234" s="144">
        <v>3.1</v>
      </c>
      <c r="X234" s="144">
        <v>3.1</v>
      </c>
      <c r="Y234" s="259">
        <v>3.1</v>
      </c>
      <c r="Z234" s="10">
        <v>0.22</v>
      </c>
      <c r="AA234" s="10">
        <v>0.22</v>
      </c>
      <c r="AB234" s="10">
        <v>0.22</v>
      </c>
      <c r="AC234" s="10">
        <v>0.22</v>
      </c>
      <c r="AD234" s="10">
        <v>0.22</v>
      </c>
      <c r="AE234" s="10">
        <v>0.22</v>
      </c>
      <c r="AF234" s="10">
        <v>0.22</v>
      </c>
      <c r="AG234" s="10">
        <v>0.22</v>
      </c>
      <c r="AH234" s="10">
        <v>0.22</v>
      </c>
      <c r="AI234" s="10">
        <v>0.22</v>
      </c>
      <c r="AJ234" s="10">
        <v>0.22</v>
      </c>
      <c r="AK234" s="257">
        <v>0.22</v>
      </c>
      <c r="AL234" s="5">
        <v>0</v>
      </c>
      <c r="AM234" s="118">
        <f t="shared" si="37"/>
        <v>0</v>
      </c>
      <c r="AN234" s="5">
        <v>0</v>
      </c>
      <c r="AO234" s="118">
        <f t="shared" si="35"/>
        <v>0</v>
      </c>
      <c r="AP234" s="5">
        <v>0</v>
      </c>
      <c r="AQ234" s="127">
        <f t="shared" si="3"/>
        <v>0</v>
      </c>
      <c r="AR234" s="5">
        <v>0</v>
      </c>
      <c r="AS234" s="118">
        <f t="shared" si="4"/>
        <v>0</v>
      </c>
      <c r="AT234" s="5">
        <v>0</v>
      </c>
      <c r="AU234" s="118">
        <f t="shared" si="5"/>
        <v>0</v>
      </c>
      <c r="AV234" s="5">
        <v>0</v>
      </c>
      <c r="AW234" s="127">
        <f t="shared" si="6"/>
        <v>0</v>
      </c>
      <c r="AX234" s="5">
        <v>0</v>
      </c>
      <c r="AY234" s="118">
        <f t="shared" si="7"/>
        <v>0</v>
      </c>
      <c r="AZ234" s="5">
        <v>0</v>
      </c>
      <c r="BA234" s="118">
        <f t="shared" si="8"/>
        <v>0</v>
      </c>
      <c r="BB234" s="5">
        <v>0</v>
      </c>
      <c r="BC234" s="127">
        <f t="shared" si="9"/>
        <v>0</v>
      </c>
      <c r="BD234" s="5">
        <v>0</v>
      </c>
      <c r="BE234" s="118">
        <f t="shared" si="10"/>
        <v>0</v>
      </c>
      <c r="BF234" s="5">
        <v>0</v>
      </c>
      <c r="BG234" s="118">
        <f t="shared" si="11"/>
        <v>0</v>
      </c>
      <c r="BH234" s="5">
        <v>0</v>
      </c>
      <c r="BI234" s="127">
        <f t="shared" si="12"/>
        <v>0</v>
      </c>
      <c r="BJ234" s="220" t="s">
        <v>738</v>
      </c>
      <c r="BL234" s="1" t="s">
        <v>539</v>
      </c>
      <c r="BM234" s="220" t="s">
        <v>739</v>
      </c>
      <c r="BN234" s="233"/>
      <c r="BO234" s="234"/>
    </row>
    <row r="235" spans="1:67">
      <c r="A235" s="219" t="s">
        <v>823</v>
      </c>
      <c r="B235" s="213" t="s">
        <v>267</v>
      </c>
      <c r="C235" s="66" t="s">
        <v>175</v>
      </c>
      <c r="D235" s="287"/>
      <c r="E235" s="103" t="s">
        <v>176</v>
      </c>
      <c r="F235" s="281"/>
      <c r="G235" s="71" t="s">
        <v>202</v>
      </c>
      <c r="H235" s="70" t="s">
        <v>735</v>
      </c>
      <c r="I235" s="70" t="s">
        <v>184</v>
      </c>
      <c r="J235" s="71" t="s">
        <v>272</v>
      </c>
      <c r="K235" s="70" t="s">
        <v>394</v>
      </c>
      <c r="L235" s="69" t="s">
        <v>185</v>
      </c>
      <c r="M235" s="83" t="s">
        <v>453</v>
      </c>
      <c r="N235" s="144">
        <v>8</v>
      </c>
      <c r="O235" s="144">
        <v>8</v>
      </c>
      <c r="P235" s="144">
        <v>8</v>
      </c>
      <c r="Q235" s="144">
        <v>8</v>
      </c>
      <c r="R235" s="144">
        <v>8</v>
      </c>
      <c r="S235" s="144">
        <v>8</v>
      </c>
      <c r="T235" s="144">
        <v>8</v>
      </c>
      <c r="U235" s="144">
        <v>8</v>
      </c>
      <c r="V235" s="144">
        <v>8</v>
      </c>
      <c r="W235" s="144">
        <v>8</v>
      </c>
      <c r="X235" s="144">
        <v>8</v>
      </c>
      <c r="Y235" s="259">
        <v>8</v>
      </c>
      <c r="Z235" s="10">
        <v>0.5</v>
      </c>
      <c r="AA235" s="10">
        <v>0.5</v>
      </c>
      <c r="AB235" s="10">
        <v>0.5</v>
      </c>
      <c r="AC235" s="10">
        <v>0.5</v>
      </c>
      <c r="AD235" s="10">
        <v>0.5</v>
      </c>
      <c r="AE235" s="10">
        <v>0.5</v>
      </c>
      <c r="AF235" s="10">
        <v>0.5</v>
      </c>
      <c r="AG235" s="10">
        <v>0.5</v>
      </c>
      <c r="AH235" s="10">
        <v>0.5</v>
      </c>
      <c r="AI235" s="10">
        <v>0.5</v>
      </c>
      <c r="AJ235" s="10">
        <v>0.5</v>
      </c>
      <c r="AK235" s="257">
        <v>0.5</v>
      </c>
      <c r="AL235" s="5">
        <v>0</v>
      </c>
      <c r="AM235" s="118">
        <f t="shared" si="37"/>
        <v>0</v>
      </c>
      <c r="AN235" s="5">
        <v>60</v>
      </c>
      <c r="AO235" s="118">
        <f t="shared" si="35"/>
        <v>30</v>
      </c>
      <c r="AP235" s="5">
        <v>0</v>
      </c>
      <c r="AQ235" s="127">
        <f t="shared" si="3"/>
        <v>0</v>
      </c>
      <c r="AR235" s="5">
        <v>40</v>
      </c>
      <c r="AS235" s="118">
        <f t="shared" si="4"/>
        <v>20</v>
      </c>
      <c r="AT235" s="5">
        <v>0</v>
      </c>
      <c r="AU235" s="118">
        <f t="shared" si="5"/>
        <v>0</v>
      </c>
      <c r="AV235" s="5">
        <v>0</v>
      </c>
      <c r="AW235" s="127">
        <f t="shared" si="6"/>
        <v>0</v>
      </c>
      <c r="AX235" s="105">
        <v>0</v>
      </c>
      <c r="AY235" s="118">
        <f t="shared" si="7"/>
        <v>0</v>
      </c>
      <c r="AZ235" s="105">
        <v>0</v>
      </c>
      <c r="BA235" s="118">
        <f t="shared" si="8"/>
        <v>0</v>
      </c>
      <c r="BB235" s="105">
        <v>0</v>
      </c>
      <c r="BC235" s="127">
        <f t="shared" si="9"/>
        <v>0</v>
      </c>
      <c r="BD235" s="105">
        <v>0</v>
      </c>
      <c r="BE235" s="118">
        <f t="shared" si="10"/>
        <v>0</v>
      </c>
      <c r="BF235" s="105">
        <v>0</v>
      </c>
      <c r="BG235" s="118">
        <f t="shared" si="11"/>
        <v>0</v>
      </c>
      <c r="BH235" s="105">
        <v>0</v>
      </c>
      <c r="BI235" s="127">
        <f t="shared" si="12"/>
        <v>0</v>
      </c>
      <c r="BJ235" s="235" t="s">
        <v>740</v>
      </c>
      <c r="BL235" s="1" t="s">
        <v>539</v>
      </c>
      <c r="BM235" s="220" t="s">
        <v>741</v>
      </c>
      <c r="BN235" s="233"/>
      <c r="BO235" s="234"/>
    </row>
    <row r="236" spans="1:67">
      <c r="A236" s="219" t="s">
        <v>823</v>
      </c>
      <c r="B236" s="213" t="s">
        <v>267</v>
      </c>
      <c r="C236" s="66" t="s">
        <v>175</v>
      </c>
      <c r="D236" s="287"/>
      <c r="E236" s="103" t="s">
        <v>176</v>
      </c>
      <c r="F236" s="281"/>
      <c r="G236" s="71" t="s">
        <v>202</v>
      </c>
      <c r="H236" s="70" t="s">
        <v>735</v>
      </c>
      <c r="I236" s="70" t="s">
        <v>184</v>
      </c>
      <c r="J236" s="71" t="s">
        <v>272</v>
      </c>
      <c r="K236" s="70" t="s">
        <v>394</v>
      </c>
      <c r="L236" s="69" t="s">
        <v>185</v>
      </c>
      <c r="M236" s="83" t="s">
        <v>453</v>
      </c>
      <c r="N236" s="144">
        <v>8</v>
      </c>
      <c r="O236" s="144">
        <v>8</v>
      </c>
      <c r="P236" s="144">
        <v>8</v>
      </c>
      <c r="Q236" s="144">
        <v>8</v>
      </c>
      <c r="R236" s="144">
        <v>8</v>
      </c>
      <c r="S236" s="144">
        <v>8</v>
      </c>
      <c r="T236" s="144">
        <v>8</v>
      </c>
      <c r="U236" s="144">
        <v>8</v>
      </c>
      <c r="V236" s="144">
        <v>8</v>
      </c>
      <c r="W236" s="144">
        <v>8</v>
      </c>
      <c r="X236" s="144">
        <v>8</v>
      </c>
      <c r="Y236" s="259">
        <v>8</v>
      </c>
      <c r="Z236" s="10">
        <v>0.5</v>
      </c>
      <c r="AA236" s="10">
        <v>0.5</v>
      </c>
      <c r="AB236" s="10">
        <v>0.5</v>
      </c>
      <c r="AC236" s="10">
        <v>0.5</v>
      </c>
      <c r="AD236" s="10">
        <v>0.5</v>
      </c>
      <c r="AE236" s="10">
        <v>0.5</v>
      </c>
      <c r="AF236" s="10">
        <v>0.5</v>
      </c>
      <c r="AG236" s="10">
        <v>0.5</v>
      </c>
      <c r="AH236" s="10">
        <v>0.5</v>
      </c>
      <c r="AI236" s="10">
        <v>0.5</v>
      </c>
      <c r="AJ236" s="10">
        <v>0.5</v>
      </c>
      <c r="AK236" s="257">
        <v>0.5</v>
      </c>
      <c r="AL236" s="5">
        <v>728</v>
      </c>
      <c r="AM236" s="118">
        <f t="shared" si="37"/>
        <v>364</v>
      </c>
      <c r="AN236" s="5">
        <v>840</v>
      </c>
      <c r="AO236" s="118">
        <f t="shared" si="35"/>
        <v>420</v>
      </c>
      <c r="AP236" s="5">
        <v>760</v>
      </c>
      <c r="AQ236" s="127">
        <f t="shared" si="3"/>
        <v>380</v>
      </c>
      <c r="AR236" s="5">
        <v>280</v>
      </c>
      <c r="AS236" s="118">
        <f t="shared" si="4"/>
        <v>140</v>
      </c>
      <c r="AT236" s="5">
        <v>440</v>
      </c>
      <c r="AU236" s="118">
        <f t="shared" si="5"/>
        <v>220</v>
      </c>
      <c r="AV236" s="5">
        <v>0</v>
      </c>
      <c r="AW236" s="127">
        <f t="shared" si="6"/>
        <v>0</v>
      </c>
      <c r="AX236" s="105">
        <v>0</v>
      </c>
      <c r="AY236" s="118">
        <f t="shared" si="7"/>
        <v>0</v>
      </c>
      <c r="AZ236" s="105">
        <v>0</v>
      </c>
      <c r="BA236" s="118">
        <f t="shared" si="8"/>
        <v>0</v>
      </c>
      <c r="BB236" s="105">
        <v>0</v>
      </c>
      <c r="BC236" s="127">
        <f t="shared" si="9"/>
        <v>0</v>
      </c>
      <c r="BD236" s="105">
        <v>0</v>
      </c>
      <c r="BE236" s="118">
        <f t="shared" si="10"/>
        <v>0</v>
      </c>
      <c r="BF236" s="105">
        <v>0</v>
      </c>
      <c r="BG236" s="118">
        <f t="shared" si="11"/>
        <v>0</v>
      </c>
      <c r="BH236" s="105">
        <v>0</v>
      </c>
      <c r="BI236" s="127">
        <f t="shared" si="12"/>
        <v>0</v>
      </c>
      <c r="BJ236" s="235" t="s">
        <v>742</v>
      </c>
      <c r="BL236" s="1" t="s">
        <v>539</v>
      </c>
      <c r="BM236" s="220" t="s">
        <v>743</v>
      </c>
      <c r="BN236" s="233"/>
      <c r="BO236" s="234"/>
    </row>
    <row r="237" spans="1:67">
      <c r="A237" s="219" t="s">
        <v>823</v>
      </c>
      <c r="B237" s="213" t="s">
        <v>267</v>
      </c>
      <c r="C237" s="66" t="s">
        <v>175</v>
      </c>
      <c r="D237" s="287"/>
      <c r="E237" s="103" t="s">
        <v>176</v>
      </c>
      <c r="F237" s="281"/>
      <c r="G237" s="71" t="s">
        <v>202</v>
      </c>
      <c r="H237" s="70" t="s">
        <v>735</v>
      </c>
      <c r="I237" s="70" t="s">
        <v>184</v>
      </c>
      <c r="J237" s="71" t="s">
        <v>272</v>
      </c>
      <c r="K237" s="70" t="s">
        <v>744</v>
      </c>
      <c r="L237" s="69" t="s">
        <v>185</v>
      </c>
      <c r="M237" s="83" t="s">
        <v>453</v>
      </c>
      <c r="N237" s="144">
        <v>9.5</v>
      </c>
      <c r="O237" s="144">
        <v>9.5</v>
      </c>
      <c r="P237" s="144">
        <v>9.5</v>
      </c>
      <c r="Q237" s="144">
        <v>9.5</v>
      </c>
      <c r="R237" s="144">
        <v>9.5</v>
      </c>
      <c r="S237" s="144">
        <v>9.5</v>
      </c>
      <c r="T237" s="144">
        <v>9.5</v>
      </c>
      <c r="U237" s="144">
        <v>9.5</v>
      </c>
      <c r="V237" s="144">
        <v>9.5</v>
      </c>
      <c r="W237" s="144">
        <v>9.5</v>
      </c>
      <c r="X237" s="144">
        <v>9.5</v>
      </c>
      <c r="Y237" s="259">
        <v>9.5</v>
      </c>
      <c r="Z237" s="10">
        <v>1.52</v>
      </c>
      <c r="AA237" s="10">
        <v>1.52</v>
      </c>
      <c r="AB237" s="10">
        <v>1.52</v>
      </c>
      <c r="AC237" s="10">
        <v>1.52</v>
      </c>
      <c r="AD237" s="10">
        <v>1.52</v>
      </c>
      <c r="AE237" s="10">
        <v>1.52</v>
      </c>
      <c r="AF237" s="10">
        <v>1.52</v>
      </c>
      <c r="AG237" s="10">
        <v>1.52</v>
      </c>
      <c r="AH237" s="10">
        <v>1.52</v>
      </c>
      <c r="AI237" s="10">
        <v>1.52</v>
      </c>
      <c r="AJ237" s="10">
        <v>1.52</v>
      </c>
      <c r="AK237" s="257">
        <v>1.52</v>
      </c>
      <c r="AL237" s="5">
        <v>0</v>
      </c>
      <c r="AM237" s="118">
        <f t="shared" si="37"/>
        <v>0</v>
      </c>
      <c r="AN237" s="5">
        <v>0</v>
      </c>
      <c r="AO237" s="118">
        <f t="shared" si="35"/>
        <v>0</v>
      </c>
      <c r="AP237" s="5">
        <v>0</v>
      </c>
      <c r="AQ237" s="127">
        <f t="shared" si="3"/>
        <v>0</v>
      </c>
      <c r="AR237" s="5">
        <v>0</v>
      </c>
      <c r="AS237" s="118">
        <f t="shared" si="4"/>
        <v>0</v>
      </c>
      <c r="AT237" s="5">
        <v>0</v>
      </c>
      <c r="AU237" s="118">
        <f t="shared" si="5"/>
        <v>0</v>
      </c>
      <c r="AV237" s="5">
        <v>0</v>
      </c>
      <c r="AW237" s="127">
        <f t="shared" si="6"/>
        <v>0</v>
      </c>
      <c r="AX237" s="105">
        <v>0</v>
      </c>
      <c r="AY237" s="118">
        <f t="shared" si="7"/>
        <v>0</v>
      </c>
      <c r="AZ237" s="105">
        <v>0</v>
      </c>
      <c r="BA237" s="118">
        <f t="shared" si="8"/>
        <v>0</v>
      </c>
      <c r="BB237" s="105">
        <v>0</v>
      </c>
      <c r="BC237" s="127">
        <f t="shared" si="9"/>
        <v>0</v>
      </c>
      <c r="BD237" s="105">
        <v>0</v>
      </c>
      <c r="BE237" s="118">
        <f t="shared" si="10"/>
        <v>0</v>
      </c>
      <c r="BF237" s="105">
        <v>0</v>
      </c>
      <c r="BG237" s="118">
        <f t="shared" si="11"/>
        <v>0</v>
      </c>
      <c r="BH237" s="105">
        <v>0</v>
      </c>
      <c r="BI237" s="127">
        <f t="shared" si="12"/>
        <v>0</v>
      </c>
      <c r="BJ237" s="220" t="s">
        <v>745</v>
      </c>
      <c r="BL237" s="1" t="s">
        <v>539</v>
      </c>
      <c r="BM237" s="220" t="s">
        <v>746</v>
      </c>
      <c r="BN237" s="233"/>
      <c r="BO237" s="234"/>
    </row>
    <row r="238" spans="1:67">
      <c r="A238" s="219" t="s">
        <v>823</v>
      </c>
      <c r="B238" s="213" t="s">
        <v>267</v>
      </c>
      <c r="C238" s="66" t="s">
        <v>175</v>
      </c>
      <c r="D238" s="287"/>
      <c r="E238" s="103" t="s">
        <v>176</v>
      </c>
      <c r="F238" s="281"/>
      <c r="G238" s="71" t="s">
        <v>202</v>
      </c>
      <c r="H238" s="70" t="s">
        <v>735</v>
      </c>
      <c r="I238" s="70" t="s">
        <v>184</v>
      </c>
      <c r="J238" s="71" t="s">
        <v>272</v>
      </c>
      <c r="K238" s="70" t="s">
        <v>747</v>
      </c>
      <c r="L238" s="69" t="s">
        <v>185</v>
      </c>
      <c r="M238" s="83" t="s">
        <v>453</v>
      </c>
      <c r="N238" s="144">
        <v>9.5</v>
      </c>
      <c r="O238" s="144">
        <v>9.5</v>
      </c>
      <c r="P238" s="144">
        <v>9.5</v>
      </c>
      <c r="Q238" s="144">
        <v>9.5</v>
      </c>
      <c r="R238" s="144">
        <v>9.5</v>
      </c>
      <c r="S238" s="144">
        <v>9.5</v>
      </c>
      <c r="T238" s="144">
        <v>9.5</v>
      </c>
      <c r="U238" s="144">
        <v>9.5</v>
      </c>
      <c r="V238" s="144">
        <v>9.5</v>
      </c>
      <c r="W238" s="144">
        <v>9.5</v>
      </c>
      <c r="X238" s="144">
        <v>9.5</v>
      </c>
      <c r="Y238" s="259">
        <v>9.5</v>
      </c>
      <c r="Z238" s="10">
        <v>1.52</v>
      </c>
      <c r="AA238" s="10">
        <v>1.52</v>
      </c>
      <c r="AB238" s="10">
        <v>1.52</v>
      </c>
      <c r="AC238" s="10">
        <v>1.52</v>
      </c>
      <c r="AD238" s="10">
        <v>1.52</v>
      </c>
      <c r="AE238" s="10">
        <v>1.52</v>
      </c>
      <c r="AF238" s="10">
        <v>1.52</v>
      </c>
      <c r="AG238" s="10">
        <v>1.52</v>
      </c>
      <c r="AH238" s="10">
        <v>1.52</v>
      </c>
      <c r="AI238" s="10">
        <v>1.52</v>
      </c>
      <c r="AJ238" s="10">
        <v>1.52</v>
      </c>
      <c r="AK238" s="257">
        <v>1.52</v>
      </c>
      <c r="AL238" s="5">
        <v>0</v>
      </c>
      <c r="AM238" s="118">
        <f t="shared" si="37"/>
        <v>0</v>
      </c>
      <c r="AN238" s="5">
        <v>0</v>
      </c>
      <c r="AO238" s="118">
        <f t="shared" si="35"/>
        <v>0</v>
      </c>
      <c r="AP238" s="5">
        <v>0</v>
      </c>
      <c r="AQ238" s="127">
        <f t="shared" si="3"/>
        <v>0</v>
      </c>
      <c r="AR238" s="5">
        <v>0</v>
      </c>
      <c r="AS238" s="118">
        <f t="shared" si="4"/>
        <v>0</v>
      </c>
      <c r="AT238" s="5">
        <v>0</v>
      </c>
      <c r="AU238" s="118">
        <f t="shared" si="5"/>
        <v>0</v>
      </c>
      <c r="AV238" s="5">
        <v>0</v>
      </c>
      <c r="AW238" s="127">
        <f t="shared" si="6"/>
        <v>0</v>
      </c>
      <c r="AX238" s="105">
        <v>0</v>
      </c>
      <c r="AY238" s="118">
        <f t="shared" si="7"/>
        <v>0</v>
      </c>
      <c r="AZ238" s="105">
        <v>0</v>
      </c>
      <c r="BA238" s="118">
        <f t="shared" si="8"/>
        <v>0</v>
      </c>
      <c r="BB238" s="105">
        <v>0</v>
      </c>
      <c r="BC238" s="127">
        <f t="shared" si="9"/>
        <v>0</v>
      </c>
      <c r="BD238" s="105">
        <v>0</v>
      </c>
      <c r="BE238" s="118">
        <f t="shared" si="10"/>
        <v>0</v>
      </c>
      <c r="BF238" s="105">
        <v>0</v>
      </c>
      <c r="BG238" s="118">
        <f t="shared" si="11"/>
        <v>0</v>
      </c>
      <c r="BH238" s="105">
        <v>0</v>
      </c>
      <c r="BI238" s="127">
        <f t="shared" si="12"/>
        <v>0</v>
      </c>
      <c r="BJ238" s="220" t="s">
        <v>748</v>
      </c>
      <c r="BL238" s="1" t="s">
        <v>539</v>
      </c>
      <c r="BM238" s="220" t="s">
        <v>749</v>
      </c>
      <c r="BN238" s="233"/>
      <c r="BO238" s="234"/>
    </row>
    <row r="239" spans="1:67">
      <c r="A239" s="219" t="s">
        <v>823</v>
      </c>
      <c r="B239" s="213" t="s">
        <v>267</v>
      </c>
      <c r="C239" s="66" t="s">
        <v>175</v>
      </c>
      <c r="D239" s="287"/>
      <c r="E239" s="103" t="s">
        <v>176</v>
      </c>
      <c r="F239" s="281"/>
      <c r="G239" s="71" t="s">
        <v>202</v>
      </c>
      <c r="H239" s="70" t="s">
        <v>735</v>
      </c>
      <c r="I239" s="70" t="s">
        <v>180</v>
      </c>
      <c r="J239" s="71" t="s">
        <v>272</v>
      </c>
      <c r="K239" s="70" t="s">
        <v>715</v>
      </c>
      <c r="L239" s="69" t="s">
        <v>387</v>
      </c>
      <c r="M239" s="68" t="s">
        <v>750</v>
      </c>
      <c r="N239" s="144">
        <v>3.1</v>
      </c>
      <c r="O239" s="144">
        <v>3.1</v>
      </c>
      <c r="P239" s="144">
        <v>3.1</v>
      </c>
      <c r="Q239" s="144">
        <v>3.1</v>
      </c>
      <c r="R239" s="144">
        <v>3.1</v>
      </c>
      <c r="S239" s="144">
        <v>3.1</v>
      </c>
      <c r="T239" s="144">
        <v>3.1</v>
      </c>
      <c r="U239" s="144">
        <v>3.1</v>
      </c>
      <c r="V239" s="144">
        <v>3.1</v>
      </c>
      <c r="W239" s="144">
        <v>3.1</v>
      </c>
      <c r="X239" s="144">
        <v>3.1</v>
      </c>
      <c r="Y239" s="259">
        <v>3.1</v>
      </c>
      <c r="Z239" s="10">
        <v>0.22</v>
      </c>
      <c r="AA239" s="10">
        <v>0.22</v>
      </c>
      <c r="AB239" s="10">
        <v>0.22</v>
      </c>
      <c r="AC239" s="10">
        <v>0.22</v>
      </c>
      <c r="AD239" s="10">
        <v>0.22</v>
      </c>
      <c r="AE239" s="10">
        <v>0.22</v>
      </c>
      <c r="AF239" s="10">
        <v>0.22</v>
      </c>
      <c r="AG239" s="10">
        <v>0.22</v>
      </c>
      <c r="AH239" s="10">
        <v>0.22</v>
      </c>
      <c r="AI239" s="10">
        <v>0.22</v>
      </c>
      <c r="AJ239" s="10">
        <v>0.22</v>
      </c>
      <c r="AK239" s="257">
        <v>0.22</v>
      </c>
      <c r="AL239" s="5">
        <v>0</v>
      </c>
      <c r="AM239" s="118">
        <f t="shared" si="37"/>
        <v>0</v>
      </c>
      <c r="AN239" s="5">
        <v>0</v>
      </c>
      <c r="AO239" s="118">
        <f t="shared" si="35"/>
        <v>0</v>
      </c>
      <c r="AP239" s="5">
        <v>0</v>
      </c>
      <c r="AQ239" s="127">
        <f t="shared" si="3"/>
        <v>0</v>
      </c>
      <c r="AR239" s="5">
        <v>0</v>
      </c>
      <c r="AS239" s="118">
        <f t="shared" si="4"/>
        <v>0</v>
      </c>
      <c r="AT239" s="5">
        <v>0</v>
      </c>
      <c r="AU239" s="118">
        <f t="shared" si="5"/>
        <v>0</v>
      </c>
      <c r="AV239" s="5">
        <v>0</v>
      </c>
      <c r="AW239" s="127">
        <f t="shared" si="6"/>
        <v>0</v>
      </c>
      <c r="AX239" s="105">
        <v>0</v>
      </c>
      <c r="AY239" s="118">
        <f t="shared" si="7"/>
        <v>0</v>
      </c>
      <c r="AZ239" s="105">
        <v>0</v>
      </c>
      <c r="BA239" s="118">
        <f t="shared" si="8"/>
        <v>0</v>
      </c>
      <c r="BB239" s="105">
        <v>0</v>
      </c>
      <c r="BC239" s="127">
        <f t="shared" si="9"/>
        <v>0</v>
      </c>
      <c r="BD239" s="105">
        <v>0</v>
      </c>
      <c r="BE239" s="118">
        <f t="shared" si="10"/>
        <v>0</v>
      </c>
      <c r="BF239" s="105">
        <v>0</v>
      </c>
      <c r="BG239" s="118">
        <f t="shared" si="11"/>
        <v>0</v>
      </c>
      <c r="BH239" s="105">
        <v>0</v>
      </c>
      <c r="BI239" s="127">
        <f t="shared" si="12"/>
        <v>0</v>
      </c>
      <c r="BJ239" s="236" t="s">
        <v>751</v>
      </c>
      <c r="BL239" s="1" t="s">
        <v>539</v>
      </c>
      <c r="BM239" s="220" t="s">
        <v>734</v>
      </c>
      <c r="BN239" s="233"/>
      <c r="BO239" s="234"/>
    </row>
    <row r="240" spans="1:67">
      <c r="A240" s="219" t="s">
        <v>823</v>
      </c>
      <c r="B240" s="213" t="s">
        <v>267</v>
      </c>
      <c r="C240" s="66" t="s">
        <v>175</v>
      </c>
      <c r="D240" s="287"/>
      <c r="E240" s="103" t="s">
        <v>176</v>
      </c>
      <c r="F240" s="281"/>
      <c r="G240" s="71" t="s">
        <v>202</v>
      </c>
      <c r="H240" s="70" t="s">
        <v>735</v>
      </c>
      <c r="I240" s="70" t="s">
        <v>180</v>
      </c>
      <c r="J240" s="71" t="s">
        <v>272</v>
      </c>
      <c r="K240" s="70" t="s">
        <v>715</v>
      </c>
      <c r="L240" s="69" t="s">
        <v>387</v>
      </c>
      <c r="M240" s="68" t="s">
        <v>750</v>
      </c>
      <c r="N240" s="144">
        <v>3.1</v>
      </c>
      <c r="O240" s="144">
        <v>3.1</v>
      </c>
      <c r="P240" s="144">
        <v>3.1</v>
      </c>
      <c r="Q240" s="144">
        <v>3.1</v>
      </c>
      <c r="R240" s="144">
        <v>3.1</v>
      </c>
      <c r="S240" s="144">
        <v>3.1</v>
      </c>
      <c r="T240" s="144">
        <v>3.1</v>
      </c>
      <c r="U240" s="144">
        <v>3.1</v>
      </c>
      <c r="V240" s="144">
        <v>3.1</v>
      </c>
      <c r="W240" s="144">
        <v>3.1</v>
      </c>
      <c r="X240" s="144">
        <v>3.1</v>
      </c>
      <c r="Y240" s="259">
        <v>3.1</v>
      </c>
      <c r="Z240" s="10">
        <v>0.22</v>
      </c>
      <c r="AA240" s="10">
        <v>0.22</v>
      </c>
      <c r="AB240" s="10">
        <v>0.22</v>
      </c>
      <c r="AC240" s="10">
        <v>0.22</v>
      </c>
      <c r="AD240" s="10">
        <v>0.22</v>
      </c>
      <c r="AE240" s="10">
        <v>0.22</v>
      </c>
      <c r="AF240" s="10">
        <v>0.22</v>
      </c>
      <c r="AG240" s="10">
        <v>0.22</v>
      </c>
      <c r="AH240" s="10">
        <v>0.22</v>
      </c>
      <c r="AI240" s="10">
        <v>0.22</v>
      </c>
      <c r="AJ240" s="10">
        <v>0.22</v>
      </c>
      <c r="AK240" s="257">
        <v>0.22</v>
      </c>
      <c r="AL240" s="5">
        <v>2160</v>
      </c>
      <c r="AM240" s="118">
        <f t="shared" si="37"/>
        <v>475.2</v>
      </c>
      <c r="AN240" s="5">
        <v>1520</v>
      </c>
      <c r="AO240" s="118">
        <f t="shared" si="35"/>
        <v>334.4</v>
      </c>
      <c r="AP240" s="5">
        <v>496</v>
      </c>
      <c r="AQ240" s="127">
        <f t="shared" si="3"/>
        <v>109.12</v>
      </c>
      <c r="AR240" s="5">
        <v>120</v>
      </c>
      <c r="AS240" s="118">
        <f t="shared" si="4"/>
        <v>26.4</v>
      </c>
      <c r="AT240" s="5">
        <v>160</v>
      </c>
      <c r="AU240" s="118">
        <f t="shared" si="5"/>
        <v>35.200000000000003</v>
      </c>
      <c r="AV240" s="5">
        <v>0</v>
      </c>
      <c r="AW240" s="127">
        <f t="shared" si="6"/>
        <v>0</v>
      </c>
      <c r="AX240" s="105">
        <v>0</v>
      </c>
      <c r="AY240" s="118">
        <f t="shared" si="7"/>
        <v>0</v>
      </c>
      <c r="AZ240" s="105">
        <v>0</v>
      </c>
      <c r="BA240" s="118">
        <f t="shared" si="8"/>
        <v>0</v>
      </c>
      <c r="BB240" s="105">
        <v>0</v>
      </c>
      <c r="BC240" s="127">
        <f t="shared" si="9"/>
        <v>0</v>
      </c>
      <c r="BD240" s="105">
        <v>0</v>
      </c>
      <c r="BE240" s="118">
        <f t="shared" si="10"/>
        <v>0</v>
      </c>
      <c r="BF240" s="105">
        <v>0</v>
      </c>
      <c r="BG240" s="118">
        <f t="shared" si="11"/>
        <v>0</v>
      </c>
      <c r="BH240" s="105">
        <v>0</v>
      </c>
      <c r="BI240" s="127">
        <f t="shared" si="12"/>
        <v>0</v>
      </c>
      <c r="BJ240" s="236" t="s">
        <v>752</v>
      </c>
      <c r="BL240" s="1" t="s">
        <v>539</v>
      </c>
      <c r="BM240" s="220" t="s">
        <v>737</v>
      </c>
      <c r="BN240" s="233"/>
      <c r="BO240" s="234"/>
    </row>
    <row r="241" spans="1:67">
      <c r="A241" s="219" t="s">
        <v>823</v>
      </c>
      <c r="B241" s="213" t="s">
        <v>267</v>
      </c>
      <c r="C241" s="66" t="s">
        <v>175</v>
      </c>
      <c r="D241" s="287"/>
      <c r="E241" s="103" t="s">
        <v>176</v>
      </c>
      <c r="F241" s="281"/>
      <c r="G241" s="71" t="s">
        <v>202</v>
      </c>
      <c r="H241" s="70" t="s">
        <v>735</v>
      </c>
      <c r="I241" s="70" t="s">
        <v>184</v>
      </c>
      <c r="J241" s="71" t="s">
        <v>272</v>
      </c>
      <c r="K241" s="70" t="s">
        <v>394</v>
      </c>
      <c r="L241" s="69" t="s">
        <v>387</v>
      </c>
      <c r="M241" s="68" t="s">
        <v>750</v>
      </c>
      <c r="N241" s="144">
        <v>8</v>
      </c>
      <c r="O241" s="144">
        <v>8</v>
      </c>
      <c r="P241" s="144">
        <v>8</v>
      </c>
      <c r="Q241" s="144">
        <v>8</v>
      </c>
      <c r="R241" s="144">
        <v>8</v>
      </c>
      <c r="S241" s="144">
        <v>8</v>
      </c>
      <c r="T241" s="144">
        <v>8</v>
      </c>
      <c r="U241" s="144">
        <v>8</v>
      </c>
      <c r="V241" s="144">
        <v>8</v>
      </c>
      <c r="W241" s="144">
        <v>8</v>
      </c>
      <c r="X241" s="144">
        <v>8</v>
      </c>
      <c r="Y241" s="259">
        <v>8</v>
      </c>
      <c r="Z241" s="10">
        <v>0.5</v>
      </c>
      <c r="AA241" s="10">
        <v>0.5</v>
      </c>
      <c r="AB241" s="10">
        <v>0.5</v>
      </c>
      <c r="AC241" s="10">
        <v>0.5</v>
      </c>
      <c r="AD241" s="10">
        <v>0.5</v>
      </c>
      <c r="AE241" s="10">
        <v>0.5</v>
      </c>
      <c r="AF241" s="10">
        <v>0.5</v>
      </c>
      <c r="AG241" s="10">
        <v>0.5</v>
      </c>
      <c r="AH241" s="10">
        <v>0.5</v>
      </c>
      <c r="AI241" s="10">
        <v>0.5</v>
      </c>
      <c r="AJ241" s="10">
        <v>0.5</v>
      </c>
      <c r="AK241" s="257">
        <v>0.5</v>
      </c>
      <c r="AL241" s="5">
        <v>40</v>
      </c>
      <c r="AM241" s="118">
        <f t="shared" si="37"/>
        <v>20</v>
      </c>
      <c r="AN241" s="5">
        <v>0</v>
      </c>
      <c r="AO241" s="118">
        <f t="shared" si="35"/>
        <v>0</v>
      </c>
      <c r="AP241" s="5">
        <v>0</v>
      </c>
      <c r="AQ241" s="127">
        <f t="shared" si="3"/>
        <v>0</v>
      </c>
      <c r="AR241" s="5">
        <v>0</v>
      </c>
      <c r="AS241" s="118">
        <f t="shared" si="4"/>
        <v>0</v>
      </c>
      <c r="AT241" s="5">
        <v>0</v>
      </c>
      <c r="AU241" s="118">
        <f t="shared" si="5"/>
        <v>0</v>
      </c>
      <c r="AV241" s="5">
        <v>0</v>
      </c>
      <c r="AW241" s="127">
        <f t="shared" si="6"/>
        <v>0</v>
      </c>
      <c r="AX241" s="105">
        <v>0</v>
      </c>
      <c r="AY241" s="118">
        <f t="shared" si="7"/>
        <v>0</v>
      </c>
      <c r="AZ241" s="105">
        <v>0</v>
      </c>
      <c r="BA241" s="118">
        <f t="shared" si="8"/>
        <v>0</v>
      </c>
      <c r="BB241" s="105">
        <v>0</v>
      </c>
      <c r="BC241" s="127">
        <f t="shared" si="9"/>
        <v>0</v>
      </c>
      <c r="BD241" s="105">
        <v>0</v>
      </c>
      <c r="BE241" s="118">
        <f t="shared" si="10"/>
        <v>0</v>
      </c>
      <c r="BF241" s="105">
        <v>0</v>
      </c>
      <c r="BG241" s="118">
        <f t="shared" si="11"/>
        <v>0</v>
      </c>
      <c r="BH241" s="105">
        <v>0</v>
      </c>
      <c r="BI241" s="127">
        <f t="shared" si="12"/>
        <v>0</v>
      </c>
      <c r="BJ241" s="235" t="s">
        <v>753</v>
      </c>
      <c r="BL241" s="1" t="s">
        <v>539</v>
      </c>
      <c r="BM241" s="220" t="s">
        <v>741</v>
      </c>
      <c r="BN241" s="233"/>
      <c r="BO241" s="234"/>
    </row>
    <row r="242" spans="1:67">
      <c r="A242" s="219" t="s">
        <v>823</v>
      </c>
      <c r="B242" s="213" t="s">
        <v>267</v>
      </c>
      <c r="C242" s="66" t="s">
        <v>175</v>
      </c>
      <c r="D242" s="287"/>
      <c r="E242" s="103" t="s">
        <v>176</v>
      </c>
      <c r="F242" s="281"/>
      <c r="G242" s="71" t="s">
        <v>202</v>
      </c>
      <c r="H242" s="70" t="s">
        <v>754</v>
      </c>
      <c r="I242" s="70" t="s">
        <v>184</v>
      </c>
      <c r="J242" s="71" t="s">
        <v>272</v>
      </c>
      <c r="K242" s="70" t="s">
        <v>394</v>
      </c>
      <c r="L242" s="69" t="s">
        <v>387</v>
      </c>
      <c r="M242" s="68" t="s">
        <v>750</v>
      </c>
      <c r="N242" s="144">
        <v>8</v>
      </c>
      <c r="O242" s="144">
        <v>8</v>
      </c>
      <c r="P242" s="144">
        <v>8</v>
      </c>
      <c r="Q242" s="144">
        <v>8</v>
      </c>
      <c r="R242" s="144">
        <v>8</v>
      </c>
      <c r="S242" s="144">
        <v>8</v>
      </c>
      <c r="T242" s="144">
        <v>8</v>
      </c>
      <c r="U242" s="144">
        <v>8</v>
      </c>
      <c r="V242" s="144">
        <v>8</v>
      </c>
      <c r="W242" s="144">
        <v>8</v>
      </c>
      <c r="X242" s="144">
        <v>8</v>
      </c>
      <c r="Y242" s="259">
        <v>8</v>
      </c>
      <c r="Z242" s="10">
        <v>0.5</v>
      </c>
      <c r="AA242" s="10">
        <v>0.5</v>
      </c>
      <c r="AB242" s="10">
        <v>0.5</v>
      </c>
      <c r="AC242" s="10">
        <v>0.5</v>
      </c>
      <c r="AD242" s="10">
        <v>0.5</v>
      </c>
      <c r="AE242" s="10">
        <v>0.5</v>
      </c>
      <c r="AF242" s="10">
        <v>0.5</v>
      </c>
      <c r="AG242" s="10">
        <v>0.5</v>
      </c>
      <c r="AH242" s="10">
        <v>0.5</v>
      </c>
      <c r="AI242" s="10">
        <v>0.5</v>
      </c>
      <c r="AJ242" s="10">
        <v>0.5</v>
      </c>
      <c r="AK242" s="257">
        <v>0.5</v>
      </c>
      <c r="AL242" s="5">
        <v>8722</v>
      </c>
      <c r="AM242" s="118">
        <f t="shared" si="37"/>
        <v>4361</v>
      </c>
      <c r="AN242" s="5">
        <v>7680</v>
      </c>
      <c r="AO242" s="118">
        <f t="shared" si="35"/>
        <v>3840</v>
      </c>
      <c r="AP242" s="5">
        <v>11520</v>
      </c>
      <c r="AQ242" s="127">
        <f t="shared" si="3"/>
        <v>5760</v>
      </c>
      <c r="AR242" s="5">
        <v>720</v>
      </c>
      <c r="AS242" s="118">
        <f t="shared" si="4"/>
        <v>360</v>
      </c>
      <c r="AT242" s="5">
        <v>360</v>
      </c>
      <c r="AU242" s="118">
        <f t="shared" si="5"/>
        <v>180</v>
      </c>
      <c r="AV242" s="5">
        <v>0</v>
      </c>
      <c r="AW242" s="127">
        <f t="shared" si="6"/>
        <v>0</v>
      </c>
      <c r="AX242" s="105">
        <v>0</v>
      </c>
      <c r="AY242" s="118">
        <f t="shared" si="7"/>
        <v>0</v>
      </c>
      <c r="AZ242" s="105">
        <v>0</v>
      </c>
      <c r="BA242" s="118">
        <f t="shared" si="8"/>
        <v>0</v>
      </c>
      <c r="BB242" s="105">
        <v>0</v>
      </c>
      <c r="BC242" s="127">
        <f t="shared" si="9"/>
        <v>0</v>
      </c>
      <c r="BD242" s="105">
        <v>0</v>
      </c>
      <c r="BE242" s="118">
        <f t="shared" si="10"/>
        <v>0</v>
      </c>
      <c r="BF242" s="105">
        <v>0</v>
      </c>
      <c r="BG242" s="118">
        <f t="shared" si="11"/>
        <v>0</v>
      </c>
      <c r="BH242" s="105">
        <v>0</v>
      </c>
      <c r="BI242" s="127">
        <f t="shared" si="12"/>
        <v>0</v>
      </c>
      <c r="BJ242" s="235" t="s">
        <v>755</v>
      </c>
      <c r="BL242" s="1" t="s">
        <v>539</v>
      </c>
      <c r="BM242" s="220" t="s">
        <v>743</v>
      </c>
      <c r="BN242" s="233"/>
      <c r="BO242" s="234"/>
    </row>
    <row r="243" spans="1:67">
      <c r="A243" s="219" t="s">
        <v>823</v>
      </c>
      <c r="B243" s="213" t="s">
        <v>267</v>
      </c>
      <c r="C243" s="66" t="s">
        <v>175</v>
      </c>
      <c r="D243" s="287"/>
      <c r="E243" s="103" t="s">
        <v>176</v>
      </c>
      <c r="F243" s="281"/>
      <c r="G243" s="71" t="s">
        <v>202</v>
      </c>
      <c r="H243" s="70" t="s">
        <v>276</v>
      </c>
      <c r="I243" s="70" t="s">
        <v>180</v>
      </c>
      <c r="J243" s="71" t="s">
        <v>193</v>
      </c>
      <c r="K243" s="70" t="s">
        <v>181</v>
      </c>
      <c r="L243" s="69" t="s">
        <v>185</v>
      </c>
      <c r="M243" s="180" t="s">
        <v>465</v>
      </c>
      <c r="N243" s="144">
        <v>4.75</v>
      </c>
      <c r="O243" s="144">
        <v>4.75</v>
      </c>
      <c r="P243" s="144">
        <v>4.75</v>
      </c>
      <c r="Q243" s="144">
        <v>4.75</v>
      </c>
      <c r="R243" s="144">
        <v>4.75</v>
      </c>
      <c r="S243" s="144">
        <v>4.75</v>
      </c>
      <c r="T243" s="144">
        <v>4.75</v>
      </c>
      <c r="U243" s="144">
        <v>4.75</v>
      </c>
      <c r="V243" s="144">
        <v>4.75</v>
      </c>
      <c r="W243" s="144">
        <v>4.75</v>
      </c>
      <c r="X243" s="144">
        <v>4.75</v>
      </c>
      <c r="Y243" s="259">
        <v>4.75</v>
      </c>
      <c r="Z243" s="10">
        <v>0.32</v>
      </c>
      <c r="AA243" s="10">
        <v>0.32</v>
      </c>
      <c r="AB243" s="10">
        <v>0.32</v>
      </c>
      <c r="AC243" s="10">
        <v>0.32</v>
      </c>
      <c r="AD243" s="10">
        <v>0.32</v>
      </c>
      <c r="AE243" s="10">
        <v>0.32</v>
      </c>
      <c r="AF243" s="10">
        <v>0.32</v>
      </c>
      <c r="AG243" s="10">
        <v>0.32</v>
      </c>
      <c r="AH243" s="10">
        <v>0.32</v>
      </c>
      <c r="AI243" s="10">
        <v>0.32</v>
      </c>
      <c r="AJ243" s="10">
        <v>0.32</v>
      </c>
      <c r="AK243" s="257">
        <v>0.32</v>
      </c>
      <c r="AL243" s="5">
        <v>0</v>
      </c>
      <c r="AM243" s="118">
        <f t="shared" si="37"/>
        <v>0</v>
      </c>
      <c r="AN243" s="5">
        <v>0</v>
      </c>
      <c r="AO243" s="118">
        <f t="shared" si="35"/>
        <v>0</v>
      </c>
      <c r="AP243" s="5">
        <v>0</v>
      </c>
      <c r="AQ243" s="127">
        <f t="shared" si="3"/>
        <v>0</v>
      </c>
      <c r="AR243" s="5">
        <v>0</v>
      </c>
      <c r="AS243" s="118">
        <f t="shared" si="4"/>
        <v>0</v>
      </c>
      <c r="AT243" s="5">
        <v>0</v>
      </c>
      <c r="AU243" s="118">
        <f t="shared" si="5"/>
        <v>0</v>
      </c>
      <c r="AV243" s="5">
        <v>0</v>
      </c>
      <c r="AW243" s="127">
        <f t="shared" si="6"/>
        <v>0</v>
      </c>
      <c r="AX243" s="5">
        <v>0</v>
      </c>
      <c r="AY243" s="118">
        <f t="shared" si="7"/>
        <v>0</v>
      </c>
      <c r="AZ243" s="5">
        <v>0</v>
      </c>
      <c r="BA243" s="118">
        <f t="shared" si="8"/>
        <v>0</v>
      </c>
      <c r="BB243" s="105">
        <v>0</v>
      </c>
      <c r="BC243" s="127">
        <f t="shared" si="9"/>
        <v>0</v>
      </c>
      <c r="BD243" s="105">
        <v>0</v>
      </c>
      <c r="BE243" s="118">
        <f t="shared" si="10"/>
        <v>0</v>
      </c>
      <c r="BF243" s="105">
        <v>0</v>
      </c>
      <c r="BG243" s="118">
        <f t="shared" si="11"/>
        <v>0</v>
      </c>
      <c r="BH243" s="105">
        <v>0</v>
      </c>
      <c r="BI243" s="127">
        <f t="shared" si="12"/>
        <v>0</v>
      </c>
      <c r="BJ243" s="220" t="s">
        <v>756</v>
      </c>
      <c r="BL243" s="1" t="s">
        <v>539</v>
      </c>
      <c r="BM243" s="220" t="s">
        <v>757</v>
      </c>
      <c r="BN243" s="264"/>
      <c r="BO243" s="234"/>
    </row>
    <row r="244" spans="1:67">
      <c r="A244" s="219" t="s">
        <v>823</v>
      </c>
      <c r="B244" s="213" t="s">
        <v>267</v>
      </c>
      <c r="C244" s="66" t="s">
        <v>175</v>
      </c>
      <c r="D244" s="287"/>
      <c r="E244" s="103" t="s">
        <v>176</v>
      </c>
      <c r="F244" s="281"/>
      <c r="G244" s="71" t="s">
        <v>202</v>
      </c>
      <c r="H244" s="70" t="s">
        <v>276</v>
      </c>
      <c r="I244" s="70" t="s">
        <v>180</v>
      </c>
      <c r="J244" s="71" t="s">
        <v>193</v>
      </c>
      <c r="K244" s="70" t="s">
        <v>181</v>
      </c>
      <c r="L244" s="69" t="s">
        <v>185</v>
      </c>
      <c r="M244" s="180" t="s">
        <v>465</v>
      </c>
      <c r="N244" s="144">
        <v>4.75</v>
      </c>
      <c r="O244" s="144">
        <v>4.75</v>
      </c>
      <c r="P244" s="144">
        <v>4.75</v>
      </c>
      <c r="Q244" s="144">
        <v>4.75</v>
      </c>
      <c r="R244" s="144">
        <v>4.75</v>
      </c>
      <c r="S244" s="144">
        <v>4.75</v>
      </c>
      <c r="T244" s="144">
        <v>4.75</v>
      </c>
      <c r="U244" s="144">
        <v>4.75</v>
      </c>
      <c r="V244" s="144">
        <v>4.75</v>
      </c>
      <c r="W244" s="144">
        <v>4.75</v>
      </c>
      <c r="X244" s="144">
        <v>4.75</v>
      </c>
      <c r="Y244" s="259">
        <v>4.75</v>
      </c>
      <c r="Z244" s="10">
        <v>0.32</v>
      </c>
      <c r="AA244" s="10">
        <v>0.32</v>
      </c>
      <c r="AB244" s="10">
        <v>0.32</v>
      </c>
      <c r="AC244" s="10">
        <v>0.32</v>
      </c>
      <c r="AD244" s="10">
        <v>0.32</v>
      </c>
      <c r="AE244" s="10">
        <v>0.32</v>
      </c>
      <c r="AF244" s="10">
        <v>0.32</v>
      </c>
      <c r="AG244" s="10">
        <v>0.32</v>
      </c>
      <c r="AH244" s="10">
        <v>0.32</v>
      </c>
      <c r="AI244" s="10">
        <v>0.32</v>
      </c>
      <c r="AJ244" s="10">
        <v>0.32</v>
      </c>
      <c r="AK244" s="257">
        <v>0.32</v>
      </c>
      <c r="AL244" s="5">
        <v>0</v>
      </c>
      <c r="AM244" s="118">
        <f t="shared" si="37"/>
        <v>0</v>
      </c>
      <c r="AN244" s="5">
        <v>0</v>
      </c>
      <c r="AO244" s="118">
        <f t="shared" si="35"/>
        <v>0</v>
      </c>
      <c r="AP244" s="5">
        <v>0</v>
      </c>
      <c r="AQ244" s="127">
        <f t="shared" si="3"/>
        <v>0</v>
      </c>
      <c r="AR244" s="5">
        <v>0</v>
      </c>
      <c r="AS244" s="118">
        <f t="shared" si="4"/>
        <v>0</v>
      </c>
      <c r="AT244" s="5">
        <v>0</v>
      </c>
      <c r="AU244" s="118">
        <f t="shared" si="5"/>
        <v>0</v>
      </c>
      <c r="AV244" s="5">
        <v>0</v>
      </c>
      <c r="AW244" s="127">
        <f t="shared" si="6"/>
        <v>0</v>
      </c>
      <c r="AX244" s="5">
        <v>0</v>
      </c>
      <c r="AY244" s="118">
        <f t="shared" si="7"/>
        <v>0</v>
      </c>
      <c r="AZ244" s="5">
        <v>0</v>
      </c>
      <c r="BA244" s="118">
        <f t="shared" si="8"/>
        <v>0</v>
      </c>
      <c r="BB244" s="105">
        <v>0</v>
      </c>
      <c r="BC244" s="127">
        <f t="shared" si="9"/>
        <v>0</v>
      </c>
      <c r="BD244" s="105">
        <v>0</v>
      </c>
      <c r="BE244" s="118">
        <f t="shared" si="10"/>
        <v>0</v>
      </c>
      <c r="BF244" s="105">
        <v>0</v>
      </c>
      <c r="BG244" s="118">
        <f t="shared" si="11"/>
        <v>0</v>
      </c>
      <c r="BH244" s="105">
        <v>0</v>
      </c>
      <c r="BI244" s="127">
        <f t="shared" si="12"/>
        <v>0</v>
      </c>
      <c r="BJ244" s="220" t="s">
        <v>756</v>
      </c>
      <c r="BL244" s="1" t="s">
        <v>539</v>
      </c>
      <c r="BM244" s="220" t="s">
        <v>758</v>
      </c>
      <c r="BN244" s="264"/>
      <c r="BO244" s="234"/>
    </row>
    <row r="245" spans="1:67">
      <c r="A245" s="219" t="s">
        <v>823</v>
      </c>
      <c r="B245" s="213" t="s">
        <v>267</v>
      </c>
      <c r="C245" s="66" t="s">
        <v>175</v>
      </c>
      <c r="D245" s="287"/>
      <c r="E245" s="103" t="s">
        <v>176</v>
      </c>
      <c r="F245" s="281"/>
      <c r="G245" s="71" t="s">
        <v>202</v>
      </c>
      <c r="H245" s="70" t="s">
        <v>276</v>
      </c>
      <c r="I245" s="70" t="s">
        <v>180</v>
      </c>
      <c r="J245" s="71" t="s">
        <v>193</v>
      </c>
      <c r="K245" s="70" t="s">
        <v>181</v>
      </c>
      <c r="L245" s="69" t="s">
        <v>185</v>
      </c>
      <c r="M245" s="180" t="s">
        <v>465</v>
      </c>
      <c r="N245" s="144">
        <v>4.75</v>
      </c>
      <c r="O245" s="144">
        <v>4.75</v>
      </c>
      <c r="P245" s="144">
        <v>4.75</v>
      </c>
      <c r="Q245" s="144">
        <v>4.75</v>
      </c>
      <c r="R245" s="144">
        <v>4.75</v>
      </c>
      <c r="S245" s="144">
        <v>4.75</v>
      </c>
      <c r="T245" s="144">
        <v>4.75</v>
      </c>
      <c r="U245" s="144">
        <v>4.75</v>
      </c>
      <c r="V245" s="144">
        <v>4.75</v>
      </c>
      <c r="W245" s="144">
        <v>4.75</v>
      </c>
      <c r="X245" s="144">
        <v>4.75</v>
      </c>
      <c r="Y245" s="259">
        <v>4.75</v>
      </c>
      <c r="Z245" s="10">
        <v>0.32</v>
      </c>
      <c r="AA245" s="10">
        <v>0.32</v>
      </c>
      <c r="AB245" s="10">
        <v>0.32</v>
      </c>
      <c r="AC245" s="10">
        <v>0.32</v>
      </c>
      <c r="AD245" s="10">
        <v>0.32</v>
      </c>
      <c r="AE245" s="10">
        <v>0.32</v>
      </c>
      <c r="AF245" s="10">
        <v>0.32</v>
      </c>
      <c r="AG245" s="10">
        <v>0.32</v>
      </c>
      <c r="AH245" s="10">
        <v>0.32</v>
      </c>
      <c r="AI245" s="10">
        <v>0.32</v>
      </c>
      <c r="AJ245" s="10">
        <v>0.32</v>
      </c>
      <c r="AK245" s="257">
        <v>0.32</v>
      </c>
      <c r="AL245" s="5">
        <v>0</v>
      </c>
      <c r="AM245" s="118">
        <f t="shared" si="37"/>
        <v>0</v>
      </c>
      <c r="AN245" s="5">
        <v>0</v>
      </c>
      <c r="AO245" s="118">
        <f t="shared" si="35"/>
        <v>0</v>
      </c>
      <c r="AP245" s="5">
        <v>0</v>
      </c>
      <c r="AQ245" s="127">
        <f t="shared" si="3"/>
        <v>0</v>
      </c>
      <c r="AR245" s="5">
        <v>0</v>
      </c>
      <c r="AS245" s="118">
        <f t="shared" si="4"/>
        <v>0</v>
      </c>
      <c r="AT245" s="5">
        <v>0</v>
      </c>
      <c r="AU245" s="118">
        <f t="shared" si="5"/>
        <v>0</v>
      </c>
      <c r="AV245" s="5">
        <v>0</v>
      </c>
      <c r="AW245" s="127">
        <f t="shared" si="6"/>
        <v>0</v>
      </c>
      <c r="AX245" s="5">
        <v>0</v>
      </c>
      <c r="AY245" s="118">
        <f t="shared" si="7"/>
        <v>0</v>
      </c>
      <c r="AZ245" s="5">
        <v>0</v>
      </c>
      <c r="BA245" s="118">
        <f t="shared" si="8"/>
        <v>0</v>
      </c>
      <c r="BB245" s="105">
        <v>0</v>
      </c>
      <c r="BC245" s="127">
        <f t="shared" si="9"/>
        <v>0</v>
      </c>
      <c r="BD245" s="105">
        <v>0</v>
      </c>
      <c r="BE245" s="118">
        <f t="shared" si="10"/>
        <v>0</v>
      </c>
      <c r="BF245" s="105">
        <v>0</v>
      </c>
      <c r="BG245" s="118">
        <f t="shared" si="11"/>
        <v>0</v>
      </c>
      <c r="BH245" s="105">
        <v>0</v>
      </c>
      <c r="BI245" s="127">
        <f t="shared" si="12"/>
        <v>0</v>
      </c>
      <c r="BJ245" s="220" t="s">
        <v>756</v>
      </c>
      <c r="BL245" s="1" t="s">
        <v>539</v>
      </c>
      <c r="BM245" s="220" t="s">
        <v>759</v>
      </c>
      <c r="BN245" s="264"/>
      <c r="BO245" s="234"/>
    </row>
    <row r="246" spans="1:67">
      <c r="A246" s="219" t="s">
        <v>823</v>
      </c>
      <c r="B246" s="213" t="s">
        <v>267</v>
      </c>
      <c r="C246" s="66" t="s">
        <v>175</v>
      </c>
      <c r="D246" s="287"/>
      <c r="E246" s="103" t="s">
        <v>176</v>
      </c>
      <c r="F246" s="281"/>
      <c r="G246" s="71" t="s">
        <v>202</v>
      </c>
      <c r="H246" s="70" t="s">
        <v>276</v>
      </c>
      <c r="I246" s="70" t="s">
        <v>180</v>
      </c>
      <c r="J246" s="71" t="s">
        <v>193</v>
      </c>
      <c r="K246" s="70" t="s">
        <v>181</v>
      </c>
      <c r="L246" s="69" t="s">
        <v>185</v>
      </c>
      <c r="M246" s="180" t="s">
        <v>465</v>
      </c>
      <c r="N246" s="144">
        <v>4.75</v>
      </c>
      <c r="O246" s="144">
        <v>4.75</v>
      </c>
      <c r="P246" s="144">
        <v>4.75</v>
      </c>
      <c r="Q246" s="144">
        <v>4.75</v>
      </c>
      <c r="R246" s="144">
        <v>4.75</v>
      </c>
      <c r="S246" s="144">
        <v>4.75</v>
      </c>
      <c r="T246" s="144">
        <v>4.75</v>
      </c>
      <c r="U246" s="144">
        <v>4.75</v>
      </c>
      <c r="V246" s="144">
        <v>4.75</v>
      </c>
      <c r="W246" s="144">
        <v>4.75</v>
      </c>
      <c r="X246" s="144">
        <v>4.75</v>
      </c>
      <c r="Y246" s="259">
        <v>4.75</v>
      </c>
      <c r="Z246" s="10">
        <v>0.32</v>
      </c>
      <c r="AA246" s="10">
        <v>0.32</v>
      </c>
      <c r="AB246" s="10">
        <v>0.32</v>
      </c>
      <c r="AC246" s="10">
        <v>0.32</v>
      </c>
      <c r="AD246" s="10">
        <v>0.32</v>
      </c>
      <c r="AE246" s="10">
        <v>0.32</v>
      </c>
      <c r="AF246" s="10">
        <v>0.32</v>
      </c>
      <c r="AG246" s="10">
        <v>0.32</v>
      </c>
      <c r="AH246" s="10">
        <v>0.32</v>
      </c>
      <c r="AI246" s="10">
        <v>0.32</v>
      </c>
      <c r="AJ246" s="10">
        <v>0.32</v>
      </c>
      <c r="AK246" s="257">
        <v>0.32</v>
      </c>
      <c r="AL246" s="5">
        <v>0</v>
      </c>
      <c r="AM246" s="118">
        <f t="shared" si="37"/>
        <v>0</v>
      </c>
      <c r="AN246" s="5">
        <v>0</v>
      </c>
      <c r="AO246" s="118">
        <f t="shared" si="35"/>
        <v>0</v>
      </c>
      <c r="AP246" s="5">
        <v>0</v>
      </c>
      <c r="AQ246" s="127">
        <f t="shared" si="3"/>
        <v>0</v>
      </c>
      <c r="AR246" s="5">
        <v>0</v>
      </c>
      <c r="AS246" s="118">
        <f t="shared" si="4"/>
        <v>0</v>
      </c>
      <c r="AT246" s="5">
        <v>0</v>
      </c>
      <c r="AU246" s="118">
        <f t="shared" si="5"/>
        <v>0</v>
      </c>
      <c r="AV246" s="5">
        <v>0</v>
      </c>
      <c r="AW246" s="127">
        <f t="shared" si="6"/>
        <v>0</v>
      </c>
      <c r="AX246" s="5">
        <v>0</v>
      </c>
      <c r="AY246" s="118">
        <f t="shared" si="7"/>
        <v>0</v>
      </c>
      <c r="AZ246" s="5">
        <v>0</v>
      </c>
      <c r="BA246" s="118">
        <f t="shared" si="8"/>
        <v>0</v>
      </c>
      <c r="BB246" s="105">
        <v>0</v>
      </c>
      <c r="BC246" s="127">
        <f t="shared" si="9"/>
        <v>0</v>
      </c>
      <c r="BD246" s="105">
        <v>0</v>
      </c>
      <c r="BE246" s="118">
        <f t="shared" si="10"/>
        <v>0</v>
      </c>
      <c r="BF246" s="105">
        <v>0</v>
      </c>
      <c r="BG246" s="118">
        <f t="shared" si="11"/>
        <v>0</v>
      </c>
      <c r="BH246" s="105">
        <v>0</v>
      </c>
      <c r="BI246" s="127">
        <f t="shared" si="12"/>
        <v>0</v>
      </c>
      <c r="BJ246" s="220" t="s">
        <v>756</v>
      </c>
      <c r="BL246" s="1" t="s">
        <v>539</v>
      </c>
      <c r="BM246" s="220" t="s">
        <v>760</v>
      </c>
      <c r="BN246" s="264"/>
      <c r="BO246" s="234"/>
    </row>
    <row r="247" spans="1:67">
      <c r="A247" s="219" t="s">
        <v>823</v>
      </c>
      <c r="B247" s="213" t="s">
        <v>267</v>
      </c>
      <c r="C247" s="66" t="s">
        <v>175</v>
      </c>
      <c r="D247" s="287"/>
      <c r="E247" s="103" t="s">
        <v>176</v>
      </c>
      <c r="F247" s="281"/>
      <c r="G247" s="71" t="s">
        <v>202</v>
      </c>
      <c r="H247" s="70" t="s">
        <v>276</v>
      </c>
      <c r="I247" s="70" t="s">
        <v>180</v>
      </c>
      <c r="J247" s="71" t="s">
        <v>193</v>
      </c>
      <c r="K247" s="70" t="s">
        <v>181</v>
      </c>
      <c r="L247" s="69" t="s">
        <v>185</v>
      </c>
      <c r="M247" s="180" t="s">
        <v>465</v>
      </c>
      <c r="N247" s="144">
        <v>4.75</v>
      </c>
      <c r="O247" s="144">
        <v>4.75</v>
      </c>
      <c r="P247" s="144">
        <v>4.75</v>
      </c>
      <c r="Q247" s="144">
        <v>4.75</v>
      </c>
      <c r="R247" s="144">
        <v>4.75</v>
      </c>
      <c r="S247" s="144">
        <v>4.75</v>
      </c>
      <c r="T247" s="144">
        <v>4.75</v>
      </c>
      <c r="U247" s="144">
        <v>4.75</v>
      </c>
      <c r="V247" s="144">
        <v>4.75</v>
      </c>
      <c r="W247" s="144">
        <v>4.75</v>
      </c>
      <c r="X247" s="144">
        <v>4.75</v>
      </c>
      <c r="Y247" s="259">
        <v>4.75</v>
      </c>
      <c r="Z247" s="10">
        <v>0.32</v>
      </c>
      <c r="AA247" s="10">
        <v>0.32</v>
      </c>
      <c r="AB247" s="10">
        <v>0.32</v>
      </c>
      <c r="AC247" s="10">
        <v>0.32</v>
      </c>
      <c r="AD247" s="10">
        <v>0.32</v>
      </c>
      <c r="AE247" s="10">
        <v>0.32</v>
      </c>
      <c r="AF247" s="10">
        <v>0.32</v>
      </c>
      <c r="AG247" s="10">
        <v>0.32</v>
      </c>
      <c r="AH247" s="10">
        <v>0.32</v>
      </c>
      <c r="AI247" s="10">
        <v>0.32</v>
      </c>
      <c r="AJ247" s="10">
        <v>0.32</v>
      </c>
      <c r="AK247" s="257">
        <v>0.32</v>
      </c>
      <c r="AL247" s="5">
        <v>0</v>
      </c>
      <c r="AM247" s="118">
        <f t="shared" si="37"/>
        <v>0</v>
      </c>
      <c r="AN247" s="5">
        <v>0</v>
      </c>
      <c r="AO247" s="118">
        <f t="shared" si="35"/>
        <v>0</v>
      </c>
      <c r="AP247" s="5">
        <v>0</v>
      </c>
      <c r="AQ247" s="127">
        <f t="shared" si="3"/>
        <v>0</v>
      </c>
      <c r="AR247" s="5">
        <v>0</v>
      </c>
      <c r="AS247" s="118">
        <f t="shared" si="4"/>
        <v>0</v>
      </c>
      <c r="AT247" s="5">
        <v>0</v>
      </c>
      <c r="AU247" s="118">
        <f t="shared" si="5"/>
        <v>0</v>
      </c>
      <c r="AV247" s="5">
        <v>0</v>
      </c>
      <c r="AW247" s="127">
        <f t="shared" si="6"/>
        <v>0</v>
      </c>
      <c r="AX247" s="5">
        <v>0</v>
      </c>
      <c r="AY247" s="118">
        <f t="shared" si="7"/>
        <v>0</v>
      </c>
      <c r="AZ247" s="5">
        <v>0</v>
      </c>
      <c r="BA247" s="118">
        <f t="shared" si="8"/>
        <v>0</v>
      </c>
      <c r="BB247" s="105">
        <v>0</v>
      </c>
      <c r="BC247" s="127">
        <f t="shared" si="9"/>
        <v>0</v>
      </c>
      <c r="BD247" s="105">
        <v>0</v>
      </c>
      <c r="BE247" s="118">
        <f t="shared" si="10"/>
        <v>0</v>
      </c>
      <c r="BF247" s="105">
        <v>0</v>
      </c>
      <c r="BG247" s="118">
        <f t="shared" si="11"/>
        <v>0</v>
      </c>
      <c r="BH247" s="105">
        <v>0</v>
      </c>
      <c r="BI247" s="127">
        <f t="shared" si="12"/>
        <v>0</v>
      </c>
      <c r="BJ247" s="220" t="s">
        <v>756</v>
      </c>
      <c r="BL247" s="1" t="s">
        <v>539</v>
      </c>
      <c r="BM247" s="220" t="s">
        <v>761</v>
      </c>
      <c r="BN247" s="264"/>
      <c r="BO247" s="234"/>
    </row>
    <row r="248" spans="1:67">
      <c r="A248" s="219" t="s">
        <v>823</v>
      </c>
      <c r="B248" s="213" t="s">
        <v>267</v>
      </c>
      <c r="C248" s="66" t="s">
        <v>175</v>
      </c>
      <c r="D248" s="287"/>
      <c r="E248" s="103" t="s">
        <v>176</v>
      </c>
      <c r="F248" s="281"/>
      <c r="G248" s="71" t="s">
        <v>202</v>
      </c>
      <c r="H248" s="70" t="s">
        <v>276</v>
      </c>
      <c r="I248" s="70" t="s">
        <v>180</v>
      </c>
      <c r="J248" s="71" t="s">
        <v>193</v>
      </c>
      <c r="K248" s="70" t="s">
        <v>181</v>
      </c>
      <c r="L248" s="69" t="s">
        <v>185</v>
      </c>
      <c r="M248" s="180" t="s">
        <v>465</v>
      </c>
      <c r="N248" s="144">
        <v>4.75</v>
      </c>
      <c r="O248" s="144">
        <v>4.75</v>
      </c>
      <c r="P248" s="144">
        <v>4.75</v>
      </c>
      <c r="Q248" s="144">
        <v>4.75</v>
      </c>
      <c r="R248" s="144">
        <v>4.75</v>
      </c>
      <c r="S248" s="144">
        <v>4.75</v>
      </c>
      <c r="T248" s="144">
        <v>4.75</v>
      </c>
      <c r="U248" s="144">
        <v>4.75</v>
      </c>
      <c r="V248" s="144">
        <v>4.75</v>
      </c>
      <c r="W248" s="144">
        <v>4.75</v>
      </c>
      <c r="X248" s="144">
        <v>4.75</v>
      </c>
      <c r="Y248" s="259">
        <v>4.75</v>
      </c>
      <c r="Z248" s="10">
        <v>0.32</v>
      </c>
      <c r="AA248" s="10">
        <v>0.32</v>
      </c>
      <c r="AB248" s="10">
        <v>0.32</v>
      </c>
      <c r="AC248" s="10">
        <v>0.32</v>
      </c>
      <c r="AD248" s="10">
        <v>0.32</v>
      </c>
      <c r="AE248" s="10">
        <v>0.32</v>
      </c>
      <c r="AF248" s="10">
        <v>0.32</v>
      </c>
      <c r="AG248" s="10">
        <v>0.32</v>
      </c>
      <c r="AH248" s="10">
        <v>0.32</v>
      </c>
      <c r="AI248" s="10">
        <v>0.32</v>
      </c>
      <c r="AJ248" s="10">
        <v>0.32</v>
      </c>
      <c r="AK248" s="257">
        <v>0.32</v>
      </c>
      <c r="AL248" s="5">
        <v>0</v>
      </c>
      <c r="AM248" s="118">
        <f t="shared" si="37"/>
        <v>0</v>
      </c>
      <c r="AN248" s="5">
        <v>0</v>
      </c>
      <c r="AO248" s="118">
        <f t="shared" si="35"/>
        <v>0</v>
      </c>
      <c r="AP248" s="5">
        <v>0</v>
      </c>
      <c r="AQ248" s="127">
        <f t="shared" si="3"/>
        <v>0</v>
      </c>
      <c r="AR248" s="5">
        <v>0</v>
      </c>
      <c r="AS248" s="118">
        <f t="shared" si="4"/>
        <v>0</v>
      </c>
      <c r="AT248" s="5">
        <v>0</v>
      </c>
      <c r="AU248" s="118">
        <f t="shared" si="5"/>
        <v>0</v>
      </c>
      <c r="AV248" s="5">
        <v>0</v>
      </c>
      <c r="AW248" s="127">
        <f t="shared" si="6"/>
        <v>0</v>
      </c>
      <c r="AX248" s="5">
        <v>0</v>
      </c>
      <c r="AY248" s="118">
        <f t="shared" si="7"/>
        <v>0</v>
      </c>
      <c r="AZ248" s="5">
        <v>0</v>
      </c>
      <c r="BA248" s="118">
        <f t="shared" si="8"/>
        <v>0</v>
      </c>
      <c r="BB248" s="105">
        <v>0</v>
      </c>
      <c r="BC248" s="127">
        <f t="shared" si="9"/>
        <v>0</v>
      </c>
      <c r="BD248" s="105">
        <v>0</v>
      </c>
      <c r="BE248" s="118">
        <f t="shared" si="10"/>
        <v>0</v>
      </c>
      <c r="BF248" s="105">
        <v>0</v>
      </c>
      <c r="BG248" s="118">
        <f t="shared" si="11"/>
        <v>0</v>
      </c>
      <c r="BH248" s="105">
        <v>0</v>
      </c>
      <c r="BI248" s="127">
        <f t="shared" si="12"/>
        <v>0</v>
      </c>
      <c r="BJ248" s="220" t="s">
        <v>756</v>
      </c>
      <c r="BL248" s="1" t="s">
        <v>539</v>
      </c>
      <c r="BM248" s="220" t="s">
        <v>762</v>
      </c>
      <c r="BN248" s="264"/>
      <c r="BO248" s="234"/>
    </row>
    <row r="249" spans="1:67">
      <c r="A249" s="219" t="s">
        <v>823</v>
      </c>
      <c r="B249" s="213" t="s">
        <v>267</v>
      </c>
      <c r="C249" s="66" t="s">
        <v>175</v>
      </c>
      <c r="D249" s="287"/>
      <c r="E249" s="103" t="s">
        <v>176</v>
      </c>
      <c r="F249" s="281"/>
      <c r="G249" s="71" t="s">
        <v>202</v>
      </c>
      <c r="H249" s="70" t="s">
        <v>276</v>
      </c>
      <c r="I249" s="70" t="s">
        <v>180</v>
      </c>
      <c r="J249" s="71" t="s">
        <v>193</v>
      </c>
      <c r="K249" s="70" t="s">
        <v>181</v>
      </c>
      <c r="L249" s="69" t="s">
        <v>185</v>
      </c>
      <c r="M249" s="180" t="s">
        <v>465</v>
      </c>
      <c r="N249" s="144">
        <v>4.75</v>
      </c>
      <c r="O249" s="144">
        <v>4.75</v>
      </c>
      <c r="P249" s="144">
        <v>4.75</v>
      </c>
      <c r="Q249" s="144">
        <v>4.75</v>
      </c>
      <c r="R249" s="144">
        <v>4.75</v>
      </c>
      <c r="S249" s="144">
        <v>4.75</v>
      </c>
      <c r="T249" s="144">
        <v>4.75</v>
      </c>
      <c r="U249" s="144">
        <v>4.75</v>
      </c>
      <c r="V249" s="144">
        <v>4.75</v>
      </c>
      <c r="W249" s="144">
        <v>4.75</v>
      </c>
      <c r="X249" s="144">
        <v>4.75</v>
      </c>
      <c r="Y249" s="259">
        <v>4.75</v>
      </c>
      <c r="Z249" s="10">
        <v>0.32</v>
      </c>
      <c r="AA249" s="10">
        <v>0.32</v>
      </c>
      <c r="AB249" s="10">
        <v>0.32</v>
      </c>
      <c r="AC249" s="10">
        <v>0.32</v>
      </c>
      <c r="AD249" s="10">
        <v>0.32</v>
      </c>
      <c r="AE249" s="10">
        <v>0.32</v>
      </c>
      <c r="AF249" s="10">
        <v>0.32</v>
      </c>
      <c r="AG249" s="10">
        <v>0.32</v>
      </c>
      <c r="AH249" s="10">
        <v>0.32</v>
      </c>
      <c r="AI249" s="10">
        <v>0.32</v>
      </c>
      <c r="AJ249" s="10">
        <v>0.32</v>
      </c>
      <c r="AK249" s="257">
        <v>0.32</v>
      </c>
      <c r="AL249" s="5">
        <v>0</v>
      </c>
      <c r="AM249" s="118">
        <f t="shared" si="37"/>
        <v>0</v>
      </c>
      <c r="AN249" s="5">
        <v>0</v>
      </c>
      <c r="AO249" s="118">
        <f t="shared" si="35"/>
        <v>0</v>
      </c>
      <c r="AP249" s="5">
        <v>0</v>
      </c>
      <c r="AQ249" s="127">
        <f t="shared" si="3"/>
        <v>0</v>
      </c>
      <c r="AR249" s="5">
        <v>0</v>
      </c>
      <c r="AS249" s="118">
        <f t="shared" si="4"/>
        <v>0</v>
      </c>
      <c r="AT249" s="5">
        <v>0</v>
      </c>
      <c r="AU249" s="118">
        <f t="shared" si="5"/>
        <v>0</v>
      </c>
      <c r="AV249" s="5">
        <v>0</v>
      </c>
      <c r="AW249" s="127">
        <f t="shared" si="6"/>
        <v>0</v>
      </c>
      <c r="AX249" s="5">
        <v>0</v>
      </c>
      <c r="AY249" s="118">
        <f t="shared" si="7"/>
        <v>0</v>
      </c>
      <c r="AZ249" s="5">
        <v>0</v>
      </c>
      <c r="BA249" s="118">
        <f t="shared" si="8"/>
        <v>0</v>
      </c>
      <c r="BB249" s="105">
        <v>0</v>
      </c>
      <c r="BC249" s="127">
        <f t="shared" si="9"/>
        <v>0</v>
      </c>
      <c r="BD249" s="105">
        <v>0</v>
      </c>
      <c r="BE249" s="118">
        <f t="shared" si="10"/>
        <v>0</v>
      </c>
      <c r="BF249" s="105">
        <v>0</v>
      </c>
      <c r="BG249" s="118">
        <f t="shared" si="11"/>
        <v>0</v>
      </c>
      <c r="BH249" s="105">
        <v>0</v>
      </c>
      <c r="BI249" s="127">
        <f t="shared" si="12"/>
        <v>0</v>
      </c>
      <c r="BJ249" s="220" t="s">
        <v>756</v>
      </c>
      <c r="BL249" s="1" t="s">
        <v>539</v>
      </c>
      <c r="BM249" s="220" t="s">
        <v>763</v>
      </c>
      <c r="BN249" s="264"/>
      <c r="BO249" s="234"/>
    </row>
    <row r="250" spans="1:67">
      <c r="A250" s="219" t="s">
        <v>823</v>
      </c>
      <c r="B250" s="213" t="s">
        <v>267</v>
      </c>
      <c r="C250" s="66" t="s">
        <v>175</v>
      </c>
      <c r="D250" s="287"/>
      <c r="E250" s="103" t="s">
        <v>176</v>
      </c>
      <c r="F250" s="281"/>
      <c r="G250" s="71" t="s">
        <v>202</v>
      </c>
      <c r="H250" s="70" t="s">
        <v>276</v>
      </c>
      <c r="I250" s="70" t="s">
        <v>180</v>
      </c>
      <c r="J250" s="71" t="s">
        <v>193</v>
      </c>
      <c r="K250" s="70" t="s">
        <v>715</v>
      </c>
      <c r="L250" s="69" t="s">
        <v>185</v>
      </c>
      <c r="M250" s="180" t="s">
        <v>465</v>
      </c>
      <c r="N250" s="144">
        <v>3.08</v>
      </c>
      <c r="O250" s="144">
        <v>3.08</v>
      </c>
      <c r="P250" s="144">
        <v>3.05</v>
      </c>
      <c r="Q250" s="144">
        <v>3.05</v>
      </c>
      <c r="R250" s="144">
        <v>3.05</v>
      </c>
      <c r="S250" s="144">
        <v>3.05</v>
      </c>
      <c r="T250" s="144">
        <v>3.05</v>
      </c>
      <c r="U250" s="144">
        <v>3.05</v>
      </c>
      <c r="V250" s="144">
        <v>3.05</v>
      </c>
      <c r="W250" s="144">
        <v>3.05</v>
      </c>
      <c r="X250" s="144">
        <v>3.05</v>
      </c>
      <c r="Y250" s="259">
        <v>3.05</v>
      </c>
      <c r="Z250" s="10">
        <v>0.23</v>
      </c>
      <c r="AA250" s="10">
        <v>0.23</v>
      </c>
      <c r="AB250" s="10">
        <v>0.25</v>
      </c>
      <c r="AC250" s="10">
        <v>0.25</v>
      </c>
      <c r="AD250" s="10">
        <v>0.25</v>
      </c>
      <c r="AE250" s="10">
        <v>0.25</v>
      </c>
      <c r="AF250" s="10">
        <v>0.25</v>
      </c>
      <c r="AG250" s="10">
        <v>0.25</v>
      </c>
      <c r="AH250" s="10">
        <v>0.25</v>
      </c>
      <c r="AI250" s="10">
        <v>0.25</v>
      </c>
      <c r="AJ250" s="10">
        <v>0.25</v>
      </c>
      <c r="AK250" s="257">
        <v>0.25</v>
      </c>
      <c r="AL250" s="5">
        <v>0</v>
      </c>
      <c r="AM250" s="118">
        <f t="shared" si="37"/>
        <v>0</v>
      </c>
      <c r="AN250" s="5">
        <v>0</v>
      </c>
      <c r="AO250" s="118">
        <f t="shared" si="35"/>
        <v>0</v>
      </c>
      <c r="AP250" s="5">
        <v>0</v>
      </c>
      <c r="AQ250" s="127">
        <f t="shared" si="3"/>
        <v>0</v>
      </c>
      <c r="AR250" s="5">
        <v>0</v>
      </c>
      <c r="AS250" s="118">
        <f t="shared" si="4"/>
        <v>0</v>
      </c>
      <c r="AT250" s="5">
        <v>0</v>
      </c>
      <c r="AU250" s="118">
        <f t="shared" si="5"/>
        <v>0</v>
      </c>
      <c r="AV250" s="5">
        <v>0</v>
      </c>
      <c r="AW250" s="127">
        <f t="shared" si="6"/>
        <v>0</v>
      </c>
      <c r="AX250" s="5">
        <v>0</v>
      </c>
      <c r="AY250" s="118">
        <f t="shared" si="7"/>
        <v>0</v>
      </c>
      <c r="AZ250" s="5">
        <v>0</v>
      </c>
      <c r="BA250" s="118">
        <f t="shared" si="8"/>
        <v>0</v>
      </c>
      <c r="BB250" s="105">
        <v>0</v>
      </c>
      <c r="BC250" s="127">
        <f t="shared" si="9"/>
        <v>0</v>
      </c>
      <c r="BD250" s="105">
        <v>0</v>
      </c>
      <c r="BE250" s="118">
        <f t="shared" si="10"/>
        <v>0</v>
      </c>
      <c r="BF250" s="105">
        <v>0</v>
      </c>
      <c r="BG250" s="118">
        <f t="shared" si="11"/>
        <v>0</v>
      </c>
      <c r="BH250" s="105">
        <v>0</v>
      </c>
      <c r="BI250" s="127">
        <f t="shared" si="12"/>
        <v>0</v>
      </c>
      <c r="BJ250" s="220" t="s">
        <v>764</v>
      </c>
      <c r="BL250" s="1" t="s">
        <v>539</v>
      </c>
      <c r="BM250" s="220" t="s">
        <v>765</v>
      </c>
      <c r="BN250" s="264"/>
      <c r="BO250" s="234"/>
    </row>
    <row r="251" spans="1:67">
      <c r="A251" s="219" t="s">
        <v>823</v>
      </c>
      <c r="B251" s="213" t="s">
        <v>267</v>
      </c>
      <c r="C251" s="66" t="s">
        <v>175</v>
      </c>
      <c r="D251" s="287"/>
      <c r="E251" s="103" t="s">
        <v>176</v>
      </c>
      <c r="F251" s="281"/>
      <c r="G251" s="71" t="s">
        <v>202</v>
      </c>
      <c r="H251" s="70" t="s">
        <v>276</v>
      </c>
      <c r="I251" s="70" t="s">
        <v>180</v>
      </c>
      <c r="J251" s="71" t="s">
        <v>193</v>
      </c>
      <c r="K251" s="70" t="s">
        <v>715</v>
      </c>
      <c r="L251" s="69" t="s">
        <v>185</v>
      </c>
      <c r="M251" s="180" t="s">
        <v>465</v>
      </c>
      <c r="N251" s="144">
        <v>3.08</v>
      </c>
      <c r="O251" s="144">
        <v>3.08</v>
      </c>
      <c r="P251" s="144">
        <v>3.05</v>
      </c>
      <c r="Q251" s="144">
        <v>3.05</v>
      </c>
      <c r="R251" s="144">
        <v>3.05</v>
      </c>
      <c r="S251" s="144">
        <v>3.05</v>
      </c>
      <c r="T251" s="144">
        <v>3.05</v>
      </c>
      <c r="U251" s="144">
        <v>3.05</v>
      </c>
      <c r="V251" s="144">
        <v>3.05</v>
      </c>
      <c r="W251" s="144">
        <v>3.05</v>
      </c>
      <c r="X251" s="144">
        <v>3.05</v>
      </c>
      <c r="Y251" s="259">
        <v>3.05</v>
      </c>
      <c r="Z251" s="10">
        <v>0.23</v>
      </c>
      <c r="AA251" s="10">
        <v>0.23</v>
      </c>
      <c r="AB251" s="10">
        <v>0.25</v>
      </c>
      <c r="AC251" s="10">
        <v>0.25</v>
      </c>
      <c r="AD251" s="10">
        <v>0.25</v>
      </c>
      <c r="AE251" s="10">
        <v>0.25</v>
      </c>
      <c r="AF251" s="10">
        <v>0.25</v>
      </c>
      <c r="AG251" s="10">
        <v>0.25</v>
      </c>
      <c r="AH251" s="10">
        <v>0.25</v>
      </c>
      <c r="AI251" s="10">
        <v>0.25</v>
      </c>
      <c r="AJ251" s="10">
        <v>0.25</v>
      </c>
      <c r="AK251" s="257">
        <v>0.25</v>
      </c>
      <c r="AL251" s="5">
        <v>0</v>
      </c>
      <c r="AM251" s="118">
        <f t="shared" si="37"/>
        <v>0</v>
      </c>
      <c r="AN251" s="5">
        <v>0</v>
      </c>
      <c r="AO251" s="118">
        <f t="shared" si="35"/>
        <v>0</v>
      </c>
      <c r="AP251" s="5">
        <v>0</v>
      </c>
      <c r="AQ251" s="127">
        <f t="shared" si="3"/>
        <v>0</v>
      </c>
      <c r="AR251" s="5">
        <v>0</v>
      </c>
      <c r="AS251" s="118">
        <f t="shared" si="4"/>
        <v>0</v>
      </c>
      <c r="AT251" s="5">
        <v>0</v>
      </c>
      <c r="AU251" s="118">
        <f t="shared" si="5"/>
        <v>0</v>
      </c>
      <c r="AV251" s="5">
        <v>0</v>
      </c>
      <c r="AW251" s="127">
        <f t="shared" si="6"/>
        <v>0</v>
      </c>
      <c r="AX251" s="5">
        <v>0</v>
      </c>
      <c r="AY251" s="118">
        <f t="shared" si="7"/>
        <v>0</v>
      </c>
      <c r="AZ251" s="5">
        <v>0</v>
      </c>
      <c r="BA251" s="118">
        <f t="shared" si="8"/>
        <v>0</v>
      </c>
      <c r="BB251" s="105">
        <v>0</v>
      </c>
      <c r="BC251" s="127">
        <f t="shared" si="9"/>
        <v>0</v>
      </c>
      <c r="BD251" s="105">
        <v>0</v>
      </c>
      <c r="BE251" s="118">
        <f t="shared" si="10"/>
        <v>0</v>
      </c>
      <c r="BF251" s="105">
        <v>0</v>
      </c>
      <c r="BG251" s="118">
        <f t="shared" si="11"/>
        <v>0</v>
      </c>
      <c r="BH251" s="105">
        <v>0</v>
      </c>
      <c r="BI251" s="127">
        <f t="shared" si="12"/>
        <v>0</v>
      </c>
      <c r="BJ251" s="220" t="s">
        <v>764</v>
      </c>
      <c r="BL251" s="1" t="s">
        <v>539</v>
      </c>
      <c r="BM251" s="220" t="s">
        <v>766</v>
      </c>
      <c r="BN251" s="264"/>
      <c r="BO251" s="234"/>
    </row>
    <row r="252" spans="1:67">
      <c r="A252" s="219" t="s">
        <v>823</v>
      </c>
      <c r="B252" s="213" t="s">
        <v>267</v>
      </c>
      <c r="C252" s="66" t="s">
        <v>175</v>
      </c>
      <c r="D252" s="287"/>
      <c r="E252" s="103" t="s">
        <v>176</v>
      </c>
      <c r="F252" s="281"/>
      <c r="G252" s="71" t="s">
        <v>202</v>
      </c>
      <c r="H252" s="70" t="s">
        <v>276</v>
      </c>
      <c r="I252" s="70" t="s">
        <v>180</v>
      </c>
      <c r="J252" s="71" t="s">
        <v>193</v>
      </c>
      <c r="K252" s="70" t="s">
        <v>715</v>
      </c>
      <c r="L252" s="69" t="s">
        <v>185</v>
      </c>
      <c r="M252" s="180" t="s">
        <v>465</v>
      </c>
      <c r="N252" s="144">
        <v>3.08</v>
      </c>
      <c r="O252" s="144">
        <v>3.08</v>
      </c>
      <c r="P252" s="144">
        <v>3.05</v>
      </c>
      <c r="Q252" s="144">
        <v>3.05</v>
      </c>
      <c r="R252" s="144">
        <v>3.05</v>
      </c>
      <c r="S252" s="144">
        <v>3.05</v>
      </c>
      <c r="T252" s="144">
        <v>3.05</v>
      </c>
      <c r="U252" s="144">
        <v>3.05</v>
      </c>
      <c r="V252" s="144">
        <v>3.05</v>
      </c>
      <c r="W252" s="144">
        <v>3.05</v>
      </c>
      <c r="X252" s="144">
        <v>3.05</v>
      </c>
      <c r="Y252" s="259">
        <v>3.05</v>
      </c>
      <c r="Z252" s="10">
        <v>0.23</v>
      </c>
      <c r="AA252" s="10">
        <v>0.23</v>
      </c>
      <c r="AB252" s="10">
        <v>0.25</v>
      </c>
      <c r="AC252" s="10">
        <v>0.25</v>
      </c>
      <c r="AD252" s="10">
        <v>0.25</v>
      </c>
      <c r="AE252" s="10">
        <v>0.25</v>
      </c>
      <c r="AF252" s="10">
        <v>0.25</v>
      </c>
      <c r="AG252" s="10">
        <v>0.25</v>
      </c>
      <c r="AH252" s="10">
        <v>0.25</v>
      </c>
      <c r="AI252" s="10">
        <v>0.25</v>
      </c>
      <c r="AJ252" s="10">
        <v>0.25</v>
      </c>
      <c r="AK252" s="257">
        <v>0.25</v>
      </c>
      <c r="AL252" s="5">
        <v>0</v>
      </c>
      <c r="AM252" s="118">
        <f t="shared" si="37"/>
        <v>0</v>
      </c>
      <c r="AN252" s="5">
        <v>0</v>
      </c>
      <c r="AO252" s="118">
        <f t="shared" si="35"/>
        <v>0</v>
      </c>
      <c r="AP252" s="5">
        <v>0</v>
      </c>
      <c r="AQ252" s="127">
        <f t="shared" si="3"/>
        <v>0</v>
      </c>
      <c r="AR252" s="5">
        <v>0</v>
      </c>
      <c r="AS252" s="118">
        <f t="shared" si="4"/>
        <v>0</v>
      </c>
      <c r="AT252" s="5">
        <v>0</v>
      </c>
      <c r="AU252" s="118">
        <f t="shared" si="5"/>
        <v>0</v>
      </c>
      <c r="AV252" s="5">
        <v>0</v>
      </c>
      <c r="AW252" s="127">
        <f t="shared" si="6"/>
        <v>0</v>
      </c>
      <c r="AX252" s="5">
        <v>0</v>
      </c>
      <c r="AY252" s="118">
        <f t="shared" si="7"/>
        <v>0</v>
      </c>
      <c r="AZ252" s="5">
        <v>0</v>
      </c>
      <c r="BA252" s="118">
        <f t="shared" si="8"/>
        <v>0</v>
      </c>
      <c r="BB252" s="105">
        <v>0</v>
      </c>
      <c r="BC252" s="127">
        <f t="shared" si="9"/>
        <v>0</v>
      </c>
      <c r="BD252" s="105">
        <v>0</v>
      </c>
      <c r="BE252" s="118">
        <f t="shared" si="10"/>
        <v>0</v>
      </c>
      <c r="BF252" s="105">
        <v>0</v>
      </c>
      <c r="BG252" s="118">
        <f t="shared" si="11"/>
        <v>0</v>
      </c>
      <c r="BH252" s="105">
        <v>0</v>
      </c>
      <c r="BI252" s="127">
        <f t="shared" si="12"/>
        <v>0</v>
      </c>
      <c r="BJ252" s="220" t="s">
        <v>764</v>
      </c>
      <c r="BL252" s="1" t="s">
        <v>539</v>
      </c>
      <c r="BM252" s="220" t="s">
        <v>767</v>
      </c>
      <c r="BN252" s="264"/>
      <c r="BO252" s="234"/>
    </row>
    <row r="253" spans="1:67">
      <c r="A253" s="219" t="s">
        <v>823</v>
      </c>
      <c r="B253" s="213" t="s">
        <v>267</v>
      </c>
      <c r="C253" s="66" t="s">
        <v>175</v>
      </c>
      <c r="D253" s="287"/>
      <c r="E253" s="103" t="s">
        <v>176</v>
      </c>
      <c r="F253" s="281"/>
      <c r="G253" s="71" t="s">
        <v>202</v>
      </c>
      <c r="H253" s="70" t="s">
        <v>276</v>
      </c>
      <c r="I253" s="70" t="s">
        <v>180</v>
      </c>
      <c r="J253" s="71" t="s">
        <v>193</v>
      </c>
      <c r="K253" s="70" t="s">
        <v>715</v>
      </c>
      <c r="L253" s="69" t="s">
        <v>185</v>
      </c>
      <c r="M253" s="180" t="s">
        <v>465</v>
      </c>
      <c r="N253" s="144">
        <v>3.08</v>
      </c>
      <c r="O253" s="144">
        <v>3.08</v>
      </c>
      <c r="P253" s="144">
        <v>3.05</v>
      </c>
      <c r="Q253" s="144">
        <v>3.05</v>
      </c>
      <c r="R253" s="144">
        <v>3.05</v>
      </c>
      <c r="S253" s="144">
        <v>3.05</v>
      </c>
      <c r="T253" s="144">
        <v>3.05</v>
      </c>
      <c r="U253" s="144">
        <v>3.05</v>
      </c>
      <c r="V253" s="144">
        <v>3.05</v>
      </c>
      <c r="W253" s="144">
        <v>3.05</v>
      </c>
      <c r="X253" s="144">
        <v>3.05</v>
      </c>
      <c r="Y253" s="259">
        <v>3.05</v>
      </c>
      <c r="Z253" s="10">
        <v>0.23</v>
      </c>
      <c r="AA253" s="10">
        <v>0.23</v>
      </c>
      <c r="AB253" s="10">
        <v>0.25</v>
      </c>
      <c r="AC253" s="10">
        <v>0.25</v>
      </c>
      <c r="AD253" s="10">
        <v>0.25</v>
      </c>
      <c r="AE253" s="10">
        <v>0.25</v>
      </c>
      <c r="AF253" s="10">
        <v>0.25</v>
      </c>
      <c r="AG253" s="10">
        <v>0.25</v>
      </c>
      <c r="AH253" s="10">
        <v>0.25</v>
      </c>
      <c r="AI253" s="10">
        <v>0.25</v>
      </c>
      <c r="AJ253" s="10">
        <v>0.25</v>
      </c>
      <c r="AK253" s="257">
        <v>0.25</v>
      </c>
      <c r="AL253" s="5">
        <v>0</v>
      </c>
      <c r="AM253" s="118">
        <f t="shared" si="37"/>
        <v>0</v>
      </c>
      <c r="AN253" s="5">
        <v>0</v>
      </c>
      <c r="AO253" s="118">
        <f t="shared" si="35"/>
        <v>0</v>
      </c>
      <c r="AP253" s="5">
        <v>0</v>
      </c>
      <c r="AQ253" s="127">
        <f t="shared" si="3"/>
        <v>0</v>
      </c>
      <c r="AR253" s="5">
        <v>0</v>
      </c>
      <c r="AS253" s="118">
        <f t="shared" si="4"/>
        <v>0</v>
      </c>
      <c r="AT253" s="5">
        <v>0</v>
      </c>
      <c r="AU253" s="118">
        <f t="shared" si="5"/>
        <v>0</v>
      </c>
      <c r="AV253" s="5">
        <v>0</v>
      </c>
      <c r="AW253" s="127">
        <f t="shared" si="6"/>
        <v>0</v>
      </c>
      <c r="AX253" s="5">
        <v>0</v>
      </c>
      <c r="AY253" s="118">
        <f t="shared" si="7"/>
        <v>0</v>
      </c>
      <c r="AZ253" s="5">
        <v>0</v>
      </c>
      <c r="BA253" s="118">
        <f t="shared" si="8"/>
        <v>0</v>
      </c>
      <c r="BB253" s="105">
        <v>0</v>
      </c>
      <c r="BC253" s="127">
        <f t="shared" si="9"/>
        <v>0</v>
      </c>
      <c r="BD253" s="105">
        <v>0</v>
      </c>
      <c r="BE253" s="118">
        <f t="shared" si="10"/>
        <v>0</v>
      </c>
      <c r="BF253" s="105">
        <v>0</v>
      </c>
      <c r="BG253" s="118">
        <f t="shared" si="11"/>
        <v>0</v>
      </c>
      <c r="BH253" s="105">
        <v>0</v>
      </c>
      <c r="BI253" s="127">
        <f t="shared" si="12"/>
        <v>0</v>
      </c>
      <c r="BJ253" s="220" t="s">
        <v>764</v>
      </c>
      <c r="BL253" s="1" t="s">
        <v>539</v>
      </c>
      <c r="BM253" s="220" t="s">
        <v>768</v>
      </c>
      <c r="BN253" s="264"/>
      <c r="BO253" s="234"/>
    </row>
    <row r="254" spans="1:67">
      <c r="A254" s="219" t="s">
        <v>823</v>
      </c>
      <c r="B254" s="213" t="s">
        <v>267</v>
      </c>
      <c r="C254" s="66" t="s">
        <v>175</v>
      </c>
      <c r="D254" s="287"/>
      <c r="E254" s="103" t="s">
        <v>176</v>
      </c>
      <c r="F254" s="281"/>
      <c r="G254" s="71" t="s">
        <v>202</v>
      </c>
      <c r="H254" s="70" t="s">
        <v>276</v>
      </c>
      <c r="I254" s="70" t="s">
        <v>180</v>
      </c>
      <c r="J254" s="71" t="s">
        <v>193</v>
      </c>
      <c r="K254" s="70" t="s">
        <v>715</v>
      </c>
      <c r="L254" s="69" t="s">
        <v>185</v>
      </c>
      <c r="M254" s="180" t="s">
        <v>465</v>
      </c>
      <c r="N254" s="144">
        <v>3.08</v>
      </c>
      <c r="O254" s="144">
        <v>3.08</v>
      </c>
      <c r="P254" s="144">
        <v>3.05</v>
      </c>
      <c r="Q254" s="144">
        <v>3.05</v>
      </c>
      <c r="R254" s="144">
        <v>3.05</v>
      </c>
      <c r="S254" s="144">
        <v>3.05</v>
      </c>
      <c r="T254" s="144">
        <v>3.05</v>
      </c>
      <c r="U254" s="144">
        <v>3.05</v>
      </c>
      <c r="V254" s="144">
        <v>3.05</v>
      </c>
      <c r="W254" s="144">
        <v>3.05</v>
      </c>
      <c r="X254" s="144">
        <v>3.05</v>
      </c>
      <c r="Y254" s="259">
        <v>3.05</v>
      </c>
      <c r="Z254" s="10">
        <v>0.23</v>
      </c>
      <c r="AA254" s="10">
        <v>0.23</v>
      </c>
      <c r="AB254" s="10">
        <v>0.25</v>
      </c>
      <c r="AC254" s="10">
        <v>0.25</v>
      </c>
      <c r="AD254" s="10">
        <v>0.25</v>
      </c>
      <c r="AE254" s="10">
        <v>0.25</v>
      </c>
      <c r="AF254" s="10">
        <v>0.25</v>
      </c>
      <c r="AG254" s="10">
        <v>0.25</v>
      </c>
      <c r="AH254" s="10">
        <v>0.25</v>
      </c>
      <c r="AI254" s="10">
        <v>0.25</v>
      </c>
      <c r="AJ254" s="10">
        <v>0.25</v>
      </c>
      <c r="AK254" s="257">
        <v>0.25</v>
      </c>
      <c r="AL254" s="5">
        <v>0</v>
      </c>
      <c r="AM254" s="118">
        <f t="shared" si="37"/>
        <v>0</v>
      </c>
      <c r="AN254" s="5">
        <v>0</v>
      </c>
      <c r="AO254" s="118">
        <f t="shared" si="35"/>
        <v>0</v>
      </c>
      <c r="AP254" s="5">
        <v>0</v>
      </c>
      <c r="AQ254" s="127">
        <f t="shared" si="3"/>
        <v>0</v>
      </c>
      <c r="AR254" s="5">
        <v>0</v>
      </c>
      <c r="AS254" s="118">
        <f t="shared" si="4"/>
        <v>0</v>
      </c>
      <c r="AT254" s="5">
        <v>0</v>
      </c>
      <c r="AU254" s="118">
        <f t="shared" si="5"/>
        <v>0</v>
      </c>
      <c r="AV254" s="5">
        <v>0</v>
      </c>
      <c r="AW254" s="127">
        <f t="shared" si="6"/>
        <v>0</v>
      </c>
      <c r="AX254" s="5">
        <v>0</v>
      </c>
      <c r="AY254" s="118">
        <f t="shared" si="7"/>
        <v>0</v>
      </c>
      <c r="AZ254" s="5">
        <v>0</v>
      </c>
      <c r="BA254" s="118">
        <f t="shared" si="8"/>
        <v>0</v>
      </c>
      <c r="BB254" s="105">
        <v>0</v>
      </c>
      <c r="BC254" s="127">
        <f t="shared" si="9"/>
        <v>0</v>
      </c>
      <c r="BD254" s="105">
        <v>0</v>
      </c>
      <c r="BE254" s="118">
        <f t="shared" si="10"/>
        <v>0</v>
      </c>
      <c r="BF254" s="105">
        <v>0</v>
      </c>
      <c r="BG254" s="118">
        <f t="shared" si="11"/>
        <v>0</v>
      </c>
      <c r="BH254" s="105">
        <v>0</v>
      </c>
      <c r="BI254" s="127">
        <f t="shared" si="12"/>
        <v>0</v>
      </c>
      <c r="BJ254" s="220" t="s">
        <v>764</v>
      </c>
      <c r="BL254" s="1" t="s">
        <v>539</v>
      </c>
      <c r="BM254" s="220" t="s">
        <v>769</v>
      </c>
      <c r="BN254" s="264"/>
      <c r="BO254" s="234"/>
    </row>
    <row r="255" spans="1:67">
      <c r="A255" s="219" t="s">
        <v>823</v>
      </c>
      <c r="B255" s="213" t="s">
        <v>267</v>
      </c>
      <c r="C255" s="66" t="s">
        <v>175</v>
      </c>
      <c r="D255" s="287"/>
      <c r="E255" s="103" t="s">
        <v>176</v>
      </c>
      <c r="F255" s="281"/>
      <c r="G255" s="71" t="s">
        <v>202</v>
      </c>
      <c r="H255" s="70" t="s">
        <v>276</v>
      </c>
      <c r="I255" s="70" t="s">
        <v>180</v>
      </c>
      <c r="J255" s="71" t="s">
        <v>193</v>
      </c>
      <c r="K255" s="70" t="s">
        <v>715</v>
      </c>
      <c r="L255" s="69" t="s">
        <v>185</v>
      </c>
      <c r="M255" s="180" t="s">
        <v>465</v>
      </c>
      <c r="N255" s="144">
        <v>3.08</v>
      </c>
      <c r="O255" s="144">
        <v>3.08</v>
      </c>
      <c r="P255" s="144">
        <v>3.05</v>
      </c>
      <c r="Q255" s="144">
        <v>3.05</v>
      </c>
      <c r="R255" s="144">
        <v>3.05</v>
      </c>
      <c r="S255" s="144">
        <v>3.05</v>
      </c>
      <c r="T255" s="144">
        <v>3.05</v>
      </c>
      <c r="U255" s="144">
        <v>3.05</v>
      </c>
      <c r="V255" s="144">
        <v>3.05</v>
      </c>
      <c r="W255" s="144">
        <v>3.05</v>
      </c>
      <c r="X255" s="144">
        <v>3.05</v>
      </c>
      <c r="Y255" s="259">
        <v>3.05</v>
      </c>
      <c r="Z255" s="10">
        <v>0.23</v>
      </c>
      <c r="AA255" s="10">
        <v>0.23</v>
      </c>
      <c r="AB255" s="10">
        <v>0.25</v>
      </c>
      <c r="AC255" s="10">
        <v>0.25</v>
      </c>
      <c r="AD255" s="10">
        <v>0.25</v>
      </c>
      <c r="AE255" s="10">
        <v>0.25</v>
      </c>
      <c r="AF255" s="10">
        <v>0.25</v>
      </c>
      <c r="AG255" s="10">
        <v>0.25</v>
      </c>
      <c r="AH255" s="10">
        <v>0.25</v>
      </c>
      <c r="AI255" s="10">
        <v>0.25</v>
      </c>
      <c r="AJ255" s="10">
        <v>0.25</v>
      </c>
      <c r="AK255" s="257">
        <v>0.25</v>
      </c>
      <c r="AL255" s="5">
        <v>0</v>
      </c>
      <c r="AM255" s="118">
        <f t="shared" si="37"/>
        <v>0</v>
      </c>
      <c r="AN255" s="5">
        <v>0</v>
      </c>
      <c r="AO255" s="118">
        <f t="shared" si="35"/>
        <v>0</v>
      </c>
      <c r="AP255" s="5">
        <v>0</v>
      </c>
      <c r="AQ255" s="127">
        <f t="shared" si="3"/>
        <v>0</v>
      </c>
      <c r="AR255" s="5">
        <v>0</v>
      </c>
      <c r="AS255" s="118">
        <f t="shared" si="4"/>
        <v>0</v>
      </c>
      <c r="AT255" s="5">
        <v>0</v>
      </c>
      <c r="AU255" s="118">
        <f t="shared" si="5"/>
        <v>0</v>
      </c>
      <c r="AV255" s="5">
        <v>0</v>
      </c>
      <c r="AW255" s="127">
        <f t="shared" si="6"/>
        <v>0</v>
      </c>
      <c r="AX255" s="5">
        <v>0</v>
      </c>
      <c r="AY255" s="118">
        <f t="shared" si="7"/>
        <v>0</v>
      </c>
      <c r="AZ255" s="5">
        <v>0</v>
      </c>
      <c r="BA255" s="118">
        <f t="shared" si="8"/>
        <v>0</v>
      </c>
      <c r="BB255" s="105">
        <v>0</v>
      </c>
      <c r="BC255" s="127">
        <f t="shared" si="9"/>
        <v>0</v>
      </c>
      <c r="BD255" s="105">
        <v>0</v>
      </c>
      <c r="BE255" s="118">
        <f t="shared" si="10"/>
        <v>0</v>
      </c>
      <c r="BF255" s="105">
        <v>0</v>
      </c>
      <c r="BG255" s="118">
        <f t="shared" si="11"/>
        <v>0</v>
      </c>
      <c r="BH255" s="105">
        <v>0</v>
      </c>
      <c r="BI255" s="127">
        <f t="shared" si="12"/>
        <v>0</v>
      </c>
      <c r="BJ255" s="220" t="s">
        <v>764</v>
      </c>
      <c r="BL255" s="1" t="s">
        <v>539</v>
      </c>
      <c r="BM255" s="220" t="s">
        <v>770</v>
      </c>
      <c r="BN255" s="264"/>
      <c r="BO255" s="234"/>
    </row>
    <row r="256" spans="1:67">
      <c r="A256" s="219" t="s">
        <v>823</v>
      </c>
      <c r="B256" s="213" t="s">
        <v>267</v>
      </c>
      <c r="C256" s="66" t="s">
        <v>175</v>
      </c>
      <c r="D256" s="287"/>
      <c r="E256" s="103" t="s">
        <v>176</v>
      </c>
      <c r="F256" s="281"/>
      <c r="G256" s="71" t="s">
        <v>202</v>
      </c>
      <c r="H256" s="70" t="s">
        <v>276</v>
      </c>
      <c r="I256" s="70" t="s">
        <v>180</v>
      </c>
      <c r="J256" s="71" t="s">
        <v>193</v>
      </c>
      <c r="K256" s="70" t="s">
        <v>181</v>
      </c>
      <c r="L256" s="69" t="s">
        <v>387</v>
      </c>
      <c r="M256" s="83" t="s">
        <v>731</v>
      </c>
      <c r="N256" s="144">
        <v>4.75</v>
      </c>
      <c r="O256" s="144">
        <v>4.75</v>
      </c>
      <c r="P256" s="144">
        <v>4.75</v>
      </c>
      <c r="Q256" s="144">
        <v>4.75</v>
      </c>
      <c r="R256" s="144">
        <v>4.75</v>
      </c>
      <c r="S256" s="144">
        <v>4.75</v>
      </c>
      <c r="T256" s="144">
        <v>4.75</v>
      </c>
      <c r="U256" s="144">
        <v>4.75</v>
      </c>
      <c r="V256" s="144">
        <v>4.75</v>
      </c>
      <c r="W256" s="144">
        <v>4.75</v>
      </c>
      <c r="X256" s="144">
        <v>4.75</v>
      </c>
      <c r="Y256" s="259">
        <v>4.75</v>
      </c>
      <c r="Z256" s="10">
        <v>0.32</v>
      </c>
      <c r="AA256" s="10">
        <v>0.32</v>
      </c>
      <c r="AB256" s="10">
        <v>0.32</v>
      </c>
      <c r="AC256" s="10">
        <v>0.32</v>
      </c>
      <c r="AD256" s="10">
        <v>0.32</v>
      </c>
      <c r="AE256" s="10">
        <v>0.32</v>
      </c>
      <c r="AF256" s="10">
        <v>0.32</v>
      </c>
      <c r="AG256" s="10">
        <v>0.32</v>
      </c>
      <c r="AH256" s="10">
        <v>0.32</v>
      </c>
      <c r="AI256" s="10">
        <v>0.32</v>
      </c>
      <c r="AJ256" s="10">
        <v>0.32</v>
      </c>
      <c r="AK256" s="257">
        <v>0.32</v>
      </c>
      <c r="AL256" s="5">
        <v>0</v>
      </c>
      <c r="AM256" s="118">
        <f t="shared" si="37"/>
        <v>0</v>
      </c>
      <c r="AN256" s="5">
        <v>0</v>
      </c>
      <c r="AO256" s="118">
        <f t="shared" si="35"/>
        <v>0</v>
      </c>
      <c r="AP256" s="5">
        <v>0</v>
      </c>
      <c r="AQ256" s="127">
        <f t="shared" si="3"/>
        <v>0</v>
      </c>
      <c r="AR256" s="5">
        <v>0</v>
      </c>
      <c r="AS256" s="118">
        <f t="shared" si="4"/>
        <v>0</v>
      </c>
      <c r="AT256" s="5">
        <v>0</v>
      </c>
      <c r="AU256" s="118">
        <f t="shared" si="5"/>
        <v>0</v>
      </c>
      <c r="AV256" s="5">
        <v>0</v>
      </c>
      <c r="AW256" s="127">
        <f t="shared" si="6"/>
        <v>0</v>
      </c>
      <c r="AX256" s="5">
        <v>0</v>
      </c>
      <c r="AY256" s="118">
        <f t="shared" si="7"/>
        <v>0</v>
      </c>
      <c r="AZ256" s="105">
        <v>0</v>
      </c>
      <c r="BA256" s="118">
        <f t="shared" si="8"/>
        <v>0</v>
      </c>
      <c r="BB256" s="105">
        <v>0</v>
      </c>
      <c r="BC256" s="127">
        <f t="shared" si="9"/>
        <v>0</v>
      </c>
      <c r="BD256" s="105">
        <v>0</v>
      </c>
      <c r="BE256" s="118">
        <f t="shared" si="10"/>
        <v>0</v>
      </c>
      <c r="BF256" s="105">
        <v>0</v>
      </c>
      <c r="BG256" s="118">
        <f t="shared" si="11"/>
        <v>0</v>
      </c>
      <c r="BH256" s="105">
        <v>0</v>
      </c>
      <c r="BI256" s="127">
        <f t="shared" si="12"/>
        <v>0</v>
      </c>
      <c r="BJ256" s="220" t="s">
        <v>771</v>
      </c>
      <c r="BL256" s="1" t="s">
        <v>539</v>
      </c>
      <c r="BM256" s="220" t="s">
        <v>757</v>
      </c>
      <c r="BN256" s="264"/>
      <c r="BO256" s="234"/>
    </row>
    <row r="257" spans="1:67">
      <c r="A257" s="219" t="s">
        <v>823</v>
      </c>
      <c r="B257" s="213" t="s">
        <v>267</v>
      </c>
      <c r="C257" s="66" t="s">
        <v>175</v>
      </c>
      <c r="D257" s="287"/>
      <c r="E257" s="103" t="s">
        <v>176</v>
      </c>
      <c r="F257" s="281"/>
      <c r="G257" s="71" t="s">
        <v>202</v>
      </c>
      <c r="H257" s="70" t="s">
        <v>276</v>
      </c>
      <c r="I257" s="70" t="s">
        <v>180</v>
      </c>
      <c r="J257" s="71" t="s">
        <v>193</v>
      </c>
      <c r="K257" s="70" t="s">
        <v>181</v>
      </c>
      <c r="L257" s="69" t="s">
        <v>387</v>
      </c>
      <c r="M257" s="83" t="s">
        <v>731</v>
      </c>
      <c r="N257" s="144">
        <v>4.75</v>
      </c>
      <c r="O257" s="144">
        <v>4.75</v>
      </c>
      <c r="P257" s="144">
        <v>4.75</v>
      </c>
      <c r="Q257" s="144">
        <v>4.75</v>
      </c>
      <c r="R257" s="144">
        <v>4.75</v>
      </c>
      <c r="S257" s="144">
        <v>4.75</v>
      </c>
      <c r="T257" s="144">
        <v>4.75</v>
      </c>
      <c r="U257" s="144">
        <v>4.75</v>
      </c>
      <c r="V257" s="144">
        <v>4.75</v>
      </c>
      <c r="W257" s="144">
        <v>4.75</v>
      </c>
      <c r="X257" s="144">
        <v>4.75</v>
      </c>
      <c r="Y257" s="259">
        <v>4.75</v>
      </c>
      <c r="Z257" s="10">
        <v>0.32</v>
      </c>
      <c r="AA257" s="10">
        <v>0.32</v>
      </c>
      <c r="AB257" s="10">
        <v>0.32</v>
      </c>
      <c r="AC257" s="10">
        <v>0.32</v>
      </c>
      <c r="AD257" s="10">
        <v>0.32</v>
      </c>
      <c r="AE257" s="10">
        <v>0.32</v>
      </c>
      <c r="AF257" s="10">
        <v>0.32</v>
      </c>
      <c r="AG257" s="10">
        <v>0.32</v>
      </c>
      <c r="AH257" s="10">
        <v>0.32</v>
      </c>
      <c r="AI257" s="10">
        <v>0.32</v>
      </c>
      <c r="AJ257" s="10">
        <v>0.32</v>
      </c>
      <c r="AK257" s="257">
        <v>0.32</v>
      </c>
      <c r="AL257" s="5">
        <v>0</v>
      </c>
      <c r="AM257" s="118">
        <f t="shared" si="37"/>
        <v>0</v>
      </c>
      <c r="AN257" s="5">
        <v>0</v>
      </c>
      <c r="AO257" s="118">
        <f t="shared" si="35"/>
        <v>0</v>
      </c>
      <c r="AP257" s="5">
        <v>0</v>
      </c>
      <c r="AQ257" s="127">
        <f t="shared" si="3"/>
        <v>0</v>
      </c>
      <c r="AR257" s="5">
        <v>0</v>
      </c>
      <c r="AS257" s="118">
        <f t="shared" si="4"/>
        <v>0</v>
      </c>
      <c r="AT257" s="5">
        <v>0</v>
      </c>
      <c r="AU257" s="118">
        <f t="shared" si="5"/>
        <v>0</v>
      </c>
      <c r="AV257" s="5">
        <v>0</v>
      </c>
      <c r="AW257" s="127">
        <f t="shared" si="6"/>
        <v>0</v>
      </c>
      <c r="AX257" s="5">
        <v>0</v>
      </c>
      <c r="AY257" s="118">
        <f t="shared" si="7"/>
        <v>0</v>
      </c>
      <c r="AZ257" s="105">
        <v>0</v>
      </c>
      <c r="BA257" s="118">
        <f t="shared" si="8"/>
        <v>0</v>
      </c>
      <c r="BB257" s="105">
        <v>0</v>
      </c>
      <c r="BC257" s="127">
        <f t="shared" si="9"/>
        <v>0</v>
      </c>
      <c r="BD257" s="105">
        <v>0</v>
      </c>
      <c r="BE257" s="118">
        <f t="shared" si="10"/>
        <v>0</v>
      </c>
      <c r="BF257" s="105">
        <v>0</v>
      </c>
      <c r="BG257" s="118">
        <f t="shared" si="11"/>
        <v>0</v>
      </c>
      <c r="BH257" s="105">
        <v>0</v>
      </c>
      <c r="BI257" s="127">
        <f t="shared" si="12"/>
        <v>0</v>
      </c>
      <c r="BJ257" s="220" t="s">
        <v>771</v>
      </c>
      <c r="BL257" s="1" t="s">
        <v>539</v>
      </c>
      <c r="BM257" s="220" t="s">
        <v>758</v>
      </c>
      <c r="BN257" s="264"/>
      <c r="BO257" s="234"/>
    </row>
    <row r="258" spans="1:67">
      <c r="A258" s="219" t="s">
        <v>823</v>
      </c>
      <c r="B258" s="213" t="s">
        <v>267</v>
      </c>
      <c r="C258" s="66" t="s">
        <v>175</v>
      </c>
      <c r="D258" s="287"/>
      <c r="E258" s="103" t="s">
        <v>176</v>
      </c>
      <c r="F258" s="281"/>
      <c r="G258" s="71" t="s">
        <v>202</v>
      </c>
      <c r="H258" s="70" t="s">
        <v>276</v>
      </c>
      <c r="I258" s="70" t="s">
        <v>180</v>
      </c>
      <c r="J258" s="71" t="s">
        <v>193</v>
      </c>
      <c r="K258" s="70" t="s">
        <v>181</v>
      </c>
      <c r="L258" s="69" t="s">
        <v>387</v>
      </c>
      <c r="M258" s="83" t="s">
        <v>731</v>
      </c>
      <c r="N258" s="144">
        <v>4.75</v>
      </c>
      <c r="O258" s="144">
        <v>4.75</v>
      </c>
      <c r="P258" s="144">
        <v>4.75</v>
      </c>
      <c r="Q258" s="144">
        <v>4.75</v>
      </c>
      <c r="R258" s="144">
        <v>4.75</v>
      </c>
      <c r="S258" s="144">
        <v>4.75</v>
      </c>
      <c r="T258" s="144">
        <v>4.75</v>
      </c>
      <c r="U258" s="144">
        <v>4.75</v>
      </c>
      <c r="V258" s="144">
        <v>4.75</v>
      </c>
      <c r="W258" s="144">
        <v>4.75</v>
      </c>
      <c r="X258" s="144">
        <v>4.75</v>
      </c>
      <c r="Y258" s="259">
        <v>4.75</v>
      </c>
      <c r="Z258" s="10">
        <v>0.32</v>
      </c>
      <c r="AA258" s="10">
        <v>0.32</v>
      </c>
      <c r="AB258" s="10">
        <v>0.32</v>
      </c>
      <c r="AC258" s="10">
        <v>0.32</v>
      </c>
      <c r="AD258" s="10">
        <v>0.32</v>
      </c>
      <c r="AE258" s="10">
        <v>0.32</v>
      </c>
      <c r="AF258" s="10">
        <v>0.32</v>
      </c>
      <c r="AG258" s="10">
        <v>0.32</v>
      </c>
      <c r="AH258" s="10">
        <v>0.32</v>
      </c>
      <c r="AI258" s="10">
        <v>0.32</v>
      </c>
      <c r="AJ258" s="10">
        <v>0.32</v>
      </c>
      <c r="AK258" s="257">
        <v>0.32</v>
      </c>
      <c r="AL258" s="5">
        <v>0</v>
      </c>
      <c r="AM258" s="118">
        <f t="shared" si="37"/>
        <v>0</v>
      </c>
      <c r="AN258" s="5">
        <v>0</v>
      </c>
      <c r="AO258" s="118">
        <f t="shared" si="35"/>
        <v>0</v>
      </c>
      <c r="AP258" s="5">
        <v>0</v>
      </c>
      <c r="AQ258" s="127">
        <f t="shared" ref="AQ258:AQ287" si="47">AB258*AP258</f>
        <v>0</v>
      </c>
      <c r="AR258" s="5">
        <v>0</v>
      </c>
      <c r="AS258" s="118">
        <f t="shared" ref="AS258:AS287" si="48">AC258*AR258</f>
        <v>0</v>
      </c>
      <c r="AT258" s="5">
        <v>0</v>
      </c>
      <c r="AU258" s="118">
        <f t="shared" ref="AU258:AU268" si="49">AD258*AT258</f>
        <v>0</v>
      </c>
      <c r="AV258" s="5">
        <v>0</v>
      </c>
      <c r="AW258" s="127">
        <f t="shared" ref="AW258:AW287" si="50">AE258*AV258</f>
        <v>0</v>
      </c>
      <c r="AX258" s="5">
        <v>0</v>
      </c>
      <c r="AY258" s="118">
        <f t="shared" ref="AY258:AY287" si="51">AF258*AX258</f>
        <v>0</v>
      </c>
      <c r="AZ258" s="105">
        <v>0</v>
      </c>
      <c r="BA258" s="118">
        <f t="shared" ref="BA258:BA287" si="52">AG258*AZ258</f>
        <v>0</v>
      </c>
      <c r="BB258" s="105">
        <v>0</v>
      </c>
      <c r="BC258" s="127">
        <f t="shared" ref="BC258:BC287" si="53">AH258*BB258</f>
        <v>0</v>
      </c>
      <c r="BD258" s="105">
        <v>0</v>
      </c>
      <c r="BE258" s="118">
        <f t="shared" ref="BE258:BE287" si="54">AI258*BD258</f>
        <v>0</v>
      </c>
      <c r="BF258" s="105">
        <v>0</v>
      </c>
      <c r="BG258" s="118">
        <f t="shared" ref="BG258:BG287" si="55">AJ258*BF258</f>
        <v>0</v>
      </c>
      <c r="BH258" s="105">
        <v>0</v>
      </c>
      <c r="BI258" s="127">
        <f t="shared" ref="BI258:BI287" si="56">AK258*BH258</f>
        <v>0</v>
      </c>
      <c r="BJ258" s="220" t="s">
        <v>771</v>
      </c>
      <c r="BL258" s="1" t="s">
        <v>539</v>
      </c>
      <c r="BM258" s="220" t="s">
        <v>759</v>
      </c>
      <c r="BN258" s="264"/>
      <c r="BO258" s="234"/>
    </row>
    <row r="259" spans="1:67">
      <c r="A259" s="219" t="s">
        <v>823</v>
      </c>
      <c r="B259" s="213" t="s">
        <v>267</v>
      </c>
      <c r="C259" s="66" t="s">
        <v>175</v>
      </c>
      <c r="D259" s="287"/>
      <c r="E259" s="103" t="s">
        <v>176</v>
      </c>
      <c r="F259" s="281"/>
      <c r="G259" s="71" t="s">
        <v>202</v>
      </c>
      <c r="H259" s="70" t="s">
        <v>276</v>
      </c>
      <c r="I259" s="70" t="s">
        <v>180</v>
      </c>
      <c r="J259" s="71" t="s">
        <v>193</v>
      </c>
      <c r="K259" s="70" t="s">
        <v>181</v>
      </c>
      <c r="L259" s="69" t="s">
        <v>387</v>
      </c>
      <c r="M259" s="83" t="s">
        <v>731</v>
      </c>
      <c r="N259" s="144">
        <v>4.75</v>
      </c>
      <c r="O259" s="144">
        <v>4.75</v>
      </c>
      <c r="P259" s="144">
        <v>4.75</v>
      </c>
      <c r="Q259" s="144">
        <v>4.75</v>
      </c>
      <c r="R259" s="144">
        <v>4.75</v>
      </c>
      <c r="S259" s="144">
        <v>4.75</v>
      </c>
      <c r="T259" s="144">
        <v>4.75</v>
      </c>
      <c r="U259" s="144">
        <v>4.75</v>
      </c>
      <c r="V259" s="144">
        <v>4.75</v>
      </c>
      <c r="W259" s="144">
        <v>4.75</v>
      </c>
      <c r="X259" s="144">
        <v>4.75</v>
      </c>
      <c r="Y259" s="259">
        <v>4.75</v>
      </c>
      <c r="Z259" s="10">
        <v>0.32</v>
      </c>
      <c r="AA259" s="10">
        <v>0.32</v>
      </c>
      <c r="AB259" s="10">
        <v>0.32</v>
      </c>
      <c r="AC259" s="10">
        <v>0.32</v>
      </c>
      <c r="AD259" s="10">
        <v>0.32</v>
      </c>
      <c r="AE259" s="10">
        <v>0.32</v>
      </c>
      <c r="AF259" s="10">
        <v>0.32</v>
      </c>
      <c r="AG259" s="10">
        <v>0.32</v>
      </c>
      <c r="AH259" s="10">
        <v>0.32</v>
      </c>
      <c r="AI259" s="10">
        <v>0.32</v>
      </c>
      <c r="AJ259" s="10">
        <v>0.32</v>
      </c>
      <c r="AK259" s="257">
        <v>0.32</v>
      </c>
      <c r="AL259" s="5">
        <v>0</v>
      </c>
      <c r="AM259" s="118">
        <f t="shared" si="37"/>
        <v>0</v>
      </c>
      <c r="AN259" s="5">
        <v>0</v>
      </c>
      <c r="AO259" s="118">
        <f t="shared" si="35"/>
        <v>0</v>
      </c>
      <c r="AP259" s="5">
        <v>0</v>
      </c>
      <c r="AQ259" s="127">
        <f t="shared" si="47"/>
        <v>0</v>
      </c>
      <c r="AR259" s="5">
        <v>0</v>
      </c>
      <c r="AS259" s="118">
        <f t="shared" si="48"/>
        <v>0</v>
      </c>
      <c r="AT259" s="5">
        <v>0</v>
      </c>
      <c r="AU259" s="118">
        <f t="shared" si="49"/>
        <v>0</v>
      </c>
      <c r="AV259" s="5">
        <v>0</v>
      </c>
      <c r="AW259" s="127">
        <f t="shared" si="50"/>
        <v>0</v>
      </c>
      <c r="AX259" s="5">
        <v>0</v>
      </c>
      <c r="AY259" s="118">
        <f t="shared" si="51"/>
        <v>0</v>
      </c>
      <c r="AZ259" s="105">
        <v>0</v>
      </c>
      <c r="BA259" s="118">
        <f t="shared" si="52"/>
        <v>0</v>
      </c>
      <c r="BB259" s="105">
        <v>0</v>
      </c>
      <c r="BC259" s="127">
        <f t="shared" si="53"/>
        <v>0</v>
      </c>
      <c r="BD259" s="105">
        <v>0</v>
      </c>
      <c r="BE259" s="118">
        <f t="shared" si="54"/>
        <v>0</v>
      </c>
      <c r="BF259" s="105">
        <v>0</v>
      </c>
      <c r="BG259" s="118">
        <f t="shared" si="55"/>
        <v>0</v>
      </c>
      <c r="BH259" s="105">
        <v>0</v>
      </c>
      <c r="BI259" s="127">
        <f t="shared" si="56"/>
        <v>0</v>
      </c>
      <c r="BJ259" s="220" t="s">
        <v>771</v>
      </c>
      <c r="BL259" s="1" t="s">
        <v>539</v>
      </c>
      <c r="BM259" s="220" t="s">
        <v>760</v>
      </c>
      <c r="BN259" s="264"/>
      <c r="BO259" s="234"/>
    </row>
    <row r="260" spans="1:67">
      <c r="A260" s="219" t="s">
        <v>823</v>
      </c>
      <c r="B260" s="213" t="s">
        <v>267</v>
      </c>
      <c r="C260" s="66" t="s">
        <v>175</v>
      </c>
      <c r="D260" s="287"/>
      <c r="E260" s="103" t="s">
        <v>176</v>
      </c>
      <c r="F260" s="281"/>
      <c r="G260" s="71" t="s">
        <v>202</v>
      </c>
      <c r="H260" s="70" t="s">
        <v>276</v>
      </c>
      <c r="I260" s="70" t="s">
        <v>180</v>
      </c>
      <c r="J260" s="71" t="s">
        <v>193</v>
      </c>
      <c r="K260" s="70" t="s">
        <v>181</v>
      </c>
      <c r="L260" s="69" t="s">
        <v>387</v>
      </c>
      <c r="M260" s="83" t="s">
        <v>731</v>
      </c>
      <c r="N260" s="144">
        <v>4.75</v>
      </c>
      <c r="O260" s="144">
        <v>4.75</v>
      </c>
      <c r="P260" s="144">
        <v>4.75</v>
      </c>
      <c r="Q260" s="144">
        <v>4.75</v>
      </c>
      <c r="R260" s="144">
        <v>4.75</v>
      </c>
      <c r="S260" s="144">
        <v>4.75</v>
      </c>
      <c r="T260" s="144">
        <v>4.75</v>
      </c>
      <c r="U260" s="144">
        <v>4.75</v>
      </c>
      <c r="V260" s="144">
        <v>4.75</v>
      </c>
      <c r="W260" s="144">
        <v>4.75</v>
      </c>
      <c r="X260" s="144">
        <v>4.75</v>
      </c>
      <c r="Y260" s="259">
        <v>4.75</v>
      </c>
      <c r="Z260" s="10">
        <v>0.32</v>
      </c>
      <c r="AA260" s="10">
        <v>0.32</v>
      </c>
      <c r="AB260" s="10">
        <v>0.32</v>
      </c>
      <c r="AC260" s="10">
        <v>0.32</v>
      </c>
      <c r="AD260" s="10">
        <v>0.32</v>
      </c>
      <c r="AE260" s="10">
        <v>0.32</v>
      </c>
      <c r="AF260" s="10">
        <v>0.32</v>
      </c>
      <c r="AG260" s="10">
        <v>0.32</v>
      </c>
      <c r="AH260" s="10">
        <v>0.32</v>
      </c>
      <c r="AI260" s="10">
        <v>0.32</v>
      </c>
      <c r="AJ260" s="10">
        <v>0.32</v>
      </c>
      <c r="AK260" s="257">
        <v>0.32</v>
      </c>
      <c r="AL260" s="5">
        <v>0</v>
      </c>
      <c r="AM260" s="118">
        <f t="shared" si="37"/>
        <v>0</v>
      </c>
      <c r="AN260" s="5">
        <v>0</v>
      </c>
      <c r="AO260" s="118">
        <f t="shared" ref="AO260:AO287" si="57">AA260*AN260</f>
        <v>0</v>
      </c>
      <c r="AP260" s="5">
        <v>0</v>
      </c>
      <c r="AQ260" s="127">
        <f t="shared" si="47"/>
        <v>0</v>
      </c>
      <c r="AR260" s="5">
        <v>0</v>
      </c>
      <c r="AS260" s="118">
        <f t="shared" si="48"/>
        <v>0</v>
      </c>
      <c r="AT260" s="5">
        <v>0</v>
      </c>
      <c r="AU260" s="118">
        <f t="shared" si="49"/>
        <v>0</v>
      </c>
      <c r="AV260" s="5">
        <v>0</v>
      </c>
      <c r="AW260" s="127">
        <f t="shared" si="50"/>
        <v>0</v>
      </c>
      <c r="AX260" s="5">
        <v>0</v>
      </c>
      <c r="AY260" s="118">
        <f t="shared" si="51"/>
        <v>0</v>
      </c>
      <c r="AZ260" s="105">
        <v>0</v>
      </c>
      <c r="BA260" s="118">
        <f t="shared" si="52"/>
        <v>0</v>
      </c>
      <c r="BB260" s="5">
        <v>0</v>
      </c>
      <c r="BC260" s="127">
        <f t="shared" si="53"/>
        <v>0</v>
      </c>
      <c r="BD260" s="105">
        <v>0</v>
      </c>
      <c r="BE260" s="118">
        <f t="shared" si="54"/>
        <v>0</v>
      </c>
      <c r="BF260" s="105">
        <v>0</v>
      </c>
      <c r="BG260" s="118">
        <f t="shared" si="55"/>
        <v>0</v>
      </c>
      <c r="BH260" s="105">
        <v>0</v>
      </c>
      <c r="BI260" s="127">
        <f t="shared" si="56"/>
        <v>0</v>
      </c>
      <c r="BJ260" s="220" t="s">
        <v>771</v>
      </c>
      <c r="BL260" s="1" t="s">
        <v>539</v>
      </c>
      <c r="BM260" s="220" t="s">
        <v>761</v>
      </c>
      <c r="BN260" s="264"/>
      <c r="BO260" s="234"/>
    </row>
    <row r="261" spans="1:67">
      <c r="A261" s="219" t="s">
        <v>823</v>
      </c>
      <c r="B261" s="213" t="s">
        <v>267</v>
      </c>
      <c r="C261" s="66" t="s">
        <v>175</v>
      </c>
      <c r="D261" s="287"/>
      <c r="E261" s="103" t="s">
        <v>176</v>
      </c>
      <c r="F261" s="281"/>
      <c r="G261" s="71" t="s">
        <v>202</v>
      </c>
      <c r="H261" s="70" t="s">
        <v>276</v>
      </c>
      <c r="I261" s="70" t="s">
        <v>180</v>
      </c>
      <c r="J261" s="71" t="s">
        <v>193</v>
      </c>
      <c r="K261" s="70" t="s">
        <v>181</v>
      </c>
      <c r="L261" s="69" t="s">
        <v>387</v>
      </c>
      <c r="M261" s="83" t="s">
        <v>731</v>
      </c>
      <c r="N261" s="144">
        <v>4.75</v>
      </c>
      <c r="O261" s="144">
        <v>4.75</v>
      </c>
      <c r="P261" s="144">
        <v>4.75</v>
      </c>
      <c r="Q261" s="144">
        <v>4.75</v>
      </c>
      <c r="R261" s="144">
        <v>4.75</v>
      </c>
      <c r="S261" s="144">
        <v>4.75</v>
      </c>
      <c r="T261" s="144">
        <v>4.75</v>
      </c>
      <c r="U261" s="144">
        <v>4.75</v>
      </c>
      <c r="V261" s="144">
        <v>4.75</v>
      </c>
      <c r="W261" s="144">
        <v>4.75</v>
      </c>
      <c r="X261" s="144">
        <v>4.75</v>
      </c>
      <c r="Y261" s="259">
        <v>4.75</v>
      </c>
      <c r="Z261" s="10">
        <v>0.32</v>
      </c>
      <c r="AA261" s="10">
        <v>0.32</v>
      </c>
      <c r="AB261" s="10">
        <v>0.32</v>
      </c>
      <c r="AC261" s="10">
        <v>0.32</v>
      </c>
      <c r="AD261" s="10">
        <v>0.32</v>
      </c>
      <c r="AE261" s="10">
        <v>0.32</v>
      </c>
      <c r="AF261" s="10">
        <v>0.32</v>
      </c>
      <c r="AG261" s="10">
        <v>0.32</v>
      </c>
      <c r="AH261" s="10">
        <v>0.32</v>
      </c>
      <c r="AI261" s="10">
        <v>0.32</v>
      </c>
      <c r="AJ261" s="10">
        <v>0.32</v>
      </c>
      <c r="AK261" s="257">
        <v>0.32</v>
      </c>
      <c r="AL261" s="5">
        <v>0</v>
      </c>
      <c r="AM261" s="118">
        <f t="shared" si="37"/>
        <v>0</v>
      </c>
      <c r="AN261" s="5">
        <v>0</v>
      </c>
      <c r="AO261" s="118">
        <f t="shared" si="57"/>
        <v>0</v>
      </c>
      <c r="AP261" s="5">
        <v>0</v>
      </c>
      <c r="AQ261" s="127">
        <f t="shared" si="47"/>
        <v>0</v>
      </c>
      <c r="AR261" s="5">
        <v>0</v>
      </c>
      <c r="AS261" s="118">
        <f t="shared" si="48"/>
        <v>0</v>
      </c>
      <c r="AT261" s="5">
        <v>0</v>
      </c>
      <c r="AU261" s="118">
        <f t="shared" si="49"/>
        <v>0</v>
      </c>
      <c r="AV261" s="5">
        <v>0</v>
      </c>
      <c r="AW261" s="127">
        <f t="shared" si="50"/>
        <v>0</v>
      </c>
      <c r="AX261" s="5">
        <v>0</v>
      </c>
      <c r="AY261" s="118">
        <f t="shared" si="51"/>
        <v>0</v>
      </c>
      <c r="AZ261" s="105">
        <v>0</v>
      </c>
      <c r="BA261" s="118">
        <f t="shared" si="52"/>
        <v>0</v>
      </c>
      <c r="BB261" s="5">
        <v>0</v>
      </c>
      <c r="BC261" s="127">
        <f t="shared" si="53"/>
        <v>0</v>
      </c>
      <c r="BD261" s="105">
        <v>0</v>
      </c>
      <c r="BE261" s="118">
        <f t="shared" si="54"/>
        <v>0</v>
      </c>
      <c r="BF261" s="105">
        <v>0</v>
      </c>
      <c r="BG261" s="118">
        <f t="shared" si="55"/>
        <v>0</v>
      </c>
      <c r="BH261" s="105">
        <v>0</v>
      </c>
      <c r="BI261" s="127">
        <f t="shared" si="56"/>
        <v>0</v>
      </c>
      <c r="BJ261" s="220" t="s">
        <v>771</v>
      </c>
      <c r="BL261" s="1" t="s">
        <v>539</v>
      </c>
      <c r="BM261" s="220" t="s">
        <v>762</v>
      </c>
      <c r="BN261" s="264"/>
      <c r="BO261" s="234"/>
    </row>
    <row r="262" spans="1:67">
      <c r="A262" s="219" t="s">
        <v>823</v>
      </c>
      <c r="B262" s="213" t="s">
        <v>267</v>
      </c>
      <c r="C262" s="66" t="s">
        <v>175</v>
      </c>
      <c r="D262" s="287"/>
      <c r="E262" s="103" t="s">
        <v>176</v>
      </c>
      <c r="F262" s="281"/>
      <c r="G262" s="71" t="s">
        <v>202</v>
      </c>
      <c r="H262" s="70" t="s">
        <v>276</v>
      </c>
      <c r="I262" s="70" t="s">
        <v>180</v>
      </c>
      <c r="J262" s="71" t="s">
        <v>193</v>
      </c>
      <c r="K262" s="70" t="s">
        <v>181</v>
      </c>
      <c r="L262" s="69" t="s">
        <v>387</v>
      </c>
      <c r="M262" s="83" t="s">
        <v>731</v>
      </c>
      <c r="N262" s="144">
        <v>4.75</v>
      </c>
      <c r="O262" s="144">
        <v>4.75</v>
      </c>
      <c r="P262" s="144">
        <v>4.75</v>
      </c>
      <c r="Q262" s="144">
        <v>4.75</v>
      </c>
      <c r="R262" s="144">
        <v>4.75</v>
      </c>
      <c r="S262" s="144">
        <v>4.75</v>
      </c>
      <c r="T262" s="144">
        <v>4.75</v>
      </c>
      <c r="U262" s="144">
        <v>4.75</v>
      </c>
      <c r="V262" s="144">
        <v>4.75</v>
      </c>
      <c r="W262" s="144">
        <v>4.75</v>
      </c>
      <c r="X262" s="144">
        <v>4.75</v>
      </c>
      <c r="Y262" s="259">
        <v>4.75</v>
      </c>
      <c r="Z262" s="10">
        <v>0.32</v>
      </c>
      <c r="AA262" s="10">
        <v>0.32</v>
      </c>
      <c r="AB262" s="10">
        <v>0.32</v>
      </c>
      <c r="AC262" s="10">
        <v>0.32</v>
      </c>
      <c r="AD262" s="10">
        <v>0.32</v>
      </c>
      <c r="AE262" s="10">
        <v>0.32</v>
      </c>
      <c r="AF262" s="10">
        <v>0.32</v>
      </c>
      <c r="AG262" s="10">
        <v>0.32</v>
      </c>
      <c r="AH262" s="10">
        <v>0.32</v>
      </c>
      <c r="AI262" s="10">
        <v>0.32</v>
      </c>
      <c r="AJ262" s="10">
        <v>0.32</v>
      </c>
      <c r="AK262" s="257">
        <v>0.32</v>
      </c>
      <c r="AL262" s="5">
        <v>0</v>
      </c>
      <c r="AM262" s="118">
        <f t="shared" si="37"/>
        <v>0</v>
      </c>
      <c r="AN262" s="5">
        <v>0</v>
      </c>
      <c r="AO262" s="118">
        <f t="shared" si="57"/>
        <v>0</v>
      </c>
      <c r="AP262" s="5">
        <v>0</v>
      </c>
      <c r="AQ262" s="127">
        <f t="shared" si="47"/>
        <v>0</v>
      </c>
      <c r="AR262" s="5">
        <v>0</v>
      </c>
      <c r="AS262" s="118">
        <f t="shared" si="48"/>
        <v>0</v>
      </c>
      <c r="AT262" s="5">
        <v>0</v>
      </c>
      <c r="AU262" s="118">
        <f t="shared" si="49"/>
        <v>0</v>
      </c>
      <c r="AV262" s="5">
        <v>0</v>
      </c>
      <c r="AW262" s="127">
        <f t="shared" si="50"/>
        <v>0</v>
      </c>
      <c r="AX262" s="5">
        <v>0</v>
      </c>
      <c r="AY262" s="118">
        <f t="shared" si="51"/>
        <v>0</v>
      </c>
      <c r="AZ262" s="105">
        <v>0</v>
      </c>
      <c r="BA262" s="118">
        <f t="shared" si="52"/>
        <v>0</v>
      </c>
      <c r="BB262" s="5">
        <v>0</v>
      </c>
      <c r="BC262" s="127">
        <f t="shared" si="53"/>
        <v>0</v>
      </c>
      <c r="BD262" s="105">
        <v>0</v>
      </c>
      <c r="BE262" s="118">
        <f t="shared" si="54"/>
        <v>0</v>
      </c>
      <c r="BF262" s="105">
        <v>0</v>
      </c>
      <c r="BG262" s="118">
        <f t="shared" si="55"/>
        <v>0</v>
      </c>
      <c r="BH262" s="105">
        <v>0</v>
      </c>
      <c r="BI262" s="127">
        <f t="shared" si="56"/>
        <v>0</v>
      </c>
      <c r="BJ262" s="220" t="s">
        <v>771</v>
      </c>
      <c r="BL262" s="1" t="s">
        <v>539</v>
      </c>
      <c r="BM262" s="220" t="s">
        <v>763</v>
      </c>
      <c r="BN262" s="264"/>
      <c r="BO262" s="234"/>
    </row>
    <row r="263" spans="1:67">
      <c r="A263" s="219" t="s">
        <v>823</v>
      </c>
      <c r="B263" s="213" t="s">
        <v>267</v>
      </c>
      <c r="C263" s="66" t="s">
        <v>175</v>
      </c>
      <c r="D263" s="287"/>
      <c r="E263" s="103" t="s">
        <v>176</v>
      </c>
      <c r="F263" s="281"/>
      <c r="G263" s="71" t="s">
        <v>202</v>
      </c>
      <c r="H263" s="70" t="s">
        <v>276</v>
      </c>
      <c r="I263" s="70" t="s">
        <v>180</v>
      </c>
      <c r="J263" s="71" t="s">
        <v>193</v>
      </c>
      <c r="K263" s="70" t="s">
        <v>715</v>
      </c>
      <c r="L263" s="69" t="s">
        <v>387</v>
      </c>
      <c r="M263" s="83" t="s">
        <v>731</v>
      </c>
      <c r="N263" s="144">
        <v>3.08</v>
      </c>
      <c r="O263" s="144">
        <v>3.08</v>
      </c>
      <c r="P263" s="144">
        <v>3.05</v>
      </c>
      <c r="Q263" s="144">
        <v>3.05</v>
      </c>
      <c r="R263" s="144">
        <v>3.05</v>
      </c>
      <c r="S263" s="144">
        <v>3.05</v>
      </c>
      <c r="T263" s="144">
        <v>3.05</v>
      </c>
      <c r="U263" s="144">
        <v>3.05</v>
      </c>
      <c r="V263" s="144">
        <v>3.05</v>
      </c>
      <c r="W263" s="144">
        <v>3.05</v>
      </c>
      <c r="X263" s="144">
        <v>3.05</v>
      </c>
      <c r="Y263" s="259">
        <v>3.05</v>
      </c>
      <c r="Z263" s="10">
        <v>0.23</v>
      </c>
      <c r="AA263" s="10">
        <v>0.23</v>
      </c>
      <c r="AB263" s="10">
        <v>0.25</v>
      </c>
      <c r="AC263" s="10">
        <v>0.25</v>
      </c>
      <c r="AD263" s="10">
        <v>0.25</v>
      </c>
      <c r="AE263" s="10">
        <v>0.25</v>
      </c>
      <c r="AF263" s="10">
        <v>0.25</v>
      </c>
      <c r="AG263" s="10">
        <v>0.25</v>
      </c>
      <c r="AH263" s="10">
        <v>0.25</v>
      </c>
      <c r="AI263" s="10">
        <v>0.25</v>
      </c>
      <c r="AJ263" s="10">
        <v>0.25</v>
      </c>
      <c r="AK263" s="257">
        <v>0.25</v>
      </c>
      <c r="AL263" s="5">
        <v>0</v>
      </c>
      <c r="AM263" s="118">
        <f t="shared" si="37"/>
        <v>0</v>
      </c>
      <c r="AN263" s="5">
        <v>0</v>
      </c>
      <c r="AO263" s="118">
        <f t="shared" si="57"/>
        <v>0</v>
      </c>
      <c r="AP263" s="5">
        <v>0</v>
      </c>
      <c r="AQ263" s="127">
        <f t="shared" si="47"/>
        <v>0</v>
      </c>
      <c r="AR263" s="5">
        <v>0</v>
      </c>
      <c r="AS263" s="118">
        <f t="shared" si="48"/>
        <v>0</v>
      </c>
      <c r="AT263" s="5">
        <v>0</v>
      </c>
      <c r="AU263" s="118">
        <f t="shared" si="49"/>
        <v>0</v>
      </c>
      <c r="AV263" s="5">
        <v>0</v>
      </c>
      <c r="AW263" s="127">
        <f t="shared" si="50"/>
        <v>0</v>
      </c>
      <c r="AX263" s="5">
        <v>0</v>
      </c>
      <c r="AY263" s="118">
        <f t="shared" si="51"/>
        <v>0</v>
      </c>
      <c r="AZ263" s="105">
        <v>0</v>
      </c>
      <c r="BA263" s="118">
        <f t="shared" si="52"/>
        <v>0</v>
      </c>
      <c r="BB263" s="5">
        <v>0</v>
      </c>
      <c r="BC263" s="127">
        <f t="shared" si="53"/>
        <v>0</v>
      </c>
      <c r="BD263" s="105">
        <v>0</v>
      </c>
      <c r="BE263" s="118">
        <f t="shared" si="54"/>
        <v>0</v>
      </c>
      <c r="BF263" s="105">
        <v>0</v>
      </c>
      <c r="BG263" s="118">
        <f t="shared" si="55"/>
        <v>0</v>
      </c>
      <c r="BH263" s="105">
        <v>0</v>
      </c>
      <c r="BI263" s="127">
        <f t="shared" si="56"/>
        <v>0</v>
      </c>
      <c r="BJ263" s="220" t="s">
        <v>772</v>
      </c>
      <c r="BL263" s="1" t="s">
        <v>539</v>
      </c>
      <c r="BM263" s="220" t="s">
        <v>765</v>
      </c>
      <c r="BN263" s="264"/>
      <c r="BO263" s="234"/>
    </row>
    <row r="264" spans="1:67">
      <c r="A264" s="219" t="s">
        <v>823</v>
      </c>
      <c r="B264" s="213" t="s">
        <v>267</v>
      </c>
      <c r="C264" s="66" t="s">
        <v>175</v>
      </c>
      <c r="D264" s="287"/>
      <c r="E264" s="103" t="s">
        <v>176</v>
      </c>
      <c r="F264" s="281"/>
      <c r="G264" s="71" t="s">
        <v>202</v>
      </c>
      <c r="H264" s="70" t="s">
        <v>276</v>
      </c>
      <c r="I264" s="70" t="s">
        <v>180</v>
      </c>
      <c r="J264" s="71" t="s">
        <v>193</v>
      </c>
      <c r="K264" s="70" t="s">
        <v>715</v>
      </c>
      <c r="L264" s="69" t="s">
        <v>387</v>
      </c>
      <c r="M264" s="83" t="s">
        <v>731</v>
      </c>
      <c r="N264" s="144">
        <v>3.08</v>
      </c>
      <c r="O264" s="144">
        <v>3.08</v>
      </c>
      <c r="P264" s="144">
        <v>3.05</v>
      </c>
      <c r="Q264" s="144">
        <v>3.05</v>
      </c>
      <c r="R264" s="144">
        <v>3.05</v>
      </c>
      <c r="S264" s="144">
        <v>3.05</v>
      </c>
      <c r="T264" s="144">
        <v>3.05</v>
      </c>
      <c r="U264" s="144">
        <v>3.05</v>
      </c>
      <c r="V264" s="144">
        <v>3.05</v>
      </c>
      <c r="W264" s="144">
        <v>3.05</v>
      </c>
      <c r="X264" s="144">
        <v>3.05</v>
      </c>
      <c r="Y264" s="259">
        <v>3.05</v>
      </c>
      <c r="Z264" s="10">
        <v>0.23</v>
      </c>
      <c r="AA264" s="10">
        <v>0.23</v>
      </c>
      <c r="AB264" s="10">
        <v>0.25</v>
      </c>
      <c r="AC264" s="10">
        <v>0.25</v>
      </c>
      <c r="AD264" s="10">
        <v>0.25</v>
      </c>
      <c r="AE264" s="10">
        <v>0.25</v>
      </c>
      <c r="AF264" s="10">
        <v>0.25</v>
      </c>
      <c r="AG264" s="10">
        <v>0.25</v>
      </c>
      <c r="AH264" s="10">
        <v>0.25</v>
      </c>
      <c r="AI264" s="10">
        <v>0.25</v>
      </c>
      <c r="AJ264" s="10">
        <v>0.25</v>
      </c>
      <c r="AK264" s="257">
        <v>0.25</v>
      </c>
      <c r="AL264" s="5">
        <v>0</v>
      </c>
      <c r="AM264" s="118">
        <f t="shared" si="37"/>
        <v>0</v>
      </c>
      <c r="AN264" s="5">
        <v>0</v>
      </c>
      <c r="AO264" s="118">
        <f t="shared" si="57"/>
        <v>0</v>
      </c>
      <c r="AP264" s="5">
        <v>0</v>
      </c>
      <c r="AQ264" s="127">
        <f t="shared" si="47"/>
        <v>0</v>
      </c>
      <c r="AR264" s="5">
        <v>0</v>
      </c>
      <c r="AS264" s="118">
        <f t="shared" si="48"/>
        <v>0</v>
      </c>
      <c r="AT264" s="5">
        <v>0</v>
      </c>
      <c r="AU264" s="118">
        <f t="shared" si="49"/>
        <v>0</v>
      </c>
      <c r="AV264" s="5">
        <v>0</v>
      </c>
      <c r="AW264" s="127">
        <f t="shared" si="50"/>
        <v>0</v>
      </c>
      <c r="AX264" s="5">
        <v>0</v>
      </c>
      <c r="AY264" s="118">
        <f t="shared" si="51"/>
        <v>0</v>
      </c>
      <c r="AZ264" s="105">
        <v>0</v>
      </c>
      <c r="BA264" s="118">
        <f t="shared" si="52"/>
        <v>0</v>
      </c>
      <c r="BB264" s="5">
        <v>0</v>
      </c>
      <c r="BC264" s="127">
        <f t="shared" si="53"/>
        <v>0</v>
      </c>
      <c r="BD264" s="105">
        <v>0</v>
      </c>
      <c r="BE264" s="118">
        <f t="shared" si="54"/>
        <v>0</v>
      </c>
      <c r="BF264" s="105">
        <v>0</v>
      </c>
      <c r="BG264" s="118">
        <f t="shared" si="55"/>
        <v>0</v>
      </c>
      <c r="BH264" s="105">
        <v>0</v>
      </c>
      <c r="BI264" s="127">
        <f t="shared" si="56"/>
        <v>0</v>
      </c>
      <c r="BJ264" s="220" t="s">
        <v>772</v>
      </c>
      <c r="BL264" s="1" t="s">
        <v>539</v>
      </c>
      <c r="BM264" s="220" t="s">
        <v>766</v>
      </c>
      <c r="BN264" s="264"/>
      <c r="BO264" s="234"/>
    </row>
    <row r="265" spans="1:67">
      <c r="A265" s="219" t="s">
        <v>823</v>
      </c>
      <c r="B265" s="213" t="s">
        <v>267</v>
      </c>
      <c r="C265" s="66" t="s">
        <v>175</v>
      </c>
      <c r="D265" s="287"/>
      <c r="E265" s="103" t="s">
        <v>176</v>
      </c>
      <c r="F265" s="281"/>
      <c r="G265" s="71" t="s">
        <v>202</v>
      </c>
      <c r="H265" s="70" t="s">
        <v>276</v>
      </c>
      <c r="I265" s="70" t="s">
        <v>180</v>
      </c>
      <c r="J265" s="71" t="s">
        <v>193</v>
      </c>
      <c r="K265" s="70" t="s">
        <v>715</v>
      </c>
      <c r="L265" s="69" t="s">
        <v>387</v>
      </c>
      <c r="M265" s="83" t="s">
        <v>731</v>
      </c>
      <c r="N265" s="144">
        <v>3.08</v>
      </c>
      <c r="O265" s="144">
        <v>3.08</v>
      </c>
      <c r="P265" s="144">
        <v>3.05</v>
      </c>
      <c r="Q265" s="144">
        <v>3.05</v>
      </c>
      <c r="R265" s="144">
        <v>3.05</v>
      </c>
      <c r="S265" s="144">
        <v>3.05</v>
      </c>
      <c r="T265" s="144">
        <v>3.05</v>
      </c>
      <c r="U265" s="144">
        <v>3.05</v>
      </c>
      <c r="V265" s="144">
        <v>3.05</v>
      </c>
      <c r="W265" s="144">
        <v>3.05</v>
      </c>
      <c r="X265" s="144">
        <v>3.05</v>
      </c>
      <c r="Y265" s="259">
        <v>3.05</v>
      </c>
      <c r="Z265" s="10">
        <v>0.23</v>
      </c>
      <c r="AA265" s="10">
        <v>0.23</v>
      </c>
      <c r="AB265" s="10">
        <v>0.25</v>
      </c>
      <c r="AC265" s="10">
        <v>0.25</v>
      </c>
      <c r="AD265" s="10">
        <v>0.25</v>
      </c>
      <c r="AE265" s="10">
        <v>0.25</v>
      </c>
      <c r="AF265" s="10">
        <v>0.25</v>
      </c>
      <c r="AG265" s="10">
        <v>0.25</v>
      </c>
      <c r="AH265" s="10">
        <v>0.25</v>
      </c>
      <c r="AI265" s="10">
        <v>0.25</v>
      </c>
      <c r="AJ265" s="10">
        <v>0.25</v>
      </c>
      <c r="AK265" s="257">
        <v>0.25</v>
      </c>
      <c r="AL265" s="5">
        <v>0</v>
      </c>
      <c r="AM265" s="118">
        <f t="shared" si="37"/>
        <v>0</v>
      </c>
      <c r="AN265" s="5">
        <v>0</v>
      </c>
      <c r="AO265" s="118">
        <f t="shared" si="57"/>
        <v>0</v>
      </c>
      <c r="AP265" s="5">
        <v>0</v>
      </c>
      <c r="AQ265" s="127">
        <f t="shared" si="47"/>
        <v>0</v>
      </c>
      <c r="AR265" s="5">
        <v>0</v>
      </c>
      <c r="AS265" s="118">
        <f t="shared" si="48"/>
        <v>0</v>
      </c>
      <c r="AT265" s="5">
        <v>0</v>
      </c>
      <c r="AU265" s="118">
        <f t="shared" si="49"/>
        <v>0</v>
      </c>
      <c r="AV265" s="5">
        <v>0</v>
      </c>
      <c r="AW265" s="127">
        <f t="shared" si="50"/>
        <v>0</v>
      </c>
      <c r="AX265" s="5">
        <v>0</v>
      </c>
      <c r="AY265" s="118">
        <f t="shared" si="51"/>
        <v>0</v>
      </c>
      <c r="AZ265" s="105">
        <v>0</v>
      </c>
      <c r="BA265" s="118">
        <f t="shared" si="52"/>
        <v>0</v>
      </c>
      <c r="BB265" s="5">
        <v>0</v>
      </c>
      <c r="BC265" s="127">
        <f t="shared" si="53"/>
        <v>0</v>
      </c>
      <c r="BD265" s="105">
        <v>0</v>
      </c>
      <c r="BE265" s="118">
        <f t="shared" si="54"/>
        <v>0</v>
      </c>
      <c r="BF265" s="105">
        <v>0</v>
      </c>
      <c r="BG265" s="118">
        <f t="shared" si="55"/>
        <v>0</v>
      </c>
      <c r="BH265" s="105">
        <v>0</v>
      </c>
      <c r="BI265" s="127">
        <f t="shared" si="56"/>
        <v>0</v>
      </c>
      <c r="BJ265" s="220" t="s">
        <v>772</v>
      </c>
      <c r="BL265" s="1" t="s">
        <v>539</v>
      </c>
      <c r="BM265" s="220" t="s">
        <v>767</v>
      </c>
      <c r="BN265" s="264"/>
      <c r="BO265" s="234"/>
    </row>
    <row r="266" spans="1:67">
      <c r="A266" s="219" t="s">
        <v>823</v>
      </c>
      <c r="B266" s="213" t="s">
        <v>267</v>
      </c>
      <c r="C266" s="66" t="s">
        <v>175</v>
      </c>
      <c r="D266" s="287"/>
      <c r="E266" s="103" t="s">
        <v>176</v>
      </c>
      <c r="F266" s="281"/>
      <c r="G266" s="71" t="s">
        <v>202</v>
      </c>
      <c r="H266" s="70" t="s">
        <v>276</v>
      </c>
      <c r="I266" s="70" t="s">
        <v>180</v>
      </c>
      <c r="J266" s="71" t="s">
        <v>193</v>
      </c>
      <c r="K266" s="70" t="s">
        <v>715</v>
      </c>
      <c r="L266" s="69" t="s">
        <v>387</v>
      </c>
      <c r="M266" s="83" t="s">
        <v>731</v>
      </c>
      <c r="N266" s="144">
        <v>3.08</v>
      </c>
      <c r="O266" s="144">
        <v>3.08</v>
      </c>
      <c r="P266" s="144">
        <v>3.05</v>
      </c>
      <c r="Q266" s="144">
        <v>3.05</v>
      </c>
      <c r="R266" s="144">
        <v>3.05</v>
      </c>
      <c r="S266" s="144">
        <v>3.05</v>
      </c>
      <c r="T266" s="144">
        <v>3.05</v>
      </c>
      <c r="U266" s="144">
        <v>3.05</v>
      </c>
      <c r="V266" s="144">
        <v>3.05</v>
      </c>
      <c r="W266" s="144">
        <v>3.05</v>
      </c>
      <c r="X266" s="144">
        <v>3.05</v>
      </c>
      <c r="Y266" s="259">
        <v>3.05</v>
      </c>
      <c r="Z266" s="10">
        <v>0.23</v>
      </c>
      <c r="AA266" s="10">
        <v>0.23</v>
      </c>
      <c r="AB266" s="10">
        <v>0.25</v>
      </c>
      <c r="AC266" s="10">
        <v>0.25</v>
      </c>
      <c r="AD266" s="10">
        <v>0.25</v>
      </c>
      <c r="AE266" s="10">
        <v>0.25</v>
      </c>
      <c r="AF266" s="10">
        <v>0.25</v>
      </c>
      <c r="AG266" s="10">
        <v>0.25</v>
      </c>
      <c r="AH266" s="10">
        <v>0.25</v>
      </c>
      <c r="AI266" s="10">
        <v>0.25</v>
      </c>
      <c r="AJ266" s="10">
        <v>0.25</v>
      </c>
      <c r="AK266" s="257">
        <v>0.25</v>
      </c>
      <c r="AL266" s="5">
        <v>0</v>
      </c>
      <c r="AM266" s="118">
        <f t="shared" si="37"/>
        <v>0</v>
      </c>
      <c r="AN266" s="5">
        <v>0</v>
      </c>
      <c r="AO266" s="118">
        <f t="shared" si="57"/>
        <v>0</v>
      </c>
      <c r="AP266" s="5">
        <v>0</v>
      </c>
      <c r="AQ266" s="127">
        <f t="shared" si="47"/>
        <v>0</v>
      </c>
      <c r="AR266" s="5">
        <v>0</v>
      </c>
      <c r="AS266" s="118">
        <f t="shared" si="48"/>
        <v>0</v>
      </c>
      <c r="AT266" s="5">
        <v>0</v>
      </c>
      <c r="AU266" s="118">
        <f t="shared" si="49"/>
        <v>0</v>
      </c>
      <c r="AV266" s="5">
        <v>0</v>
      </c>
      <c r="AW266" s="127">
        <f t="shared" si="50"/>
        <v>0</v>
      </c>
      <c r="AX266" s="5">
        <v>0</v>
      </c>
      <c r="AY266" s="118">
        <f t="shared" si="51"/>
        <v>0</v>
      </c>
      <c r="AZ266" s="105">
        <v>0</v>
      </c>
      <c r="BA266" s="118">
        <f t="shared" si="52"/>
        <v>0</v>
      </c>
      <c r="BB266" s="5">
        <v>0</v>
      </c>
      <c r="BC266" s="127">
        <f t="shared" si="53"/>
        <v>0</v>
      </c>
      <c r="BD266" s="105">
        <v>0</v>
      </c>
      <c r="BE266" s="118">
        <f t="shared" si="54"/>
        <v>0</v>
      </c>
      <c r="BF266" s="105">
        <v>0</v>
      </c>
      <c r="BG266" s="118">
        <f t="shared" si="55"/>
        <v>0</v>
      </c>
      <c r="BH266" s="105">
        <v>0</v>
      </c>
      <c r="BI266" s="127">
        <f t="shared" si="56"/>
        <v>0</v>
      </c>
      <c r="BJ266" s="220" t="s">
        <v>772</v>
      </c>
      <c r="BL266" s="1" t="s">
        <v>539</v>
      </c>
      <c r="BM266" s="220" t="s">
        <v>768</v>
      </c>
      <c r="BN266" s="264"/>
      <c r="BO266" s="234"/>
    </row>
    <row r="267" spans="1:67">
      <c r="A267" s="219" t="s">
        <v>823</v>
      </c>
      <c r="B267" s="213" t="s">
        <v>267</v>
      </c>
      <c r="C267" s="66" t="s">
        <v>175</v>
      </c>
      <c r="D267" s="287"/>
      <c r="E267" s="103" t="s">
        <v>176</v>
      </c>
      <c r="F267" s="281"/>
      <c r="G267" s="71" t="s">
        <v>202</v>
      </c>
      <c r="H267" s="70" t="s">
        <v>276</v>
      </c>
      <c r="I267" s="70" t="s">
        <v>180</v>
      </c>
      <c r="J267" s="71" t="s">
        <v>193</v>
      </c>
      <c r="K267" s="70" t="s">
        <v>715</v>
      </c>
      <c r="L267" s="69" t="s">
        <v>387</v>
      </c>
      <c r="M267" s="83" t="s">
        <v>731</v>
      </c>
      <c r="N267" s="144">
        <v>3.08</v>
      </c>
      <c r="O267" s="144">
        <v>3.08</v>
      </c>
      <c r="P267" s="144">
        <v>3.05</v>
      </c>
      <c r="Q267" s="144">
        <v>3.05</v>
      </c>
      <c r="R267" s="144">
        <v>3.05</v>
      </c>
      <c r="S267" s="144">
        <v>3.05</v>
      </c>
      <c r="T267" s="144">
        <v>3.05</v>
      </c>
      <c r="U267" s="144">
        <v>3.05</v>
      </c>
      <c r="V267" s="144">
        <v>3.05</v>
      </c>
      <c r="W267" s="144">
        <v>3.05</v>
      </c>
      <c r="X267" s="144">
        <v>3.05</v>
      </c>
      <c r="Y267" s="259">
        <v>3.05</v>
      </c>
      <c r="Z267" s="10">
        <v>0.23</v>
      </c>
      <c r="AA267" s="10">
        <v>0.23</v>
      </c>
      <c r="AB267" s="10">
        <v>0.25</v>
      </c>
      <c r="AC267" s="10">
        <v>0.25</v>
      </c>
      <c r="AD267" s="10">
        <v>0.25</v>
      </c>
      <c r="AE267" s="10">
        <v>0.25</v>
      </c>
      <c r="AF267" s="10">
        <v>0.25</v>
      </c>
      <c r="AG267" s="10">
        <v>0.25</v>
      </c>
      <c r="AH267" s="10">
        <v>0.25</v>
      </c>
      <c r="AI267" s="10">
        <v>0.25</v>
      </c>
      <c r="AJ267" s="10">
        <v>0.25</v>
      </c>
      <c r="AK267" s="257">
        <v>0.25</v>
      </c>
      <c r="AL267" s="5">
        <v>0</v>
      </c>
      <c r="AM267" s="118">
        <f t="shared" si="37"/>
        <v>0</v>
      </c>
      <c r="AN267" s="5">
        <v>0</v>
      </c>
      <c r="AO267" s="118">
        <f t="shared" si="57"/>
        <v>0</v>
      </c>
      <c r="AP267" s="5">
        <v>0</v>
      </c>
      <c r="AQ267" s="127">
        <f t="shared" si="47"/>
        <v>0</v>
      </c>
      <c r="AR267" s="5">
        <v>0</v>
      </c>
      <c r="AS267" s="118">
        <f t="shared" si="48"/>
        <v>0</v>
      </c>
      <c r="AT267" s="5">
        <v>0</v>
      </c>
      <c r="AU267" s="118">
        <f t="shared" si="49"/>
        <v>0</v>
      </c>
      <c r="AV267" s="5">
        <v>0</v>
      </c>
      <c r="AW267" s="127">
        <f t="shared" si="50"/>
        <v>0</v>
      </c>
      <c r="AX267" s="5">
        <v>0</v>
      </c>
      <c r="AY267" s="118">
        <f t="shared" si="51"/>
        <v>0</v>
      </c>
      <c r="AZ267" s="105">
        <v>0</v>
      </c>
      <c r="BA267" s="118">
        <f t="shared" si="52"/>
        <v>0</v>
      </c>
      <c r="BB267" s="5">
        <v>0</v>
      </c>
      <c r="BC267" s="127">
        <f t="shared" si="53"/>
        <v>0</v>
      </c>
      <c r="BD267" s="105">
        <v>0</v>
      </c>
      <c r="BE267" s="118">
        <f t="shared" si="54"/>
        <v>0</v>
      </c>
      <c r="BF267" s="105">
        <v>0</v>
      </c>
      <c r="BG267" s="118">
        <f t="shared" si="55"/>
        <v>0</v>
      </c>
      <c r="BH267" s="105">
        <v>0</v>
      </c>
      <c r="BI267" s="127">
        <f t="shared" si="56"/>
        <v>0</v>
      </c>
      <c r="BJ267" s="220" t="s">
        <v>772</v>
      </c>
      <c r="BL267" s="1" t="s">
        <v>539</v>
      </c>
      <c r="BM267" s="220" t="s">
        <v>769</v>
      </c>
      <c r="BN267" s="264"/>
      <c r="BO267" s="234"/>
    </row>
    <row r="268" spans="1:67">
      <c r="A268" s="219" t="s">
        <v>823</v>
      </c>
      <c r="B268" s="213" t="s">
        <v>267</v>
      </c>
      <c r="C268" s="66" t="s">
        <v>175</v>
      </c>
      <c r="D268" s="287"/>
      <c r="E268" s="103" t="s">
        <v>176</v>
      </c>
      <c r="F268" s="281"/>
      <c r="G268" s="71" t="s">
        <v>202</v>
      </c>
      <c r="H268" s="70" t="s">
        <v>276</v>
      </c>
      <c r="I268" s="70" t="s">
        <v>180</v>
      </c>
      <c r="J268" s="71" t="s">
        <v>193</v>
      </c>
      <c r="K268" s="70" t="s">
        <v>715</v>
      </c>
      <c r="L268" s="69" t="s">
        <v>387</v>
      </c>
      <c r="M268" s="83" t="s">
        <v>731</v>
      </c>
      <c r="N268" s="144">
        <v>3.08</v>
      </c>
      <c r="O268" s="144">
        <v>3.08</v>
      </c>
      <c r="P268" s="144">
        <v>3.05</v>
      </c>
      <c r="Q268" s="144">
        <v>3.05</v>
      </c>
      <c r="R268" s="144">
        <v>3.05</v>
      </c>
      <c r="S268" s="144">
        <v>3.05</v>
      </c>
      <c r="T268" s="144">
        <v>3.05</v>
      </c>
      <c r="U268" s="144">
        <v>3.05</v>
      </c>
      <c r="V268" s="144">
        <v>3.05</v>
      </c>
      <c r="W268" s="144">
        <v>3.05</v>
      </c>
      <c r="X268" s="144">
        <v>3.05</v>
      </c>
      <c r="Y268" s="259">
        <v>3.05</v>
      </c>
      <c r="Z268" s="10">
        <v>0.23</v>
      </c>
      <c r="AA268" s="10">
        <v>0.23</v>
      </c>
      <c r="AB268" s="10">
        <v>0.25</v>
      </c>
      <c r="AC268" s="10">
        <v>0.25</v>
      </c>
      <c r="AD268" s="10">
        <v>0.25</v>
      </c>
      <c r="AE268" s="10">
        <v>0.25</v>
      </c>
      <c r="AF268" s="10">
        <v>0.25</v>
      </c>
      <c r="AG268" s="10">
        <v>0.25</v>
      </c>
      <c r="AH268" s="10">
        <v>0.25</v>
      </c>
      <c r="AI268" s="10">
        <v>0.25</v>
      </c>
      <c r="AJ268" s="10">
        <v>0.25</v>
      </c>
      <c r="AK268" s="257">
        <v>0.25</v>
      </c>
      <c r="AL268" s="5">
        <v>0</v>
      </c>
      <c r="AM268" s="118">
        <f t="shared" si="37"/>
        <v>0</v>
      </c>
      <c r="AN268" s="5">
        <v>0</v>
      </c>
      <c r="AO268" s="118">
        <f t="shared" si="57"/>
        <v>0</v>
      </c>
      <c r="AP268" s="5">
        <v>0</v>
      </c>
      <c r="AQ268" s="127">
        <f t="shared" si="47"/>
        <v>0</v>
      </c>
      <c r="AR268" s="5">
        <v>0</v>
      </c>
      <c r="AS268" s="118">
        <f t="shared" si="48"/>
        <v>0</v>
      </c>
      <c r="AT268" s="5">
        <v>0</v>
      </c>
      <c r="AU268" s="118">
        <f t="shared" si="49"/>
        <v>0</v>
      </c>
      <c r="AV268" s="5">
        <v>0</v>
      </c>
      <c r="AW268" s="127">
        <f t="shared" si="50"/>
        <v>0</v>
      </c>
      <c r="AX268" s="5">
        <v>0</v>
      </c>
      <c r="AY268" s="118">
        <f t="shared" si="51"/>
        <v>0</v>
      </c>
      <c r="AZ268" s="105">
        <v>0</v>
      </c>
      <c r="BA268" s="118">
        <f t="shared" si="52"/>
        <v>0</v>
      </c>
      <c r="BB268" s="5">
        <v>0</v>
      </c>
      <c r="BC268" s="127">
        <f t="shared" si="53"/>
        <v>0</v>
      </c>
      <c r="BD268" s="105">
        <v>0</v>
      </c>
      <c r="BE268" s="118">
        <f t="shared" si="54"/>
        <v>0</v>
      </c>
      <c r="BF268" s="105">
        <v>0</v>
      </c>
      <c r="BG268" s="118">
        <f t="shared" si="55"/>
        <v>0</v>
      </c>
      <c r="BH268" s="105">
        <v>0</v>
      </c>
      <c r="BI268" s="127">
        <f t="shared" si="56"/>
        <v>0</v>
      </c>
      <c r="BJ268" s="220" t="s">
        <v>772</v>
      </c>
      <c r="BL268" s="1" t="s">
        <v>539</v>
      </c>
      <c r="BM268" s="220" t="s">
        <v>770</v>
      </c>
      <c r="BN268" s="264"/>
      <c r="BO268" s="234"/>
    </row>
    <row r="269" spans="1:67">
      <c r="A269" s="219" t="s">
        <v>823</v>
      </c>
      <c r="B269" s="213" t="s">
        <v>267</v>
      </c>
      <c r="C269" s="66" t="s">
        <v>175</v>
      </c>
      <c r="D269" s="287"/>
      <c r="E269" s="103" t="s">
        <v>176</v>
      </c>
      <c r="F269" s="280"/>
      <c r="G269" s="72"/>
      <c r="H269" s="54"/>
      <c r="I269" s="54"/>
      <c r="J269" s="55"/>
      <c r="K269" s="54"/>
      <c r="L269" s="53"/>
      <c r="M269" s="52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258"/>
      <c r="Z269" s="48"/>
      <c r="AA269" s="48"/>
      <c r="AB269" s="48"/>
      <c r="AC269" s="48"/>
      <c r="AD269" s="48"/>
      <c r="AE269" s="48"/>
      <c r="AF269" s="48"/>
      <c r="AG269" s="48"/>
      <c r="AH269" s="48"/>
      <c r="AI269" s="48"/>
      <c r="AJ269" s="48"/>
      <c r="AK269" s="262"/>
      <c r="AL269" s="23">
        <v>0</v>
      </c>
      <c r="AM269" s="184">
        <f t="shared" si="37"/>
        <v>0</v>
      </c>
      <c r="AN269" s="23"/>
      <c r="AO269" s="184">
        <f t="shared" si="57"/>
        <v>0</v>
      </c>
      <c r="AP269" s="23"/>
      <c r="AQ269" s="185">
        <f t="shared" si="47"/>
        <v>0</v>
      </c>
      <c r="AR269" s="23"/>
      <c r="AS269" s="184">
        <f t="shared" si="48"/>
        <v>0</v>
      </c>
      <c r="AT269" s="23"/>
      <c r="AU269" s="184">
        <v>0</v>
      </c>
      <c r="AV269" s="23">
        <v>0</v>
      </c>
      <c r="AW269" s="185">
        <f t="shared" si="50"/>
        <v>0</v>
      </c>
      <c r="AX269" s="50">
        <v>0</v>
      </c>
      <c r="AY269" s="184">
        <f t="shared" si="51"/>
        <v>0</v>
      </c>
      <c r="AZ269" s="50">
        <v>0</v>
      </c>
      <c r="BA269" s="184">
        <f t="shared" si="52"/>
        <v>0</v>
      </c>
      <c r="BB269" s="23">
        <v>0</v>
      </c>
      <c r="BC269" s="185">
        <f t="shared" si="53"/>
        <v>0</v>
      </c>
      <c r="BD269" s="50">
        <v>0</v>
      </c>
      <c r="BE269" s="184">
        <f t="shared" si="54"/>
        <v>0</v>
      </c>
      <c r="BF269" s="23">
        <v>0</v>
      </c>
      <c r="BG269" s="184">
        <f t="shared" si="55"/>
        <v>0</v>
      </c>
      <c r="BH269" s="23">
        <v>0</v>
      </c>
      <c r="BI269" s="185">
        <f t="shared" si="56"/>
        <v>0</v>
      </c>
      <c r="BM269" s="220" t="s">
        <v>208</v>
      </c>
      <c r="BN269" s="233"/>
      <c r="BO269" s="234"/>
    </row>
    <row r="270" spans="1:67">
      <c r="A270" s="219" t="s">
        <v>823</v>
      </c>
      <c r="B270" s="214" t="s">
        <v>267</v>
      </c>
      <c r="C270" s="66" t="s">
        <v>175</v>
      </c>
      <c r="D270" s="287"/>
      <c r="E270" s="103" t="s">
        <v>176</v>
      </c>
      <c r="F270" s="282" t="s">
        <v>773</v>
      </c>
      <c r="G270" s="71" t="s">
        <v>200</v>
      </c>
      <c r="H270" s="70" t="s">
        <v>774</v>
      </c>
      <c r="I270" s="70" t="s">
        <v>184</v>
      </c>
      <c r="J270" s="71" t="s">
        <v>283</v>
      </c>
      <c r="K270" s="70" t="s">
        <v>775</v>
      </c>
      <c r="L270" s="69" t="s">
        <v>185</v>
      </c>
      <c r="M270" s="68" t="s">
        <v>465</v>
      </c>
      <c r="N270" s="144">
        <v>8.1999999999999993</v>
      </c>
      <c r="O270" s="144">
        <v>8.1999999999999993</v>
      </c>
      <c r="P270" s="144">
        <v>7.8</v>
      </c>
      <c r="Q270" s="144">
        <v>7.8</v>
      </c>
      <c r="R270" s="144">
        <v>7.8</v>
      </c>
      <c r="S270" s="144">
        <v>7.8</v>
      </c>
      <c r="T270" s="144">
        <v>7.8</v>
      </c>
      <c r="U270" s="144">
        <v>7.8</v>
      </c>
      <c r="V270" s="144">
        <v>7.8</v>
      </c>
      <c r="W270" s="144">
        <v>7.8</v>
      </c>
      <c r="X270" s="144">
        <v>7.8</v>
      </c>
      <c r="Y270" s="259">
        <v>7.8</v>
      </c>
      <c r="Z270" s="10">
        <v>0.7</v>
      </c>
      <c r="AA270" s="10">
        <v>0.7</v>
      </c>
      <c r="AB270" s="10">
        <v>0.4</v>
      </c>
      <c r="AC270" s="10">
        <v>0.4</v>
      </c>
      <c r="AD270" s="10">
        <v>0.4</v>
      </c>
      <c r="AE270" s="10">
        <v>0.4</v>
      </c>
      <c r="AF270" s="10">
        <v>0.4</v>
      </c>
      <c r="AG270" s="10">
        <v>0.4</v>
      </c>
      <c r="AH270" s="10">
        <v>0.4</v>
      </c>
      <c r="AI270" s="10">
        <v>0.4</v>
      </c>
      <c r="AJ270" s="10">
        <v>0.4</v>
      </c>
      <c r="AK270" s="257">
        <v>0.4</v>
      </c>
      <c r="AL270" s="5">
        <v>0</v>
      </c>
      <c r="AM270" s="118">
        <f t="shared" si="37"/>
        <v>0</v>
      </c>
      <c r="AN270" s="5">
        <v>0</v>
      </c>
      <c r="AO270" s="118">
        <f t="shared" si="57"/>
        <v>0</v>
      </c>
      <c r="AP270" s="5">
        <v>0</v>
      </c>
      <c r="AQ270" s="127">
        <f t="shared" si="47"/>
        <v>0</v>
      </c>
      <c r="AR270" s="5">
        <v>0</v>
      </c>
      <c r="AS270" s="118">
        <f t="shared" si="48"/>
        <v>0</v>
      </c>
      <c r="AT270" s="5">
        <v>0</v>
      </c>
      <c r="AU270" s="118">
        <f t="shared" ref="AU270:AU287" si="58">AD270*AT270</f>
        <v>0</v>
      </c>
      <c r="AV270" s="5">
        <v>0</v>
      </c>
      <c r="AW270" s="127">
        <f t="shared" si="50"/>
        <v>0</v>
      </c>
      <c r="AX270" s="5">
        <v>0</v>
      </c>
      <c r="AY270" s="118">
        <f t="shared" si="51"/>
        <v>0</v>
      </c>
      <c r="AZ270" s="5">
        <v>0</v>
      </c>
      <c r="BA270" s="118">
        <f t="shared" si="52"/>
        <v>0</v>
      </c>
      <c r="BB270" s="5">
        <v>0</v>
      </c>
      <c r="BC270" s="127">
        <f t="shared" si="53"/>
        <v>0</v>
      </c>
      <c r="BD270" s="5">
        <v>0</v>
      </c>
      <c r="BE270" s="118">
        <f t="shared" si="54"/>
        <v>0</v>
      </c>
      <c r="BF270" s="5">
        <v>0</v>
      </c>
      <c r="BG270" s="118">
        <f t="shared" si="55"/>
        <v>0</v>
      </c>
      <c r="BH270" s="5">
        <v>0</v>
      </c>
      <c r="BI270" s="127">
        <f t="shared" si="56"/>
        <v>0</v>
      </c>
      <c r="BJ270" s="220" t="s">
        <v>776</v>
      </c>
      <c r="BL270" s="1" t="s">
        <v>539</v>
      </c>
      <c r="BM270" s="1" t="s">
        <v>777</v>
      </c>
      <c r="BN270" s="264"/>
      <c r="BO270" s="234"/>
    </row>
    <row r="271" spans="1:67">
      <c r="A271" s="219" t="s">
        <v>823</v>
      </c>
      <c r="B271" s="214" t="s">
        <v>267</v>
      </c>
      <c r="C271" s="66" t="s">
        <v>175</v>
      </c>
      <c r="D271" s="287"/>
      <c r="E271" s="103" t="s">
        <v>176</v>
      </c>
      <c r="F271" s="282"/>
      <c r="G271" s="71" t="s">
        <v>200</v>
      </c>
      <c r="H271" s="70" t="s">
        <v>774</v>
      </c>
      <c r="I271" s="70" t="s">
        <v>184</v>
      </c>
      <c r="J271" s="71" t="s">
        <v>283</v>
      </c>
      <c r="K271" s="70" t="s">
        <v>778</v>
      </c>
      <c r="L271" s="69" t="s">
        <v>185</v>
      </c>
      <c r="M271" s="68" t="s">
        <v>465</v>
      </c>
      <c r="N271" s="144">
        <v>8.1999999999999993</v>
      </c>
      <c r="O271" s="144">
        <v>8.1999999999999993</v>
      </c>
      <c r="P271" s="144">
        <v>7.8</v>
      </c>
      <c r="Q271" s="144">
        <v>7.8</v>
      </c>
      <c r="R271" s="144">
        <v>7.8</v>
      </c>
      <c r="S271" s="144">
        <v>7.8</v>
      </c>
      <c r="T271" s="144">
        <v>7.8</v>
      </c>
      <c r="U271" s="144">
        <v>7.8</v>
      </c>
      <c r="V271" s="144">
        <v>7.8</v>
      </c>
      <c r="W271" s="144">
        <v>7.8</v>
      </c>
      <c r="X271" s="144">
        <v>7.8</v>
      </c>
      <c r="Y271" s="259">
        <v>7.8</v>
      </c>
      <c r="Z271" s="10">
        <v>0.7</v>
      </c>
      <c r="AA271" s="10">
        <v>0.7</v>
      </c>
      <c r="AB271" s="10">
        <v>0.4</v>
      </c>
      <c r="AC271" s="10">
        <v>0.4</v>
      </c>
      <c r="AD271" s="10">
        <v>0.4</v>
      </c>
      <c r="AE271" s="10">
        <v>0.4</v>
      </c>
      <c r="AF271" s="10">
        <v>0.4</v>
      </c>
      <c r="AG271" s="10">
        <v>0.4</v>
      </c>
      <c r="AH271" s="10">
        <v>0.4</v>
      </c>
      <c r="AI271" s="10">
        <v>0.4</v>
      </c>
      <c r="AJ271" s="10">
        <v>0.4</v>
      </c>
      <c r="AK271" s="257">
        <v>0.4</v>
      </c>
      <c r="AL271" s="5">
        <v>0</v>
      </c>
      <c r="AM271" s="118">
        <f t="shared" si="37"/>
        <v>0</v>
      </c>
      <c r="AN271" s="5">
        <v>0</v>
      </c>
      <c r="AO271" s="118">
        <f t="shared" si="57"/>
        <v>0</v>
      </c>
      <c r="AP271" s="5">
        <v>0</v>
      </c>
      <c r="AQ271" s="127">
        <f t="shared" si="47"/>
        <v>0</v>
      </c>
      <c r="AR271" s="5">
        <v>0</v>
      </c>
      <c r="AS271" s="118">
        <f t="shared" si="48"/>
        <v>0</v>
      </c>
      <c r="AT271" s="5">
        <v>0</v>
      </c>
      <c r="AU271" s="118">
        <f t="shared" si="58"/>
        <v>0</v>
      </c>
      <c r="AV271" s="5">
        <v>0</v>
      </c>
      <c r="AW271" s="127">
        <f t="shared" si="50"/>
        <v>0</v>
      </c>
      <c r="AX271" s="5">
        <v>0</v>
      </c>
      <c r="AY271" s="118">
        <f t="shared" si="51"/>
        <v>0</v>
      </c>
      <c r="AZ271" s="5">
        <v>0</v>
      </c>
      <c r="BA271" s="118">
        <f t="shared" si="52"/>
        <v>0</v>
      </c>
      <c r="BB271" s="5">
        <v>0</v>
      </c>
      <c r="BC271" s="127">
        <f t="shared" si="53"/>
        <v>0</v>
      </c>
      <c r="BD271" s="5">
        <v>0</v>
      </c>
      <c r="BE271" s="118">
        <f t="shared" si="54"/>
        <v>0</v>
      </c>
      <c r="BF271" s="5">
        <v>0</v>
      </c>
      <c r="BG271" s="118">
        <f t="shared" si="55"/>
        <v>0</v>
      </c>
      <c r="BH271" s="5">
        <v>0</v>
      </c>
      <c r="BI271" s="127">
        <f t="shared" si="56"/>
        <v>0</v>
      </c>
      <c r="BJ271" s="220" t="s">
        <v>779</v>
      </c>
      <c r="BL271" s="1" t="s">
        <v>539</v>
      </c>
      <c r="BM271" s="1" t="s">
        <v>780</v>
      </c>
      <c r="BN271" s="264"/>
      <c r="BO271" s="234"/>
    </row>
    <row r="272" spans="1:67">
      <c r="A272" s="219" t="s">
        <v>823</v>
      </c>
      <c r="B272" s="214" t="s">
        <v>267</v>
      </c>
      <c r="C272" s="66" t="s">
        <v>175</v>
      </c>
      <c r="D272" s="287"/>
      <c r="E272" s="103" t="s">
        <v>176</v>
      </c>
      <c r="F272" s="282"/>
      <c r="G272" s="71" t="s">
        <v>200</v>
      </c>
      <c r="H272" s="70" t="s">
        <v>774</v>
      </c>
      <c r="I272" s="70" t="s">
        <v>184</v>
      </c>
      <c r="J272" s="71" t="s">
        <v>283</v>
      </c>
      <c r="K272" s="70" t="s">
        <v>285</v>
      </c>
      <c r="L272" s="69" t="s">
        <v>185</v>
      </c>
      <c r="M272" s="68" t="s">
        <v>465</v>
      </c>
      <c r="N272" s="144">
        <v>9.3000000000000007</v>
      </c>
      <c r="O272" s="144">
        <v>9.3000000000000007</v>
      </c>
      <c r="P272" s="144">
        <v>8.8000000000000007</v>
      </c>
      <c r="Q272" s="144">
        <v>8.8000000000000007</v>
      </c>
      <c r="R272" s="144">
        <v>8.8000000000000007</v>
      </c>
      <c r="S272" s="144">
        <v>8.8000000000000007</v>
      </c>
      <c r="T272" s="144">
        <v>8.8000000000000007</v>
      </c>
      <c r="U272" s="144">
        <v>8.8000000000000007</v>
      </c>
      <c r="V272" s="144">
        <v>8.8000000000000007</v>
      </c>
      <c r="W272" s="144">
        <v>8.8000000000000007</v>
      </c>
      <c r="X272" s="144">
        <v>8.8000000000000007</v>
      </c>
      <c r="Y272" s="259">
        <v>8.8000000000000007</v>
      </c>
      <c r="Z272" s="10">
        <v>0.5</v>
      </c>
      <c r="AA272" s="10">
        <v>0.5</v>
      </c>
      <c r="AB272" s="10">
        <v>0.1</v>
      </c>
      <c r="AC272" s="10">
        <v>0.1</v>
      </c>
      <c r="AD272" s="10">
        <v>0.1</v>
      </c>
      <c r="AE272" s="10">
        <v>0.1</v>
      </c>
      <c r="AF272" s="10">
        <v>0.1</v>
      </c>
      <c r="AG272" s="10">
        <v>0.1</v>
      </c>
      <c r="AH272" s="10">
        <v>0.1</v>
      </c>
      <c r="AI272" s="10">
        <v>0.1</v>
      </c>
      <c r="AJ272" s="10">
        <v>0.1</v>
      </c>
      <c r="AK272" s="257">
        <v>0.1</v>
      </c>
      <c r="AL272" s="5">
        <v>0</v>
      </c>
      <c r="AM272" s="118">
        <f t="shared" si="37"/>
        <v>0</v>
      </c>
      <c r="AN272" s="5">
        <v>0</v>
      </c>
      <c r="AO272" s="118">
        <f t="shared" si="57"/>
        <v>0</v>
      </c>
      <c r="AP272" s="5">
        <v>0</v>
      </c>
      <c r="AQ272" s="127">
        <f t="shared" si="47"/>
        <v>0</v>
      </c>
      <c r="AR272" s="5">
        <v>0</v>
      </c>
      <c r="AS272" s="118">
        <f t="shared" si="48"/>
        <v>0</v>
      </c>
      <c r="AT272" s="5">
        <v>0</v>
      </c>
      <c r="AU272" s="118">
        <f t="shared" si="58"/>
        <v>0</v>
      </c>
      <c r="AV272" s="5">
        <v>0</v>
      </c>
      <c r="AW272" s="127">
        <f t="shared" si="50"/>
        <v>0</v>
      </c>
      <c r="AX272" s="5">
        <v>0</v>
      </c>
      <c r="AY272" s="118">
        <f t="shared" si="51"/>
        <v>0</v>
      </c>
      <c r="AZ272" s="5">
        <v>0</v>
      </c>
      <c r="BA272" s="118">
        <f t="shared" si="52"/>
        <v>0</v>
      </c>
      <c r="BB272" s="5">
        <v>0</v>
      </c>
      <c r="BC272" s="127">
        <f t="shared" si="53"/>
        <v>0</v>
      </c>
      <c r="BD272" s="5">
        <v>0</v>
      </c>
      <c r="BE272" s="118">
        <f t="shared" si="54"/>
        <v>0</v>
      </c>
      <c r="BF272" s="5">
        <v>0</v>
      </c>
      <c r="BG272" s="118">
        <f t="shared" si="55"/>
        <v>0</v>
      </c>
      <c r="BH272" s="5">
        <v>0</v>
      </c>
      <c r="BI272" s="127">
        <f t="shared" si="56"/>
        <v>0</v>
      </c>
      <c r="BJ272" s="220" t="s">
        <v>781</v>
      </c>
      <c r="BL272" s="1" t="s">
        <v>539</v>
      </c>
      <c r="BM272" s="1" t="s">
        <v>782</v>
      </c>
      <c r="BN272" s="264"/>
      <c r="BO272" s="234"/>
    </row>
    <row r="273" spans="1:67">
      <c r="A273" s="219" t="s">
        <v>823</v>
      </c>
      <c r="B273" s="214" t="s">
        <v>267</v>
      </c>
      <c r="C273" s="66" t="s">
        <v>175</v>
      </c>
      <c r="D273" s="287"/>
      <c r="E273" s="103" t="s">
        <v>176</v>
      </c>
      <c r="F273" s="282"/>
      <c r="G273" s="71" t="s">
        <v>202</v>
      </c>
      <c r="H273" s="70" t="s">
        <v>783</v>
      </c>
      <c r="I273" s="70" t="s">
        <v>184</v>
      </c>
      <c r="J273" s="71" t="s">
        <v>193</v>
      </c>
      <c r="K273" s="70" t="s">
        <v>784</v>
      </c>
      <c r="L273" s="69" t="s">
        <v>213</v>
      </c>
      <c r="M273" s="180" t="s">
        <v>562</v>
      </c>
      <c r="N273" s="144">
        <v>10.199999999999999</v>
      </c>
      <c r="O273" s="144">
        <v>10.199999999999999</v>
      </c>
      <c r="P273" s="144">
        <v>10.199999999999999</v>
      </c>
      <c r="Q273" s="144">
        <v>10.199999999999999</v>
      </c>
      <c r="R273" s="144">
        <v>10.199999999999999</v>
      </c>
      <c r="S273" s="144">
        <v>10.199999999999999</v>
      </c>
      <c r="T273" s="144">
        <v>10.199999999999999</v>
      </c>
      <c r="U273" s="144">
        <v>10.199999999999999</v>
      </c>
      <c r="V273" s="144">
        <v>10.199999999999999</v>
      </c>
      <c r="W273" s="144">
        <v>10.199999999999999</v>
      </c>
      <c r="X273" s="144">
        <v>10.199999999999999</v>
      </c>
      <c r="Y273" s="259">
        <v>10.199999999999999</v>
      </c>
      <c r="Z273" s="10">
        <v>2.2200000000000002</v>
      </c>
      <c r="AA273" s="10">
        <v>2.2200000000000002</v>
      </c>
      <c r="AB273" s="10">
        <v>2.2200000000000002</v>
      </c>
      <c r="AC273" s="10">
        <v>2.2200000000000002</v>
      </c>
      <c r="AD273" s="10">
        <v>2.2200000000000002</v>
      </c>
      <c r="AE273" s="10">
        <v>2.2200000000000002</v>
      </c>
      <c r="AF273" s="10">
        <v>2.2200000000000002</v>
      </c>
      <c r="AG273" s="10">
        <v>2.2200000000000002</v>
      </c>
      <c r="AH273" s="10">
        <v>2.2200000000000002</v>
      </c>
      <c r="AI273" s="10">
        <v>2.2200000000000002</v>
      </c>
      <c r="AJ273" s="10">
        <v>2.2200000000000002</v>
      </c>
      <c r="AK273" s="257">
        <v>2.2200000000000002</v>
      </c>
      <c r="AL273" s="5">
        <v>0</v>
      </c>
      <c r="AM273" s="118">
        <f t="shared" si="37"/>
        <v>0</v>
      </c>
      <c r="AN273" s="5">
        <v>0</v>
      </c>
      <c r="AO273" s="118">
        <f t="shared" si="57"/>
        <v>0</v>
      </c>
      <c r="AP273" s="5">
        <v>0</v>
      </c>
      <c r="AQ273" s="127">
        <f t="shared" si="47"/>
        <v>0</v>
      </c>
      <c r="AR273" s="5">
        <v>0</v>
      </c>
      <c r="AS273" s="118">
        <f t="shared" si="48"/>
        <v>0</v>
      </c>
      <c r="AT273" s="5">
        <v>0</v>
      </c>
      <c r="AU273" s="118">
        <f t="shared" si="58"/>
        <v>0</v>
      </c>
      <c r="AV273" s="5">
        <v>0</v>
      </c>
      <c r="AW273" s="127">
        <f t="shared" si="50"/>
        <v>0</v>
      </c>
      <c r="AX273" s="5">
        <v>0</v>
      </c>
      <c r="AY273" s="118">
        <f t="shared" si="51"/>
        <v>0</v>
      </c>
      <c r="AZ273" s="5">
        <v>0</v>
      </c>
      <c r="BA273" s="118">
        <f t="shared" si="52"/>
        <v>0</v>
      </c>
      <c r="BB273" s="5">
        <v>0</v>
      </c>
      <c r="BC273" s="127">
        <f t="shared" si="53"/>
        <v>0</v>
      </c>
      <c r="BD273" s="5">
        <v>0</v>
      </c>
      <c r="BE273" s="118">
        <f t="shared" si="54"/>
        <v>0</v>
      </c>
      <c r="BF273" s="5">
        <v>0</v>
      </c>
      <c r="BG273" s="118">
        <f t="shared" si="55"/>
        <v>0</v>
      </c>
      <c r="BH273" s="5">
        <v>0</v>
      </c>
      <c r="BI273" s="127">
        <f t="shared" si="56"/>
        <v>0</v>
      </c>
      <c r="BJ273" s="220" t="s">
        <v>785</v>
      </c>
      <c r="BL273" s="1" t="s">
        <v>539</v>
      </c>
      <c r="BM273" s="1" t="s">
        <v>786</v>
      </c>
      <c r="BN273" s="233"/>
      <c r="BO273" s="234"/>
    </row>
    <row r="274" spans="1:67">
      <c r="A274" s="219" t="s">
        <v>823</v>
      </c>
      <c r="B274" s="214" t="s">
        <v>267</v>
      </c>
      <c r="C274" s="66" t="s">
        <v>175</v>
      </c>
      <c r="D274" s="287"/>
      <c r="E274" s="103" t="s">
        <v>176</v>
      </c>
      <c r="F274" s="282"/>
      <c r="G274" s="71" t="s">
        <v>202</v>
      </c>
      <c r="H274" s="70" t="s">
        <v>783</v>
      </c>
      <c r="I274" s="70" t="s">
        <v>184</v>
      </c>
      <c r="J274" s="71" t="s">
        <v>193</v>
      </c>
      <c r="K274" s="70" t="s">
        <v>787</v>
      </c>
      <c r="L274" s="69" t="s">
        <v>213</v>
      </c>
      <c r="M274" s="180" t="s">
        <v>562</v>
      </c>
      <c r="N274" s="144">
        <v>10.199999999999999</v>
      </c>
      <c r="O274" s="144">
        <v>10.199999999999999</v>
      </c>
      <c r="P274" s="144">
        <v>10.199999999999999</v>
      </c>
      <c r="Q274" s="144">
        <v>10.199999999999999</v>
      </c>
      <c r="R274" s="144">
        <v>10.199999999999999</v>
      </c>
      <c r="S274" s="144">
        <v>10.199999999999999</v>
      </c>
      <c r="T274" s="144">
        <v>10.199999999999999</v>
      </c>
      <c r="U274" s="144">
        <v>10.199999999999999</v>
      </c>
      <c r="V274" s="144">
        <v>10.199999999999999</v>
      </c>
      <c r="W274" s="144">
        <v>10.199999999999999</v>
      </c>
      <c r="X274" s="144">
        <v>10.199999999999999</v>
      </c>
      <c r="Y274" s="259">
        <v>10.199999999999999</v>
      </c>
      <c r="Z274" s="10">
        <v>2.2200000000000002</v>
      </c>
      <c r="AA274" s="10">
        <v>2.2200000000000002</v>
      </c>
      <c r="AB274" s="10">
        <v>2.2200000000000002</v>
      </c>
      <c r="AC274" s="10">
        <v>2.2200000000000002</v>
      </c>
      <c r="AD274" s="10">
        <v>2.2200000000000002</v>
      </c>
      <c r="AE274" s="10">
        <v>2.2200000000000002</v>
      </c>
      <c r="AF274" s="10">
        <v>2.2200000000000002</v>
      </c>
      <c r="AG274" s="10">
        <v>2.2200000000000002</v>
      </c>
      <c r="AH274" s="10">
        <v>2.2200000000000002</v>
      </c>
      <c r="AI274" s="10">
        <v>2.2200000000000002</v>
      </c>
      <c r="AJ274" s="10">
        <v>2.2200000000000002</v>
      </c>
      <c r="AK274" s="257">
        <v>2.2200000000000002</v>
      </c>
      <c r="AL274" s="5">
        <v>0</v>
      </c>
      <c r="AM274" s="118">
        <f t="shared" si="37"/>
        <v>0</v>
      </c>
      <c r="AN274" s="5">
        <v>0</v>
      </c>
      <c r="AO274" s="118">
        <f t="shared" si="57"/>
        <v>0</v>
      </c>
      <c r="AP274" s="5">
        <v>0</v>
      </c>
      <c r="AQ274" s="127">
        <f t="shared" si="47"/>
        <v>0</v>
      </c>
      <c r="AR274" s="5">
        <v>0</v>
      </c>
      <c r="AS274" s="118">
        <f t="shared" si="48"/>
        <v>0</v>
      </c>
      <c r="AT274" s="5">
        <v>0</v>
      </c>
      <c r="AU274" s="118">
        <f t="shared" si="58"/>
        <v>0</v>
      </c>
      <c r="AV274" s="5">
        <v>0</v>
      </c>
      <c r="AW274" s="127">
        <f t="shared" si="50"/>
        <v>0</v>
      </c>
      <c r="AX274" s="5">
        <v>0</v>
      </c>
      <c r="AY274" s="118">
        <f t="shared" si="51"/>
        <v>0</v>
      </c>
      <c r="AZ274" s="5">
        <v>0</v>
      </c>
      <c r="BA274" s="118">
        <f t="shared" si="52"/>
        <v>0</v>
      </c>
      <c r="BB274" s="5">
        <v>0</v>
      </c>
      <c r="BC274" s="127">
        <f t="shared" si="53"/>
        <v>0</v>
      </c>
      <c r="BD274" s="5">
        <v>0</v>
      </c>
      <c r="BE274" s="118">
        <f t="shared" si="54"/>
        <v>0</v>
      </c>
      <c r="BF274" s="5">
        <v>0</v>
      </c>
      <c r="BG274" s="118">
        <f t="shared" si="55"/>
        <v>0</v>
      </c>
      <c r="BH274" s="5">
        <v>0</v>
      </c>
      <c r="BI274" s="127">
        <f t="shared" si="56"/>
        <v>0</v>
      </c>
      <c r="BJ274" s="220" t="s">
        <v>788</v>
      </c>
      <c r="BL274" s="1" t="s">
        <v>539</v>
      </c>
      <c r="BM274" s="1" t="s">
        <v>789</v>
      </c>
      <c r="BN274" s="233"/>
      <c r="BO274" s="234"/>
    </row>
    <row r="275" spans="1:67">
      <c r="A275" s="219" t="s">
        <v>823</v>
      </c>
      <c r="B275" s="214" t="s">
        <v>267</v>
      </c>
      <c r="C275" s="66" t="s">
        <v>175</v>
      </c>
      <c r="D275" s="287"/>
      <c r="E275" s="103" t="s">
        <v>176</v>
      </c>
      <c r="F275" s="282"/>
      <c r="G275" s="71" t="s">
        <v>202</v>
      </c>
      <c r="H275" s="70" t="s">
        <v>783</v>
      </c>
      <c r="I275" s="70" t="s">
        <v>184</v>
      </c>
      <c r="J275" s="71" t="s">
        <v>193</v>
      </c>
      <c r="K275" s="70" t="s">
        <v>790</v>
      </c>
      <c r="L275" s="69" t="s">
        <v>213</v>
      </c>
      <c r="M275" s="180" t="s">
        <v>562</v>
      </c>
      <c r="N275" s="144">
        <v>12.4</v>
      </c>
      <c r="O275" s="144">
        <v>12.4</v>
      </c>
      <c r="P275" s="144">
        <v>12.4</v>
      </c>
      <c r="Q275" s="144">
        <v>12.4</v>
      </c>
      <c r="R275" s="144">
        <v>12.4</v>
      </c>
      <c r="S275" s="144">
        <v>12.4</v>
      </c>
      <c r="T275" s="144">
        <v>12.4</v>
      </c>
      <c r="U275" s="144">
        <v>12.4</v>
      </c>
      <c r="V275" s="144">
        <v>12.4</v>
      </c>
      <c r="W275" s="144">
        <v>12.4</v>
      </c>
      <c r="X275" s="144">
        <v>12.4</v>
      </c>
      <c r="Y275" s="259">
        <v>12.4</v>
      </c>
      <c r="Z275" s="10">
        <v>1.67</v>
      </c>
      <c r="AA275" s="10">
        <v>1.67</v>
      </c>
      <c r="AB275" s="10">
        <v>1.67</v>
      </c>
      <c r="AC275" s="10">
        <v>1.67</v>
      </c>
      <c r="AD275" s="10">
        <v>1.67</v>
      </c>
      <c r="AE275" s="10">
        <v>1.67</v>
      </c>
      <c r="AF275" s="10">
        <v>1.67</v>
      </c>
      <c r="AG275" s="10">
        <v>1.67</v>
      </c>
      <c r="AH275" s="10">
        <v>1.67</v>
      </c>
      <c r="AI275" s="10">
        <v>1.67</v>
      </c>
      <c r="AJ275" s="10">
        <v>1.67</v>
      </c>
      <c r="AK275" s="257">
        <v>1.67</v>
      </c>
      <c r="AL275" s="5">
        <v>0</v>
      </c>
      <c r="AM275" s="118">
        <f t="shared" si="37"/>
        <v>0</v>
      </c>
      <c r="AN275" s="5">
        <v>0</v>
      </c>
      <c r="AO275" s="118">
        <f t="shared" si="57"/>
        <v>0</v>
      </c>
      <c r="AP275" s="5">
        <v>0</v>
      </c>
      <c r="AQ275" s="127">
        <f t="shared" si="47"/>
        <v>0</v>
      </c>
      <c r="AR275" s="5">
        <v>0</v>
      </c>
      <c r="AS275" s="118">
        <f t="shared" si="48"/>
        <v>0</v>
      </c>
      <c r="AT275" s="5">
        <v>0</v>
      </c>
      <c r="AU275" s="118">
        <f t="shared" si="58"/>
        <v>0</v>
      </c>
      <c r="AV275" s="5">
        <v>0</v>
      </c>
      <c r="AW275" s="127">
        <f t="shared" si="50"/>
        <v>0</v>
      </c>
      <c r="AX275" s="5">
        <v>0</v>
      </c>
      <c r="AY275" s="118">
        <f t="shared" si="51"/>
        <v>0</v>
      </c>
      <c r="AZ275" s="5">
        <v>0</v>
      </c>
      <c r="BA275" s="118">
        <f t="shared" si="52"/>
        <v>0</v>
      </c>
      <c r="BB275" s="5">
        <v>0</v>
      </c>
      <c r="BC275" s="127">
        <f t="shared" si="53"/>
        <v>0</v>
      </c>
      <c r="BD275" s="5">
        <v>0</v>
      </c>
      <c r="BE275" s="118">
        <f t="shared" si="54"/>
        <v>0</v>
      </c>
      <c r="BF275" s="5">
        <v>0</v>
      </c>
      <c r="BG275" s="118">
        <f t="shared" si="55"/>
        <v>0</v>
      </c>
      <c r="BH275" s="5">
        <v>0</v>
      </c>
      <c r="BI275" s="127">
        <f t="shared" si="56"/>
        <v>0</v>
      </c>
      <c r="BJ275" s="220" t="s">
        <v>791</v>
      </c>
      <c r="BL275" s="1" t="s">
        <v>539</v>
      </c>
      <c r="BM275" s="1" t="s">
        <v>792</v>
      </c>
      <c r="BN275" s="233"/>
      <c r="BO275" s="234"/>
    </row>
    <row r="276" spans="1:67">
      <c r="A276" s="219" t="s">
        <v>823</v>
      </c>
      <c r="B276" s="214" t="s">
        <v>267</v>
      </c>
      <c r="C276" s="66" t="s">
        <v>175</v>
      </c>
      <c r="D276" s="287"/>
      <c r="E276" s="103" t="s">
        <v>176</v>
      </c>
      <c r="F276" s="282"/>
      <c r="G276" s="71" t="s">
        <v>202</v>
      </c>
      <c r="H276" s="70" t="s">
        <v>783</v>
      </c>
      <c r="I276" s="70" t="s">
        <v>184</v>
      </c>
      <c r="J276" s="71" t="s">
        <v>283</v>
      </c>
      <c r="K276" s="70" t="s">
        <v>793</v>
      </c>
      <c r="L276" s="69" t="s">
        <v>213</v>
      </c>
      <c r="M276" s="180" t="s">
        <v>562</v>
      </c>
      <c r="N276" s="144">
        <v>12.4</v>
      </c>
      <c r="O276" s="144">
        <v>12.4</v>
      </c>
      <c r="P276" s="144">
        <v>12.4</v>
      </c>
      <c r="Q276" s="144">
        <v>12.4</v>
      </c>
      <c r="R276" s="144">
        <v>12.4</v>
      </c>
      <c r="S276" s="144">
        <v>12.4</v>
      </c>
      <c r="T276" s="144">
        <v>12.4</v>
      </c>
      <c r="U276" s="144">
        <v>12.4</v>
      </c>
      <c r="V276" s="144">
        <v>12.4</v>
      </c>
      <c r="W276" s="144">
        <v>12.4</v>
      </c>
      <c r="X276" s="144">
        <v>12.4</v>
      </c>
      <c r="Y276" s="259">
        <v>12.4</v>
      </c>
      <c r="Z276" s="10">
        <v>1.67</v>
      </c>
      <c r="AA276" s="10">
        <v>1.67</v>
      </c>
      <c r="AB276" s="10">
        <v>1.67</v>
      </c>
      <c r="AC276" s="10">
        <v>1.67</v>
      </c>
      <c r="AD276" s="10">
        <v>1.67</v>
      </c>
      <c r="AE276" s="10">
        <v>1.67</v>
      </c>
      <c r="AF276" s="10">
        <v>1.67</v>
      </c>
      <c r="AG276" s="10">
        <v>1.67</v>
      </c>
      <c r="AH276" s="10">
        <v>1.67</v>
      </c>
      <c r="AI276" s="10">
        <v>1.67</v>
      </c>
      <c r="AJ276" s="10">
        <v>1.67</v>
      </c>
      <c r="AK276" s="257">
        <v>1.67</v>
      </c>
      <c r="AL276" s="5">
        <v>0</v>
      </c>
      <c r="AM276" s="118">
        <f t="shared" si="37"/>
        <v>0</v>
      </c>
      <c r="AN276" s="5">
        <v>0</v>
      </c>
      <c r="AO276" s="118">
        <f t="shared" si="57"/>
        <v>0</v>
      </c>
      <c r="AP276" s="5">
        <v>0</v>
      </c>
      <c r="AQ276" s="127">
        <f t="shared" si="47"/>
        <v>0</v>
      </c>
      <c r="AR276" s="5">
        <v>0</v>
      </c>
      <c r="AS276" s="118">
        <f t="shared" si="48"/>
        <v>0</v>
      </c>
      <c r="AT276" s="5">
        <v>0</v>
      </c>
      <c r="AU276" s="118">
        <f t="shared" si="58"/>
        <v>0</v>
      </c>
      <c r="AV276" s="5">
        <v>0</v>
      </c>
      <c r="AW276" s="127">
        <f t="shared" si="50"/>
        <v>0</v>
      </c>
      <c r="AX276" s="5">
        <v>0</v>
      </c>
      <c r="AY276" s="118">
        <f t="shared" si="51"/>
        <v>0</v>
      </c>
      <c r="AZ276" s="5">
        <v>0</v>
      </c>
      <c r="BA276" s="118">
        <f t="shared" si="52"/>
        <v>0</v>
      </c>
      <c r="BB276" s="5">
        <v>0</v>
      </c>
      <c r="BC276" s="127">
        <f t="shared" si="53"/>
        <v>0</v>
      </c>
      <c r="BD276" s="5">
        <v>0</v>
      </c>
      <c r="BE276" s="118">
        <f t="shared" si="54"/>
        <v>0</v>
      </c>
      <c r="BF276" s="5">
        <v>0</v>
      </c>
      <c r="BG276" s="118">
        <f t="shared" si="55"/>
        <v>0</v>
      </c>
      <c r="BH276" s="5">
        <v>0</v>
      </c>
      <c r="BI276" s="127">
        <f t="shared" si="56"/>
        <v>0</v>
      </c>
      <c r="BJ276" s="220" t="s">
        <v>794</v>
      </c>
      <c r="BL276" s="1" t="s">
        <v>539</v>
      </c>
      <c r="BM276" s="1" t="s">
        <v>795</v>
      </c>
      <c r="BN276" s="233"/>
      <c r="BO276" s="234"/>
    </row>
    <row r="277" spans="1:67">
      <c r="A277" s="219" t="s">
        <v>823</v>
      </c>
      <c r="B277" s="214" t="s">
        <v>267</v>
      </c>
      <c r="C277" s="66" t="s">
        <v>175</v>
      </c>
      <c r="D277" s="287"/>
      <c r="E277" s="103" t="s">
        <v>176</v>
      </c>
      <c r="F277" s="282"/>
      <c r="G277" s="71" t="s">
        <v>202</v>
      </c>
      <c r="H277" s="70" t="s">
        <v>783</v>
      </c>
      <c r="I277" s="70" t="s">
        <v>184</v>
      </c>
      <c r="J277" s="71" t="s">
        <v>193</v>
      </c>
      <c r="K277" s="70" t="s">
        <v>796</v>
      </c>
      <c r="L277" s="69" t="s">
        <v>213</v>
      </c>
      <c r="M277" s="180" t="s">
        <v>562</v>
      </c>
      <c r="N277" s="144">
        <v>12.4</v>
      </c>
      <c r="O277" s="144">
        <v>12.4</v>
      </c>
      <c r="P277" s="144">
        <v>12.4</v>
      </c>
      <c r="Q277" s="144">
        <v>12.4</v>
      </c>
      <c r="R277" s="144">
        <v>12.4</v>
      </c>
      <c r="S277" s="144">
        <v>12.4</v>
      </c>
      <c r="T277" s="144">
        <v>12.4</v>
      </c>
      <c r="U277" s="144">
        <v>12.4</v>
      </c>
      <c r="V277" s="144">
        <v>12.4</v>
      </c>
      <c r="W277" s="144">
        <v>12.4</v>
      </c>
      <c r="X277" s="144">
        <v>12.4</v>
      </c>
      <c r="Y277" s="259">
        <v>12.4</v>
      </c>
      <c r="Z277" s="10">
        <v>1.67</v>
      </c>
      <c r="AA277" s="10">
        <v>1.67</v>
      </c>
      <c r="AB277" s="10">
        <v>1.67</v>
      </c>
      <c r="AC277" s="10">
        <v>1.67</v>
      </c>
      <c r="AD277" s="10">
        <v>1.67</v>
      </c>
      <c r="AE277" s="10">
        <v>1.67</v>
      </c>
      <c r="AF277" s="10">
        <v>1.67</v>
      </c>
      <c r="AG277" s="10">
        <v>1.67</v>
      </c>
      <c r="AH277" s="10">
        <v>1.67</v>
      </c>
      <c r="AI277" s="10">
        <v>1.67</v>
      </c>
      <c r="AJ277" s="10">
        <v>1.67</v>
      </c>
      <c r="AK277" s="257">
        <v>1.67</v>
      </c>
      <c r="AL277" s="5">
        <v>0</v>
      </c>
      <c r="AM277" s="118">
        <f t="shared" si="37"/>
        <v>0</v>
      </c>
      <c r="AN277" s="5">
        <v>0</v>
      </c>
      <c r="AO277" s="118">
        <f t="shared" si="57"/>
        <v>0</v>
      </c>
      <c r="AP277" s="5">
        <v>0</v>
      </c>
      <c r="AQ277" s="127">
        <f t="shared" si="47"/>
        <v>0</v>
      </c>
      <c r="AR277" s="5">
        <v>0</v>
      </c>
      <c r="AS277" s="118">
        <f t="shared" si="48"/>
        <v>0</v>
      </c>
      <c r="AT277" s="5">
        <v>0</v>
      </c>
      <c r="AU277" s="118">
        <f t="shared" si="58"/>
        <v>0</v>
      </c>
      <c r="AV277" s="5">
        <v>0</v>
      </c>
      <c r="AW277" s="127">
        <f t="shared" si="50"/>
        <v>0</v>
      </c>
      <c r="AX277" s="5">
        <v>0</v>
      </c>
      <c r="AY277" s="118">
        <f t="shared" si="51"/>
        <v>0</v>
      </c>
      <c r="AZ277" s="5">
        <v>0</v>
      </c>
      <c r="BA277" s="118">
        <f t="shared" si="52"/>
        <v>0</v>
      </c>
      <c r="BB277" s="5">
        <v>0</v>
      </c>
      <c r="BC277" s="127">
        <f t="shared" si="53"/>
        <v>0</v>
      </c>
      <c r="BD277" s="5">
        <v>0</v>
      </c>
      <c r="BE277" s="118">
        <f t="shared" si="54"/>
        <v>0</v>
      </c>
      <c r="BF277" s="5">
        <v>0</v>
      </c>
      <c r="BG277" s="118">
        <f t="shared" si="55"/>
        <v>0</v>
      </c>
      <c r="BH277" s="5">
        <v>0</v>
      </c>
      <c r="BI277" s="127">
        <f t="shared" si="56"/>
        <v>0</v>
      </c>
      <c r="BJ277" s="220" t="s">
        <v>797</v>
      </c>
      <c r="BL277" s="1" t="s">
        <v>539</v>
      </c>
      <c r="BM277" s="1" t="s">
        <v>798</v>
      </c>
      <c r="BN277" s="233"/>
      <c r="BO277" s="234"/>
    </row>
    <row r="278" spans="1:67">
      <c r="A278" s="219" t="s">
        <v>823</v>
      </c>
      <c r="B278" s="214" t="s">
        <v>267</v>
      </c>
      <c r="C278" s="66" t="s">
        <v>175</v>
      </c>
      <c r="D278" s="287"/>
      <c r="E278" s="103" t="s">
        <v>176</v>
      </c>
      <c r="F278" s="282"/>
      <c r="G278" s="71" t="s">
        <v>385</v>
      </c>
      <c r="H278" s="70" t="s">
        <v>799</v>
      </c>
      <c r="I278" s="70" t="s">
        <v>184</v>
      </c>
      <c r="J278" s="71" t="s">
        <v>193</v>
      </c>
      <c r="K278" s="70" t="s">
        <v>398</v>
      </c>
      <c r="L278" s="69" t="s">
        <v>213</v>
      </c>
      <c r="M278" s="180" t="s">
        <v>562</v>
      </c>
      <c r="N278" s="144">
        <v>10.199999999999999</v>
      </c>
      <c r="O278" s="144">
        <v>10.199999999999999</v>
      </c>
      <c r="P278" s="144">
        <v>10.199999999999999</v>
      </c>
      <c r="Q278" s="144">
        <v>10.199999999999999</v>
      </c>
      <c r="R278" s="144">
        <v>10.199999999999999</v>
      </c>
      <c r="S278" s="144">
        <v>10.199999999999999</v>
      </c>
      <c r="T278" s="144">
        <v>10.199999999999999</v>
      </c>
      <c r="U278" s="144">
        <v>10.199999999999999</v>
      </c>
      <c r="V278" s="144">
        <v>10.199999999999999</v>
      </c>
      <c r="W278" s="144">
        <v>10.199999999999999</v>
      </c>
      <c r="X278" s="144">
        <v>10.199999999999999</v>
      </c>
      <c r="Y278" s="259">
        <v>10.199999999999999</v>
      </c>
      <c r="Z278" s="10">
        <v>2.2200000000000002</v>
      </c>
      <c r="AA278" s="10">
        <v>2.2200000000000002</v>
      </c>
      <c r="AB278" s="10">
        <v>2.2200000000000002</v>
      </c>
      <c r="AC278" s="10">
        <v>2.2200000000000002</v>
      </c>
      <c r="AD278" s="10">
        <v>2.2200000000000002</v>
      </c>
      <c r="AE278" s="10">
        <v>2.2200000000000002</v>
      </c>
      <c r="AF278" s="10">
        <v>2.2200000000000002</v>
      </c>
      <c r="AG278" s="10">
        <v>2.2200000000000002</v>
      </c>
      <c r="AH278" s="10">
        <v>2.2200000000000002</v>
      </c>
      <c r="AI278" s="10">
        <v>2.2200000000000002</v>
      </c>
      <c r="AJ278" s="10">
        <v>2.2200000000000002</v>
      </c>
      <c r="AK278" s="257">
        <v>2.2200000000000002</v>
      </c>
      <c r="AL278" s="5">
        <v>0</v>
      </c>
      <c r="AM278" s="118">
        <f t="shared" si="37"/>
        <v>0</v>
      </c>
      <c r="AN278" s="5">
        <v>0</v>
      </c>
      <c r="AO278" s="118">
        <f t="shared" si="57"/>
        <v>0</v>
      </c>
      <c r="AP278" s="5">
        <v>0</v>
      </c>
      <c r="AQ278" s="127">
        <f t="shared" si="47"/>
        <v>0</v>
      </c>
      <c r="AR278" s="5">
        <v>0</v>
      </c>
      <c r="AS278" s="118">
        <f t="shared" si="48"/>
        <v>0</v>
      </c>
      <c r="AT278" s="5">
        <v>0</v>
      </c>
      <c r="AU278" s="118">
        <f t="shared" si="58"/>
        <v>0</v>
      </c>
      <c r="AV278" s="5">
        <v>0</v>
      </c>
      <c r="AW278" s="127">
        <f t="shared" si="50"/>
        <v>0</v>
      </c>
      <c r="AX278" s="5">
        <v>0</v>
      </c>
      <c r="AY278" s="118">
        <f t="shared" si="51"/>
        <v>0</v>
      </c>
      <c r="AZ278" s="5">
        <v>0</v>
      </c>
      <c r="BA278" s="118">
        <f t="shared" si="52"/>
        <v>0</v>
      </c>
      <c r="BB278" s="5">
        <v>0</v>
      </c>
      <c r="BC278" s="127">
        <f t="shared" si="53"/>
        <v>0</v>
      </c>
      <c r="BD278" s="5">
        <v>0</v>
      </c>
      <c r="BE278" s="118">
        <f t="shared" si="54"/>
        <v>0</v>
      </c>
      <c r="BF278" s="5">
        <v>0</v>
      </c>
      <c r="BG278" s="118">
        <f t="shared" si="55"/>
        <v>0</v>
      </c>
      <c r="BH278" s="5">
        <v>0</v>
      </c>
      <c r="BI278" s="127">
        <f t="shared" si="56"/>
        <v>0</v>
      </c>
      <c r="BJ278" s="220" t="s">
        <v>800</v>
      </c>
      <c r="BL278" s="1" t="s">
        <v>539</v>
      </c>
      <c r="BM278" s="1" t="s">
        <v>801</v>
      </c>
      <c r="BN278" s="233"/>
      <c r="BO278" s="234"/>
    </row>
    <row r="279" spans="1:67">
      <c r="A279" s="219" t="s">
        <v>823</v>
      </c>
      <c r="B279" s="214" t="s">
        <v>267</v>
      </c>
      <c r="C279" s="66" t="s">
        <v>175</v>
      </c>
      <c r="D279" s="287"/>
      <c r="E279" s="103" t="s">
        <v>176</v>
      </c>
      <c r="F279" s="282"/>
      <c r="G279" s="71" t="s">
        <v>385</v>
      </c>
      <c r="H279" s="70" t="s">
        <v>799</v>
      </c>
      <c r="I279" s="70" t="s">
        <v>184</v>
      </c>
      <c r="J279" s="71" t="s">
        <v>193</v>
      </c>
      <c r="K279" s="70" t="s">
        <v>802</v>
      </c>
      <c r="L279" s="69" t="s">
        <v>213</v>
      </c>
      <c r="M279" s="180" t="s">
        <v>562</v>
      </c>
      <c r="N279" s="144">
        <v>12.7</v>
      </c>
      <c r="O279" s="144">
        <v>12.7</v>
      </c>
      <c r="P279" s="144">
        <v>12.7</v>
      </c>
      <c r="Q279" s="144">
        <v>12.7</v>
      </c>
      <c r="R279" s="144">
        <v>12.7</v>
      </c>
      <c r="S279" s="144">
        <v>12.7</v>
      </c>
      <c r="T279" s="144">
        <v>12.7</v>
      </c>
      <c r="U279" s="144">
        <v>12.7</v>
      </c>
      <c r="V279" s="144">
        <v>12.7</v>
      </c>
      <c r="W279" s="144">
        <v>12.7</v>
      </c>
      <c r="X279" s="144">
        <v>12.7</v>
      </c>
      <c r="Y279" s="259">
        <v>12.7</v>
      </c>
      <c r="Z279" s="10">
        <v>1.97</v>
      </c>
      <c r="AA279" s="10">
        <v>1.97</v>
      </c>
      <c r="AB279" s="10">
        <v>1.97</v>
      </c>
      <c r="AC279" s="10">
        <v>1.97</v>
      </c>
      <c r="AD279" s="10">
        <v>1.97</v>
      </c>
      <c r="AE279" s="10">
        <v>1.97</v>
      </c>
      <c r="AF279" s="10">
        <v>1.97</v>
      </c>
      <c r="AG279" s="10">
        <v>1.97</v>
      </c>
      <c r="AH279" s="10">
        <v>1.97</v>
      </c>
      <c r="AI279" s="10">
        <v>1.97</v>
      </c>
      <c r="AJ279" s="10">
        <v>1.97</v>
      </c>
      <c r="AK279" s="257">
        <v>1.97</v>
      </c>
      <c r="AL279" s="5">
        <v>0</v>
      </c>
      <c r="AM279" s="118">
        <f t="shared" si="37"/>
        <v>0</v>
      </c>
      <c r="AN279" s="5">
        <v>0</v>
      </c>
      <c r="AO279" s="118">
        <f t="shared" si="57"/>
        <v>0</v>
      </c>
      <c r="AP279" s="5">
        <v>0</v>
      </c>
      <c r="AQ279" s="127">
        <f t="shared" si="47"/>
        <v>0</v>
      </c>
      <c r="AR279" s="5">
        <v>0</v>
      </c>
      <c r="AS279" s="118">
        <f t="shared" si="48"/>
        <v>0</v>
      </c>
      <c r="AT279" s="5">
        <v>0</v>
      </c>
      <c r="AU279" s="118">
        <f t="shared" si="58"/>
        <v>0</v>
      </c>
      <c r="AV279" s="5">
        <v>0</v>
      </c>
      <c r="AW279" s="127">
        <f t="shared" si="50"/>
        <v>0</v>
      </c>
      <c r="AX279" s="5">
        <v>0</v>
      </c>
      <c r="AY279" s="118">
        <f t="shared" si="51"/>
        <v>0</v>
      </c>
      <c r="AZ279" s="5">
        <v>0</v>
      </c>
      <c r="BA279" s="118">
        <f t="shared" si="52"/>
        <v>0</v>
      </c>
      <c r="BB279" s="5">
        <v>0</v>
      </c>
      <c r="BC279" s="127">
        <f t="shared" si="53"/>
        <v>0</v>
      </c>
      <c r="BD279" s="5">
        <v>0</v>
      </c>
      <c r="BE279" s="118">
        <f t="shared" si="54"/>
        <v>0</v>
      </c>
      <c r="BF279" s="5">
        <v>0</v>
      </c>
      <c r="BG279" s="118">
        <f t="shared" si="55"/>
        <v>0</v>
      </c>
      <c r="BH279" s="5">
        <v>0</v>
      </c>
      <c r="BI279" s="127">
        <f t="shared" si="56"/>
        <v>0</v>
      </c>
      <c r="BJ279" s="220" t="s">
        <v>803</v>
      </c>
      <c r="BL279" s="1" t="s">
        <v>539</v>
      </c>
      <c r="BM279" s="1" t="s">
        <v>804</v>
      </c>
      <c r="BN279" s="233"/>
      <c r="BO279" s="234"/>
    </row>
    <row r="280" spans="1:67">
      <c r="A280" s="219" t="s">
        <v>823</v>
      </c>
      <c r="B280" s="214"/>
      <c r="C280" s="66" t="s">
        <v>175</v>
      </c>
      <c r="D280" s="287"/>
      <c r="E280" s="103" t="s">
        <v>176</v>
      </c>
      <c r="F280" s="282"/>
      <c r="G280" s="72"/>
      <c r="H280" s="54"/>
      <c r="I280" s="54"/>
      <c r="J280" s="55"/>
      <c r="K280" s="54"/>
      <c r="L280" s="53"/>
      <c r="M280" s="52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258"/>
      <c r="Z280" s="48"/>
      <c r="AA280" s="48"/>
      <c r="AB280" s="48"/>
      <c r="AC280" s="48"/>
      <c r="AD280" s="48"/>
      <c r="AE280" s="48"/>
      <c r="AF280" s="48"/>
      <c r="AG280" s="48"/>
      <c r="AH280" s="48"/>
      <c r="AI280" s="48"/>
      <c r="AJ280" s="48"/>
      <c r="AK280" s="262"/>
      <c r="AL280" s="23">
        <v>0</v>
      </c>
      <c r="AM280" s="184">
        <f t="shared" si="37"/>
        <v>0</v>
      </c>
      <c r="AN280" s="23"/>
      <c r="AO280" s="184">
        <f t="shared" si="57"/>
        <v>0</v>
      </c>
      <c r="AP280" s="23"/>
      <c r="AQ280" s="185">
        <f t="shared" si="47"/>
        <v>0</v>
      </c>
      <c r="AR280" s="23"/>
      <c r="AS280" s="184">
        <f t="shared" si="48"/>
        <v>0</v>
      </c>
      <c r="AT280" s="23"/>
      <c r="AU280" s="184">
        <f t="shared" si="58"/>
        <v>0</v>
      </c>
      <c r="AV280" s="23">
        <v>0</v>
      </c>
      <c r="AW280" s="185">
        <f t="shared" si="50"/>
        <v>0</v>
      </c>
      <c r="AX280" s="50">
        <v>0</v>
      </c>
      <c r="AY280" s="184">
        <f t="shared" si="51"/>
        <v>0</v>
      </c>
      <c r="AZ280" s="50">
        <v>0</v>
      </c>
      <c r="BA280" s="184">
        <f t="shared" si="52"/>
        <v>0</v>
      </c>
      <c r="BB280" s="23">
        <v>0</v>
      </c>
      <c r="BC280" s="185">
        <f t="shared" si="53"/>
        <v>0</v>
      </c>
      <c r="BD280" s="50">
        <v>0</v>
      </c>
      <c r="BE280" s="184">
        <f t="shared" si="54"/>
        <v>0</v>
      </c>
      <c r="BF280" s="23">
        <v>0</v>
      </c>
      <c r="BG280" s="184">
        <f t="shared" si="55"/>
        <v>0</v>
      </c>
      <c r="BH280" s="23">
        <v>0</v>
      </c>
      <c r="BI280" s="185">
        <f t="shared" si="56"/>
        <v>0</v>
      </c>
      <c r="BM280" s="1" t="s">
        <v>208</v>
      </c>
      <c r="BN280" s="233"/>
      <c r="BO280" s="234"/>
    </row>
    <row r="281" spans="1:67">
      <c r="A281" s="219" t="s">
        <v>823</v>
      </c>
      <c r="B281" s="214" t="s">
        <v>267</v>
      </c>
      <c r="C281" s="66" t="s">
        <v>175</v>
      </c>
      <c r="D281" s="287"/>
      <c r="E281" s="103" t="s">
        <v>176</v>
      </c>
      <c r="F281" s="282" t="s">
        <v>805</v>
      </c>
      <c r="G281" s="71" t="s">
        <v>200</v>
      </c>
      <c r="H281" s="70" t="s">
        <v>296</v>
      </c>
      <c r="I281" s="70" t="s">
        <v>184</v>
      </c>
      <c r="J281" s="71" t="s">
        <v>193</v>
      </c>
      <c r="K281" s="70" t="s">
        <v>288</v>
      </c>
      <c r="L281" s="69" t="s">
        <v>213</v>
      </c>
      <c r="M281" s="180" t="s">
        <v>562</v>
      </c>
      <c r="N281" s="144">
        <v>10.5</v>
      </c>
      <c r="O281" s="144">
        <v>10.5</v>
      </c>
      <c r="P281" s="144">
        <v>10.5</v>
      </c>
      <c r="Q281" s="144">
        <v>10.5</v>
      </c>
      <c r="R281" s="144">
        <v>10.5</v>
      </c>
      <c r="S281" s="144">
        <v>10.5</v>
      </c>
      <c r="T281" s="144">
        <v>10.5</v>
      </c>
      <c r="U281" s="144">
        <v>10.5</v>
      </c>
      <c r="V281" s="144">
        <v>10.5</v>
      </c>
      <c r="W281" s="144">
        <v>10.5</v>
      </c>
      <c r="X281" s="144">
        <v>10.5</v>
      </c>
      <c r="Y281" s="259">
        <v>10.5</v>
      </c>
      <c r="Z281" s="10">
        <v>2.52</v>
      </c>
      <c r="AA281" s="10">
        <v>2.52</v>
      </c>
      <c r="AB281" s="10">
        <v>2.52</v>
      </c>
      <c r="AC281" s="10">
        <v>2.52</v>
      </c>
      <c r="AD281" s="10">
        <v>2.52</v>
      </c>
      <c r="AE281" s="10">
        <v>2.52</v>
      </c>
      <c r="AF281" s="10">
        <v>2.52</v>
      </c>
      <c r="AG281" s="10">
        <v>2.52</v>
      </c>
      <c r="AH281" s="10">
        <v>2.52</v>
      </c>
      <c r="AI281" s="10">
        <v>2.52</v>
      </c>
      <c r="AJ281" s="10">
        <v>2.52</v>
      </c>
      <c r="AK281" s="257">
        <v>2.52</v>
      </c>
      <c r="AL281" s="5">
        <v>0</v>
      </c>
      <c r="AM281" s="118">
        <f t="shared" ref="AM281:AM287" si="59">Z281*AL281</f>
        <v>0</v>
      </c>
      <c r="AN281" s="5">
        <v>0</v>
      </c>
      <c r="AO281" s="118">
        <f t="shared" si="57"/>
        <v>0</v>
      </c>
      <c r="AP281" s="5">
        <v>0</v>
      </c>
      <c r="AQ281" s="127">
        <f t="shared" si="47"/>
        <v>0</v>
      </c>
      <c r="AR281" s="5">
        <v>0</v>
      </c>
      <c r="AS281" s="118">
        <f t="shared" si="48"/>
        <v>0</v>
      </c>
      <c r="AT281" s="5">
        <v>0</v>
      </c>
      <c r="AU281" s="118">
        <f t="shared" si="58"/>
        <v>0</v>
      </c>
      <c r="AV281" s="5">
        <v>0</v>
      </c>
      <c r="AW281" s="127">
        <f t="shared" si="50"/>
        <v>0</v>
      </c>
      <c r="AX281" s="5">
        <v>0</v>
      </c>
      <c r="AY281" s="118">
        <f t="shared" si="51"/>
        <v>0</v>
      </c>
      <c r="AZ281" s="5">
        <v>0</v>
      </c>
      <c r="BA281" s="118">
        <f t="shared" si="52"/>
        <v>0</v>
      </c>
      <c r="BB281" s="5">
        <v>0</v>
      </c>
      <c r="BC281" s="127">
        <f t="shared" si="53"/>
        <v>0</v>
      </c>
      <c r="BD281" s="5">
        <v>0</v>
      </c>
      <c r="BE281" s="118">
        <f t="shared" si="54"/>
        <v>0</v>
      </c>
      <c r="BF281" s="5">
        <v>0</v>
      </c>
      <c r="BG281" s="118">
        <f t="shared" si="55"/>
        <v>0</v>
      </c>
      <c r="BH281" s="5">
        <v>0</v>
      </c>
      <c r="BI281" s="127">
        <f t="shared" si="56"/>
        <v>0</v>
      </c>
      <c r="BJ281" s="220" t="s">
        <v>806</v>
      </c>
      <c r="BL281" s="1" t="s">
        <v>539</v>
      </c>
      <c r="BM281" s="1" t="s">
        <v>807</v>
      </c>
      <c r="BN281" s="233"/>
      <c r="BO281" s="234"/>
    </row>
    <row r="282" spans="1:67">
      <c r="A282" s="219" t="s">
        <v>823</v>
      </c>
      <c r="B282" s="214"/>
      <c r="C282" s="66" t="s">
        <v>175</v>
      </c>
      <c r="D282" s="287"/>
      <c r="E282" s="103" t="s">
        <v>176</v>
      </c>
      <c r="F282" s="282"/>
      <c r="G282" s="72"/>
      <c r="H282" s="54"/>
      <c r="I282" s="54"/>
      <c r="J282" s="55"/>
      <c r="K282" s="54"/>
      <c r="L282" s="53"/>
      <c r="M282" s="52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258"/>
      <c r="Z282" s="48"/>
      <c r="AA282" s="48"/>
      <c r="AB282" s="48"/>
      <c r="AC282" s="48"/>
      <c r="AD282" s="48"/>
      <c r="AE282" s="48"/>
      <c r="AF282" s="48"/>
      <c r="AG282" s="48"/>
      <c r="AH282" s="48"/>
      <c r="AI282" s="48"/>
      <c r="AJ282" s="48"/>
      <c r="AK282" s="262"/>
      <c r="AL282" s="23"/>
      <c r="AM282" s="184">
        <f t="shared" si="59"/>
        <v>0</v>
      </c>
      <c r="AN282" s="23"/>
      <c r="AO282" s="184">
        <f t="shared" si="57"/>
        <v>0</v>
      </c>
      <c r="AP282" s="23"/>
      <c r="AQ282" s="185">
        <f t="shared" si="47"/>
        <v>0</v>
      </c>
      <c r="AR282" s="23"/>
      <c r="AS282" s="184">
        <f t="shared" si="48"/>
        <v>0</v>
      </c>
      <c r="AT282" s="23"/>
      <c r="AU282" s="184">
        <f t="shared" si="58"/>
        <v>0</v>
      </c>
      <c r="AV282" s="23">
        <v>0</v>
      </c>
      <c r="AW282" s="185">
        <f t="shared" si="50"/>
        <v>0</v>
      </c>
      <c r="AX282" s="50">
        <v>0</v>
      </c>
      <c r="AY282" s="184">
        <f t="shared" si="51"/>
        <v>0</v>
      </c>
      <c r="AZ282" s="50">
        <v>0</v>
      </c>
      <c r="BA282" s="184">
        <f t="shared" si="52"/>
        <v>0</v>
      </c>
      <c r="BB282" s="23">
        <v>0</v>
      </c>
      <c r="BC282" s="185">
        <f t="shared" si="53"/>
        <v>0</v>
      </c>
      <c r="BD282" s="50">
        <v>0</v>
      </c>
      <c r="BE282" s="184">
        <f t="shared" si="54"/>
        <v>0</v>
      </c>
      <c r="BF282" s="23">
        <v>0</v>
      </c>
      <c r="BG282" s="184">
        <f t="shared" si="55"/>
        <v>0</v>
      </c>
      <c r="BH282" s="23">
        <v>0</v>
      </c>
      <c r="BI282" s="185">
        <f t="shared" si="56"/>
        <v>0</v>
      </c>
      <c r="BM282" s="1" t="s">
        <v>208</v>
      </c>
      <c r="BN282" s="233"/>
      <c r="BO282" s="234"/>
    </row>
    <row r="283" spans="1:67">
      <c r="A283" s="219" t="s">
        <v>823</v>
      </c>
      <c r="B283" s="214" t="s">
        <v>267</v>
      </c>
      <c r="C283" s="66" t="s">
        <v>175</v>
      </c>
      <c r="D283" s="287"/>
      <c r="E283" s="103" t="s">
        <v>176</v>
      </c>
      <c r="F283" s="282" t="s">
        <v>808</v>
      </c>
      <c r="G283" s="71" t="s">
        <v>202</v>
      </c>
      <c r="H283" s="70" t="s">
        <v>312</v>
      </c>
      <c r="I283" s="70" t="s">
        <v>184</v>
      </c>
      <c r="J283" s="71" t="s">
        <v>283</v>
      </c>
      <c r="K283" s="70" t="s">
        <v>809</v>
      </c>
      <c r="L283" s="69" t="s">
        <v>213</v>
      </c>
      <c r="M283" s="180" t="s">
        <v>562</v>
      </c>
      <c r="N283" s="144">
        <v>12</v>
      </c>
      <c r="O283" s="144">
        <v>12</v>
      </c>
      <c r="P283" s="144">
        <v>12</v>
      </c>
      <c r="Q283" s="144">
        <v>12</v>
      </c>
      <c r="R283" s="144">
        <v>12</v>
      </c>
      <c r="S283" s="144">
        <v>12</v>
      </c>
      <c r="T283" s="144">
        <v>12</v>
      </c>
      <c r="U283" s="144">
        <v>12</v>
      </c>
      <c r="V283" s="144">
        <v>12</v>
      </c>
      <c r="W283" s="144">
        <v>12</v>
      </c>
      <c r="X283" s="144">
        <v>12</v>
      </c>
      <c r="Y283" s="259">
        <v>12</v>
      </c>
      <c r="Z283" s="10">
        <v>2.85</v>
      </c>
      <c r="AA283" s="10">
        <v>2.85</v>
      </c>
      <c r="AB283" s="10">
        <v>2.85</v>
      </c>
      <c r="AC283" s="10">
        <v>2.85</v>
      </c>
      <c r="AD283" s="10">
        <v>2.85</v>
      </c>
      <c r="AE283" s="10">
        <v>2.85</v>
      </c>
      <c r="AF283" s="10">
        <v>2.85</v>
      </c>
      <c r="AG283" s="10">
        <v>2.85</v>
      </c>
      <c r="AH283" s="10">
        <v>2.85</v>
      </c>
      <c r="AI283" s="10">
        <v>2.85</v>
      </c>
      <c r="AJ283" s="10">
        <v>2.85</v>
      </c>
      <c r="AK283" s="257">
        <v>2.85</v>
      </c>
      <c r="AL283" s="5">
        <v>0</v>
      </c>
      <c r="AM283" s="118">
        <f t="shared" si="59"/>
        <v>0</v>
      </c>
      <c r="AN283" s="5">
        <v>40</v>
      </c>
      <c r="AO283" s="118">
        <f t="shared" si="57"/>
        <v>114</v>
      </c>
      <c r="AP283" s="5">
        <v>40</v>
      </c>
      <c r="AQ283" s="127">
        <f t="shared" si="47"/>
        <v>114</v>
      </c>
      <c r="AR283" s="5">
        <v>0</v>
      </c>
      <c r="AS283" s="118">
        <f t="shared" si="48"/>
        <v>0</v>
      </c>
      <c r="AT283" s="5">
        <v>0</v>
      </c>
      <c r="AU283" s="118">
        <f t="shared" si="58"/>
        <v>0</v>
      </c>
      <c r="AV283" s="5">
        <v>0</v>
      </c>
      <c r="AW283" s="127">
        <f t="shared" si="50"/>
        <v>0</v>
      </c>
      <c r="AX283" s="105">
        <v>0</v>
      </c>
      <c r="AY283" s="118">
        <f t="shared" si="51"/>
        <v>0</v>
      </c>
      <c r="AZ283" s="105">
        <v>0</v>
      </c>
      <c r="BA283" s="118">
        <f t="shared" si="52"/>
        <v>0</v>
      </c>
      <c r="BB283" s="5">
        <v>0</v>
      </c>
      <c r="BC283" s="127">
        <f t="shared" si="53"/>
        <v>0</v>
      </c>
      <c r="BD283" s="105">
        <v>0</v>
      </c>
      <c r="BE283" s="118">
        <f t="shared" si="54"/>
        <v>0</v>
      </c>
      <c r="BF283" s="5">
        <v>0</v>
      </c>
      <c r="BG283" s="118">
        <f t="shared" si="55"/>
        <v>0</v>
      </c>
      <c r="BH283" s="5">
        <v>0</v>
      </c>
      <c r="BI283" s="127">
        <f t="shared" si="56"/>
        <v>0</v>
      </c>
      <c r="BJ283" s="220" t="s">
        <v>810</v>
      </c>
      <c r="BL283" s="1" t="s">
        <v>539</v>
      </c>
      <c r="BM283" s="1" t="s">
        <v>811</v>
      </c>
      <c r="BN283" s="233"/>
      <c r="BO283" s="234"/>
    </row>
    <row r="284" spans="1:67">
      <c r="A284" s="219" t="s">
        <v>823</v>
      </c>
      <c r="B284" s="214" t="s">
        <v>267</v>
      </c>
      <c r="C284" s="66" t="s">
        <v>175</v>
      </c>
      <c r="D284" s="287"/>
      <c r="E284" s="103" t="s">
        <v>176</v>
      </c>
      <c r="F284" s="282"/>
      <c r="G284" s="71" t="s">
        <v>202</v>
      </c>
      <c r="H284" s="70" t="s">
        <v>312</v>
      </c>
      <c r="I284" s="70" t="s">
        <v>184</v>
      </c>
      <c r="J284" s="71" t="s">
        <v>283</v>
      </c>
      <c r="K284" s="70" t="s">
        <v>812</v>
      </c>
      <c r="L284" s="69" t="s">
        <v>213</v>
      </c>
      <c r="M284" s="180" t="s">
        <v>562</v>
      </c>
      <c r="N284" s="144">
        <v>18.8</v>
      </c>
      <c r="O284" s="144">
        <v>18.8</v>
      </c>
      <c r="P284" s="144">
        <v>18.8</v>
      </c>
      <c r="Q284" s="144">
        <v>18.8</v>
      </c>
      <c r="R284" s="144">
        <v>18.8</v>
      </c>
      <c r="S284" s="144">
        <v>18.8</v>
      </c>
      <c r="T284" s="144">
        <v>18.8</v>
      </c>
      <c r="U284" s="144">
        <v>18.8</v>
      </c>
      <c r="V284" s="144">
        <v>18.8</v>
      </c>
      <c r="W284" s="144">
        <v>18.8</v>
      </c>
      <c r="X284" s="144">
        <v>18.8</v>
      </c>
      <c r="Y284" s="259">
        <v>18.8</v>
      </c>
      <c r="Z284" s="10">
        <v>3.9</v>
      </c>
      <c r="AA284" s="10">
        <v>3.9</v>
      </c>
      <c r="AB284" s="10">
        <v>3.9</v>
      </c>
      <c r="AC284" s="10">
        <v>3.9</v>
      </c>
      <c r="AD284" s="10">
        <v>3.9</v>
      </c>
      <c r="AE284" s="10">
        <v>3.9</v>
      </c>
      <c r="AF284" s="10">
        <v>3.9</v>
      </c>
      <c r="AG284" s="10">
        <v>3.9</v>
      </c>
      <c r="AH284" s="10">
        <v>3.9</v>
      </c>
      <c r="AI284" s="10">
        <v>3.9</v>
      </c>
      <c r="AJ284" s="10">
        <v>3.9</v>
      </c>
      <c r="AK284" s="257">
        <v>3.9</v>
      </c>
      <c r="AL284" s="5">
        <v>160</v>
      </c>
      <c r="AM284" s="118">
        <f t="shared" si="59"/>
        <v>624</v>
      </c>
      <c r="AN284" s="5">
        <v>200</v>
      </c>
      <c r="AO284" s="118">
        <f t="shared" si="57"/>
        <v>780</v>
      </c>
      <c r="AP284" s="5">
        <v>0</v>
      </c>
      <c r="AQ284" s="127">
        <f t="shared" si="47"/>
        <v>0</v>
      </c>
      <c r="AR284" s="5">
        <v>0</v>
      </c>
      <c r="AS284" s="118">
        <f t="shared" si="48"/>
        <v>0</v>
      </c>
      <c r="AT284" s="5">
        <v>200</v>
      </c>
      <c r="AU284" s="118">
        <f t="shared" si="58"/>
        <v>780</v>
      </c>
      <c r="AV284" s="5">
        <v>0</v>
      </c>
      <c r="AW284" s="127">
        <f t="shared" si="50"/>
        <v>0</v>
      </c>
      <c r="AX284" s="105">
        <v>0</v>
      </c>
      <c r="AY284" s="118">
        <f t="shared" si="51"/>
        <v>0</v>
      </c>
      <c r="AZ284" s="105">
        <v>0</v>
      </c>
      <c r="BA284" s="118">
        <f t="shared" si="52"/>
        <v>0</v>
      </c>
      <c r="BB284" s="5">
        <v>0</v>
      </c>
      <c r="BC284" s="127">
        <f t="shared" si="53"/>
        <v>0</v>
      </c>
      <c r="BD284" s="105">
        <v>0</v>
      </c>
      <c r="BE284" s="118">
        <f t="shared" si="54"/>
        <v>0</v>
      </c>
      <c r="BF284" s="5">
        <v>0</v>
      </c>
      <c r="BG284" s="118">
        <f t="shared" si="55"/>
        <v>0</v>
      </c>
      <c r="BH284" s="5">
        <v>0</v>
      </c>
      <c r="BI284" s="127">
        <f t="shared" si="56"/>
        <v>0</v>
      </c>
      <c r="BJ284" s="220" t="s">
        <v>813</v>
      </c>
      <c r="BL284" s="1" t="s">
        <v>539</v>
      </c>
      <c r="BM284" s="1" t="s">
        <v>814</v>
      </c>
      <c r="BN284" s="233"/>
      <c r="BO284" s="234"/>
    </row>
    <row r="285" spans="1:67">
      <c r="A285" s="219" t="s">
        <v>823</v>
      </c>
      <c r="B285" s="214" t="s">
        <v>267</v>
      </c>
      <c r="C285" s="66" t="s">
        <v>175</v>
      </c>
      <c r="D285" s="287"/>
      <c r="E285" s="103" t="s">
        <v>176</v>
      </c>
      <c r="F285" s="282"/>
      <c r="G285" s="71" t="s">
        <v>202</v>
      </c>
      <c r="H285" s="70" t="s">
        <v>314</v>
      </c>
      <c r="I285" s="70" t="s">
        <v>184</v>
      </c>
      <c r="J285" s="71" t="s">
        <v>283</v>
      </c>
      <c r="K285" s="70" t="s">
        <v>815</v>
      </c>
      <c r="L285" s="69" t="s">
        <v>213</v>
      </c>
      <c r="M285" s="180" t="s">
        <v>562</v>
      </c>
      <c r="N285" s="144">
        <v>18.8</v>
      </c>
      <c r="O285" s="144">
        <v>18.8</v>
      </c>
      <c r="P285" s="144">
        <v>18.8</v>
      </c>
      <c r="Q285" s="144">
        <v>18.8</v>
      </c>
      <c r="R285" s="144">
        <v>18.8</v>
      </c>
      <c r="S285" s="144">
        <v>18.8</v>
      </c>
      <c r="T285" s="144">
        <v>18.8</v>
      </c>
      <c r="U285" s="144">
        <v>18.8</v>
      </c>
      <c r="V285" s="144">
        <v>18.8</v>
      </c>
      <c r="W285" s="144">
        <v>18.8</v>
      </c>
      <c r="X285" s="144">
        <v>18.8</v>
      </c>
      <c r="Y285" s="259">
        <v>18.8</v>
      </c>
      <c r="Z285" s="10">
        <v>3.9</v>
      </c>
      <c r="AA285" s="10">
        <v>3.9</v>
      </c>
      <c r="AB285" s="10">
        <v>3.9</v>
      </c>
      <c r="AC285" s="10">
        <v>3.9</v>
      </c>
      <c r="AD285" s="10">
        <v>3.9</v>
      </c>
      <c r="AE285" s="10">
        <v>3.9</v>
      </c>
      <c r="AF285" s="10">
        <v>3.9</v>
      </c>
      <c r="AG285" s="10">
        <v>3.9</v>
      </c>
      <c r="AH285" s="10">
        <v>3.9</v>
      </c>
      <c r="AI285" s="10">
        <v>3.9</v>
      </c>
      <c r="AJ285" s="10">
        <v>3.9</v>
      </c>
      <c r="AK285" s="257">
        <v>3.9</v>
      </c>
      <c r="AL285" s="5">
        <v>0</v>
      </c>
      <c r="AM285" s="118">
        <f t="shared" si="59"/>
        <v>0</v>
      </c>
      <c r="AN285" s="5">
        <v>0</v>
      </c>
      <c r="AO285" s="118">
        <f t="shared" si="57"/>
        <v>0</v>
      </c>
      <c r="AP285" s="5">
        <v>0</v>
      </c>
      <c r="AQ285" s="127">
        <f t="shared" si="47"/>
        <v>0</v>
      </c>
      <c r="AR285" s="5">
        <v>0</v>
      </c>
      <c r="AS285" s="118">
        <f t="shared" si="48"/>
        <v>0</v>
      </c>
      <c r="AT285" s="5">
        <v>0</v>
      </c>
      <c r="AU285" s="118">
        <f t="shared" si="58"/>
        <v>0</v>
      </c>
      <c r="AV285" s="5">
        <v>0</v>
      </c>
      <c r="AW285" s="127">
        <f t="shared" si="50"/>
        <v>0</v>
      </c>
      <c r="AX285" s="105">
        <v>0</v>
      </c>
      <c r="AY285" s="118">
        <f t="shared" si="51"/>
        <v>0</v>
      </c>
      <c r="AZ285" s="105">
        <v>0</v>
      </c>
      <c r="BA285" s="118">
        <f t="shared" si="52"/>
        <v>0</v>
      </c>
      <c r="BB285" s="5">
        <v>0</v>
      </c>
      <c r="BC285" s="127">
        <f t="shared" si="53"/>
        <v>0</v>
      </c>
      <c r="BD285" s="105">
        <v>0</v>
      </c>
      <c r="BE285" s="118">
        <f t="shared" si="54"/>
        <v>0</v>
      </c>
      <c r="BF285" s="5">
        <v>0</v>
      </c>
      <c r="BG285" s="118">
        <f t="shared" si="55"/>
        <v>0</v>
      </c>
      <c r="BH285" s="5">
        <v>0</v>
      </c>
      <c r="BI285" s="127">
        <f t="shared" si="56"/>
        <v>0</v>
      </c>
      <c r="BJ285" s="220" t="s">
        <v>816</v>
      </c>
      <c r="BL285" s="1" t="s">
        <v>539</v>
      </c>
      <c r="BM285" s="1" t="s">
        <v>817</v>
      </c>
      <c r="BN285" s="233"/>
      <c r="BO285" s="234"/>
    </row>
    <row r="286" spans="1:67">
      <c r="A286" s="219" t="s">
        <v>823</v>
      </c>
      <c r="B286" s="214" t="s">
        <v>267</v>
      </c>
      <c r="C286" s="66" t="s">
        <v>175</v>
      </c>
      <c r="D286" s="287"/>
      <c r="E286" s="103" t="s">
        <v>176</v>
      </c>
      <c r="F286" s="282"/>
      <c r="G286" s="71" t="s">
        <v>202</v>
      </c>
      <c r="H286" s="70" t="s">
        <v>314</v>
      </c>
      <c r="I286" s="70" t="s">
        <v>184</v>
      </c>
      <c r="J286" s="71" t="s">
        <v>283</v>
      </c>
      <c r="K286" s="70" t="s">
        <v>818</v>
      </c>
      <c r="L286" s="69" t="s">
        <v>213</v>
      </c>
      <c r="M286" s="180" t="s">
        <v>562</v>
      </c>
      <c r="N286" s="144">
        <v>18.8</v>
      </c>
      <c r="O286" s="144">
        <v>18.8</v>
      </c>
      <c r="P286" s="144">
        <v>18.8</v>
      </c>
      <c r="Q286" s="144">
        <v>18.8</v>
      </c>
      <c r="R286" s="144">
        <v>18.8</v>
      </c>
      <c r="S286" s="144">
        <v>18.8</v>
      </c>
      <c r="T286" s="144">
        <v>18.8</v>
      </c>
      <c r="U286" s="144">
        <v>18.8</v>
      </c>
      <c r="V286" s="144">
        <v>18.8</v>
      </c>
      <c r="W286" s="144">
        <v>18.8</v>
      </c>
      <c r="X286" s="144">
        <v>18.8</v>
      </c>
      <c r="Y286" s="259">
        <v>18.8</v>
      </c>
      <c r="Z286" s="10">
        <v>3.9</v>
      </c>
      <c r="AA286" s="10">
        <v>3.9</v>
      </c>
      <c r="AB286" s="10">
        <v>3.9</v>
      </c>
      <c r="AC286" s="10">
        <v>3.9</v>
      </c>
      <c r="AD286" s="10">
        <v>3.9</v>
      </c>
      <c r="AE286" s="10">
        <v>3.9</v>
      </c>
      <c r="AF286" s="10">
        <v>3.9</v>
      </c>
      <c r="AG286" s="10">
        <v>3.9</v>
      </c>
      <c r="AH286" s="10">
        <v>3.9</v>
      </c>
      <c r="AI286" s="10">
        <v>3.9</v>
      </c>
      <c r="AJ286" s="10">
        <v>3.9</v>
      </c>
      <c r="AK286" s="257">
        <v>3.9</v>
      </c>
      <c r="AL286" s="5">
        <v>0</v>
      </c>
      <c r="AM286" s="118">
        <f t="shared" si="59"/>
        <v>0</v>
      </c>
      <c r="AN286" s="5">
        <v>0</v>
      </c>
      <c r="AO286" s="118">
        <f t="shared" si="57"/>
        <v>0</v>
      </c>
      <c r="AP286" s="5">
        <v>34</v>
      </c>
      <c r="AQ286" s="127">
        <f t="shared" si="47"/>
        <v>132.6</v>
      </c>
      <c r="AR286" s="5">
        <v>0</v>
      </c>
      <c r="AS286" s="118">
        <f t="shared" si="48"/>
        <v>0</v>
      </c>
      <c r="AT286" s="5">
        <v>120</v>
      </c>
      <c r="AU286" s="118">
        <f t="shared" si="58"/>
        <v>468</v>
      </c>
      <c r="AV286" s="5">
        <v>0</v>
      </c>
      <c r="AW286" s="127">
        <f t="shared" si="50"/>
        <v>0</v>
      </c>
      <c r="AX286" s="105">
        <v>0</v>
      </c>
      <c r="AY286" s="118">
        <f t="shared" si="51"/>
        <v>0</v>
      </c>
      <c r="AZ286" s="105">
        <v>0</v>
      </c>
      <c r="BA286" s="118">
        <f t="shared" si="52"/>
        <v>0</v>
      </c>
      <c r="BB286" s="5">
        <v>0</v>
      </c>
      <c r="BC286" s="127">
        <f t="shared" si="53"/>
        <v>0</v>
      </c>
      <c r="BD286" s="105">
        <v>0</v>
      </c>
      <c r="BE286" s="118">
        <f t="shared" si="54"/>
        <v>0</v>
      </c>
      <c r="BF286" s="5">
        <v>0</v>
      </c>
      <c r="BG286" s="118">
        <f t="shared" si="55"/>
        <v>0</v>
      </c>
      <c r="BH286" s="5">
        <v>0</v>
      </c>
      <c r="BI286" s="127">
        <f t="shared" si="56"/>
        <v>0</v>
      </c>
      <c r="BJ286" s="220" t="s">
        <v>819</v>
      </c>
      <c r="BL286" s="1" t="s">
        <v>539</v>
      </c>
      <c r="BM286" s="1" t="s">
        <v>820</v>
      </c>
      <c r="BN286" s="233"/>
      <c r="BO286" s="234"/>
    </row>
    <row r="287" spans="1:67">
      <c r="A287" s="218" t="s">
        <v>823</v>
      </c>
      <c r="B287" s="215"/>
      <c r="C287" s="57" t="s">
        <v>175</v>
      </c>
      <c r="D287" s="288"/>
      <c r="E287" s="104" t="s">
        <v>176</v>
      </c>
      <c r="F287" s="282"/>
      <c r="G287" s="56"/>
      <c r="H287" s="54"/>
      <c r="I287" s="54"/>
      <c r="J287" s="55"/>
      <c r="K287" s="54"/>
      <c r="L287" s="53"/>
      <c r="M287" s="52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258"/>
      <c r="Z287" s="48"/>
      <c r="AA287" s="48"/>
      <c r="AB287" s="48"/>
      <c r="AC287" s="48"/>
      <c r="AD287" s="48"/>
      <c r="AE287" s="48"/>
      <c r="AF287" s="48"/>
      <c r="AG287" s="48"/>
      <c r="AH287" s="48"/>
      <c r="AI287" s="48"/>
      <c r="AJ287" s="48"/>
      <c r="AK287" s="262"/>
      <c r="AL287" s="23"/>
      <c r="AM287" s="184">
        <f t="shared" si="59"/>
        <v>0</v>
      </c>
      <c r="AN287" s="23"/>
      <c r="AO287" s="184">
        <f t="shared" si="57"/>
        <v>0</v>
      </c>
      <c r="AP287" s="23"/>
      <c r="AQ287" s="185">
        <f t="shared" si="47"/>
        <v>0</v>
      </c>
      <c r="AR287" s="23"/>
      <c r="AS287" s="184">
        <f t="shared" si="48"/>
        <v>0</v>
      </c>
      <c r="AT287" s="23"/>
      <c r="AU287" s="184">
        <f t="shared" si="58"/>
        <v>0</v>
      </c>
      <c r="AV287" s="23"/>
      <c r="AW287" s="185">
        <f t="shared" si="50"/>
        <v>0</v>
      </c>
      <c r="AX287" s="50"/>
      <c r="AY287" s="184">
        <f t="shared" si="51"/>
        <v>0</v>
      </c>
      <c r="AZ287" s="50">
        <v>0</v>
      </c>
      <c r="BA287" s="184">
        <f t="shared" si="52"/>
        <v>0</v>
      </c>
      <c r="BB287" s="23">
        <v>0</v>
      </c>
      <c r="BC287" s="185">
        <f t="shared" si="53"/>
        <v>0</v>
      </c>
      <c r="BD287" s="50">
        <v>0</v>
      </c>
      <c r="BE287" s="184">
        <f t="shared" si="54"/>
        <v>0</v>
      </c>
      <c r="BF287" s="23">
        <v>0</v>
      </c>
      <c r="BG287" s="184">
        <f t="shared" si="55"/>
        <v>0</v>
      </c>
      <c r="BH287" s="23">
        <v>0</v>
      </c>
      <c r="BI287" s="185">
        <f t="shared" si="56"/>
        <v>0</v>
      </c>
      <c r="BN287" s="233"/>
      <c r="BO287" s="234"/>
    </row>
  </sheetData>
  <mergeCells count="12">
    <mergeCell ref="D232:D287"/>
    <mergeCell ref="F232:F269"/>
    <mergeCell ref="F270:F280"/>
    <mergeCell ref="F281:F282"/>
    <mergeCell ref="F283:F287"/>
    <mergeCell ref="D218:D231"/>
    <mergeCell ref="F218:F231"/>
    <mergeCell ref="D3:D88"/>
    <mergeCell ref="F3:F72"/>
    <mergeCell ref="F73:F88"/>
    <mergeCell ref="D89:D217"/>
    <mergeCell ref="F89:F217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17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BB62D9C7AC4249BB50D4F119F8FF50" ma:contentTypeVersion="14" ma:contentTypeDescription="Create a new document." ma:contentTypeScope="" ma:versionID="dab14850594d04436880d3464ba468af">
  <xsd:schema xmlns:xsd="http://www.w3.org/2001/XMLSchema" xmlns:xs="http://www.w3.org/2001/XMLSchema" xmlns:p="http://schemas.microsoft.com/office/2006/metadata/properties" xmlns:ns2="3ddbdfa1-be50-4b7a-b66f-14c4748c8596" xmlns:ns3="2df2684a-2237-489e-8795-1f946593e18f" targetNamespace="http://schemas.microsoft.com/office/2006/metadata/properties" ma:root="true" ma:fieldsID="eb8d2f689c1774a9065a5e99593f72e7" ns2:_="" ns3:_="">
    <xsd:import namespace="3ddbdfa1-be50-4b7a-b66f-14c4748c8596"/>
    <xsd:import namespace="2df2684a-2237-489e-8795-1f946593e1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dbdfa1-be50-4b7a-b66f-14c4748c85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97f403b-2b63-43ad-9c62-fa967f2a15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f2684a-2237-489e-8795-1f946593e18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6327b89-34c4-4568-b2a7-da91744d4bac}" ma:internalName="TaxCatchAll" ma:showField="CatchAllData" ma:web="2df2684a-2237-489e-8795-1f946593e1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dbdfa1-be50-4b7a-b66f-14c4748c8596">
      <Terms xmlns="http://schemas.microsoft.com/office/infopath/2007/PartnerControls"/>
    </lcf76f155ced4ddcb4097134ff3c332f>
    <TaxCatchAll xmlns="2df2684a-2237-489e-8795-1f946593e18f" xsi:nil="true"/>
  </documentManagement>
</p:properties>
</file>

<file path=customXml/itemProps1.xml><?xml version="1.0" encoding="utf-8"?>
<ds:datastoreItem xmlns:ds="http://schemas.openxmlformats.org/officeDocument/2006/customXml" ds:itemID="{1687D9C2-3DE9-4D6C-AE16-92BD622C670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7D43DEB-3A2A-4E57-ABBE-7E77A4D127D1}"/>
</file>

<file path=customXml/itemProps3.xml><?xml version="1.0" encoding="utf-8"?>
<ds:datastoreItem xmlns:ds="http://schemas.openxmlformats.org/officeDocument/2006/customXml" ds:itemID="{92057BA8-044C-4CA9-BA1B-A8FE90330D20}">
  <ds:schemaRefs>
    <ds:schemaRef ds:uri="http://schemas.microsoft.com/office/2006/documentManagement/types"/>
    <ds:schemaRef ds:uri="1c3f0a77-8646-483b-8825-c5c42cfc4399"/>
    <ds:schemaRef ds:uri="cf5e9047-9e24-4a09-8a6c-8f6e0987852d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已命名的範圍</vt:lpstr>
      </vt:variant>
      <vt:variant>
        <vt:i4>4</vt:i4>
      </vt:variant>
    </vt:vector>
  </HeadingPairs>
  <TitlesOfParts>
    <vt:vector size="17" baseType="lpstr">
      <vt:lpstr>說明頁_更新版</vt:lpstr>
      <vt:lpstr>FY23 Summary_1</vt:lpstr>
      <vt:lpstr>FY23 Summary_2</vt:lpstr>
      <vt:lpstr>FY23</vt:lpstr>
      <vt:lpstr>FY24 Summary_1</vt:lpstr>
      <vt:lpstr>FY24 Summary_2</vt:lpstr>
      <vt:lpstr>FY24</vt:lpstr>
      <vt:lpstr>FY25 Summary_1 </vt:lpstr>
      <vt:lpstr>FY25 Summary_2 </vt:lpstr>
      <vt:lpstr>FY25</vt:lpstr>
      <vt:lpstr>FY26 Summary_1 </vt:lpstr>
      <vt:lpstr>FY26 Summary_2 </vt:lpstr>
      <vt:lpstr>FY26</vt:lpstr>
      <vt:lpstr>'FY23'!Print_Area</vt:lpstr>
      <vt:lpstr>'FY24'!Print_Area</vt:lpstr>
      <vt:lpstr>'FY25'!Print_Area</vt:lpstr>
      <vt:lpstr>'FY26'!Print_Area</vt:lpstr>
    </vt:vector>
  </TitlesOfParts>
  <Manager/>
  <Company>DARFON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nicolle hsu</dc:creator>
  <cp:keywords/>
  <dc:description/>
  <cp:lastModifiedBy>Fay Yang</cp:lastModifiedBy>
  <cp:revision/>
  <dcterms:created xsi:type="dcterms:W3CDTF">2016-11-29T03:05:40Z</dcterms:created>
  <dcterms:modified xsi:type="dcterms:W3CDTF">2026-04-07T03:38:48Z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0x010100C7BB62D9C7AC4249BB50D4F119F8FF50</vt:lpwstr>
  </property>
  <property fmtid="{D5CDD505-2E9C-101B-9397-08002B2CF9AE}" pid="3" name="MediaServiceImageTags">
    <vt:lpwstr/>
  </property>
</Properties>
</file>