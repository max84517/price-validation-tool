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Customers\HP\Rebate\Rebate &amp; Spending report\"/>
    </mc:Choice>
  </mc:AlternateContent>
  <xr:revisionPtr revIDLastSave="0" documentId="13_ncr:1_{8ED4F37C-3552-4404-A19E-FF384E90562C}" xr6:coauthVersionLast="47" xr6:coauthVersionMax="47" xr10:uidLastSave="{00000000-0000-0000-0000-000000000000}"/>
  <bookViews>
    <workbookView xWindow="-110" yWindow="-110" windowWidth="19420" windowHeight="11500" tabRatio="606" activeTab="3" xr2:uid="{00000000-000D-0000-FFFF-FFFF00000000}"/>
  </bookViews>
  <sheets>
    <sheet name="說明頁_更新版" sheetId="15" r:id="rId1"/>
    <sheet name="FY26 Summary_1" sheetId="16" r:id="rId2"/>
    <sheet name="FY26 Summary_2" sheetId="17" r:id="rId3"/>
    <sheet name="FY26" sheetId="18" r:id="rId4"/>
  </sheets>
  <definedNames>
    <definedName name="_xlnm._FilterDatabase" localSheetId="3" hidden="1">'FY26'!$A$2:$BM$429</definedName>
    <definedName name="Reg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89" i="18" l="1"/>
  <c r="BI190" i="18"/>
  <c r="BI191" i="18"/>
  <c r="BI192" i="18"/>
  <c r="BI193" i="18"/>
  <c r="BI194" i="18"/>
  <c r="BG190" i="18"/>
  <c r="BG191" i="18"/>
  <c r="BG192" i="18"/>
  <c r="BG193" i="18"/>
  <c r="BG194" i="18"/>
  <c r="BE190" i="18"/>
  <c r="BE191" i="18"/>
  <c r="BE192" i="18"/>
  <c r="BE193" i="18"/>
  <c r="BC190" i="18"/>
  <c r="BC191" i="18"/>
  <c r="AY190" i="18"/>
  <c r="AY191" i="18"/>
  <c r="BA189" i="18"/>
  <c r="BA190" i="18"/>
  <c r="BA191" i="18"/>
  <c r="AQ223" i="18"/>
  <c r="AO223" i="18"/>
  <c r="AM223" i="18"/>
  <c r="BG223" i="18" s="1"/>
  <c r="AQ222" i="18"/>
  <c r="AO222" i="18"/>
  <c r="AM222" i="18"/>
  <c r="BI223" i="18"/>
  <c r="BE223" i="18"/>
  <c r="BI222" i="18"/>
  <c r="BG222" i="18"/>
  <c r="BE222" i="18"/>
  <c r="AY222" i="18"/>
  <c r="AY223" i="18"/>
  <c r="BA222" i="18"/>
  <c r="BA223" i="18"/>
  <c r="BC222" i="18"/>
  <c r="BC223" i="18"/>
  <c r="BI143" i="18"/>
  <c r="BG143" i="18"/>
  <c r="BE143" i="18"/>
  <c r="BC143" i="18"/>
  <c r="BA143" i="18"/>
  <c r="AY143" i="18"/>
  <c r="AW143" i="18"/>
  <c r="AU143" i="18"/>
  <c r="AS143" i="18"/>
  <c r="AQ143" i="18"/>
  <c r="AO143" i="18"/>
  <c r="AM143" i="18"/>
  <c r="BI142" i="18"/>
  <c r="BG142" i="18"/>
  <c r="BE142" i="18"/>
  <c r="BC142" i="18"/>
  <c r="BA142" i="18"/>
  <c r="AY142" i="18"/>
  <c r="AW142" i="18"/>
  <c r="AU142" i="18"/>
  <c r="AS142" i="18"/>
  <c r="AQ142" i="18"/>
  <c r="AO142" i="18"/>
  <c r="AM142" i="18"/>
  <c r="BI141" i="18"/>
  <c r="BG141" i="18"/>
  <c r="BE141" i="18"/>
  <c r="BC141" i="18"/>
  <c r="BA141" i="18"/>
  <c r="AY141" i="18"/>
  <c r="AW141" i="18"/>
  <c r="AU141" i="18"/>
  <c r="AS141" i="18"/>
  <c r="AQ141" i="18"/>
  <c r="AO141" i="18"/>
  <c r="AM141" i="18"/>
  <c r="BI140" i="18"/>
  <c r="BG140" i="18"/>
  <c r="BE140" i="18"/>
  <c r="BC140" i="18"/>
  <c r="BA140" i="18"/>
  <c r="AY140" i="18"/>
  <c r="AW140" i="18"/>
  <c r="AU140" i="18"/>
  <c r="AS140" i="18"/>
  <c r="AQ140" i="18"/>
  <c r="AO140" i="18"/>
  <c r="AM140" i="18"/>
  <c r="BI139" i="18"/>
  <c r="BG139" i="18"/>
  <c r="BE139" i="18"/>
  <c r="BC139" i="18"/>
  <c r="BA139" i="18"/>
  <c r="AY139" i="18"/>
  <c r="AW139" i="18"/>
  <c r="AU139" i="18"/>
  <c r="AS139" i="18"/>
  <c r="AQ139" i="18"/>
  <c r="AO139" i="18"/>
  <c r="AM139" i="18"/>
  <c r="BI138" i="18"/>
  <c r="BG138" i="18"/>
  <c r="BE138" i="18"/>
  <c r="BC138" i="18"/>
  <c r="BA138" i="18"/>
  <c r="AY138" i="18"/>
  <c r="AW138" i="18"/>
  <c r="AU138" i="18"/>
  <c r="AS138" i="18"/>
  <c r="AQ138" i="18"/>
  <c r="AO138" i="18"/>
  <c r="AM138" i="18"/>
  <c r="BI137" i="18"/>
  <c r="BG137" i="18"/>
  <c r="BE137" i="18"/>
  <c r="BC137" i="18"/>
  <c r="BA137" i="18"/>
  <c r="AY137" i="18"/>
  <c r="AW137" i="18"/>
  <c r="AU137" i="18"/>
  <c r="AS137" i="18"/>
  <c r="AQ137" i="18"/>
  <c r="AO137" i="18"/>
  <c r="AM137" i="18"/>
  <c r="BI136" i="18"/>
  <c r="BG136" i="18"/>
  <c r="BE136" i="18"/>
  <c r="BC136" i="18"/>
  <c r="BA136" i="18"/>
  <c r="AY136" i="18"/>
  <c r="AW136" i="18"/>
  <c r="AU136" i="18"/>
  <c r="AS136" i="18"/>
  <c r="AQ136" i="18"/>
  <c r="AO136" i="18"/>
  <c r="AM136" i="18"/>
  <c r="BI135" i="18"/>
  <c r="BG135" i="18"/>
  <c r="BE135" i="18"/>
  <c r="BC135" i="18"/>
  <c r="BA135" i="18"/>
  <c r="AY135" i="18"/>
  <c r="AW135" i="18"/>
  <c r="AU135" i="18"/>
  <c r="AS135" i="18"/>
  <c r="AQ135" i="18"/>
  <c r="AO135" i="18"/>
  <c r="AM135" i="18"/>
  <c r="BI134" i="18"/>
  <c r="BG134" i="18"/>
  <c r="BE134" i="18"/>
  <c r="BC134" i="18"/>
  <c r="BA134" i="18"/>
  <c r="AY134" i="18"/>
  <c r="AW134" i="18"/>
  <c r="AU134" i="18"/>
  <c r="AS134" i="18"/>
  <c r="AQ134" i="18"/>
  <c r="AO134" i="18"/>
  <c r="AM134" i="18"/>
  <c r="BI133" i="18"/>
  <c r="BG133" i="18"/>
  <c r="BE133" i="18"/>
  <c r="BC133" i="18"/>
  <c r="BA133" i="18"/>
  <c r="AY133" i="18"/>
  <c r="AW133" i="18"/>
  <c r="AU133" i="18"/>
  <c r="AS133" i="18"/>
  <c r="AQ133" i="18"/>
  <c r="AO133" i="18"/>
  <c r="AM133" i="18"/>
  <c r="BI132" i="18"/>
  <c r="BG132" i="18"/>
  <c r="BE132" i="18"/>
  <c r="BC132" i="18"/>
  <c r="BA132" i="18"/>
  <c r="AY132" i="18"/>
  <c r="AW132" i="18"/>
  <c r="AU132" i="18"/>
  <c r="AS132" i="18"/>
  <c r="AQ132" i="18"/>
  <c r="AO132" i="18"/>
  <c r="AM132" i="18"/>
  <c r="AK132" i="18"/>
  <c r="AJ132" i="18"/>
  <c r="AI132" i="18"/>
  <c r="AH132" i="18"/>
  <c r="AG132" i="18"/>
  <c r="AF132" i="18"/>
  <c r="AE132" i="18"/>
  <c r="AD132" i="18"/>
  <c r="BI131" i="18"/>
  <c r="BG131" i="18"/>
  <c r="BE131" i="18"/>
  <c r="BC131" i="18"/>
  <c r="BA131" i="18"/>
  <c r="AY131" i="18"/>
  <c r="AW131" i="18"/>
  <c r="AU131" i="18"/>
  <c r="AS131" i="18"/>
  <c r="AQ131" i="18"/>
  <c r="AO131" i="18"/>
  <c r="AM131" i="18"/>
  <c r="BI130" i="18"/>
  <c r="BG130" i="18"/>
  <c r="BE130" i="18"/>
  <c r="BC130" i="18"/>
  <c r="BA130" i="18"/>
  <c r="AY130" i="18"/>
  <c r="AW130" i="18"/>
  <c r="AU130" i="18"/>
  <c r="AS130" i="18"/>
  <c r="AQ130" i="18"/>
  <c r="AO130" i="18"/>
  <c r="AM130" i="18"/>
  <c r="BI129" i="18"/>
  <c r="BG129" i="18"/>
  <c r="BE129" i="18"/>
  <c r="BC129" i="18"/>
  <c r="BA129" i="18"/>
  <c r="AY129" i="18"/>
  <c r="AW129" i="18"/>
  <c r="AU129" i="18"/>
  <c r="AS129" i="18"/>
  <c r="AQ129" i="18"/>
  <c r="AO129" i="18"/>
  <c r="AM129" i="18"/>
  <c r="BI128" i="18"/>
  <c r="BG128" i="18"/>
  <c r="BE128" i="18"/>
  <c r="BC128" i="18"/>
  <c r="BA128" i="18"/>
  <c r="AY128" i="18"/>
  <c r="AW128" i="18"/>
  <c r="AU128" i="18"/>
  <c r="AS128" i="18"/>
  <c r="AQ128" i="18"/>
  <c r="AO128" i="18"/>
  <c r="AM128" i="18"/>
  <c r="BI127" i="18"/>
  <c r="BG127" i="18"/>
  <c r="BE127" i="18"/>
  <c r="BC127" i="18"/>
  <c r="BA127" i="18"/>
  <c r="AY127" i="18"/>
  <c r="AW127" i="18"/>
  <c r="AU127" i="18"/>
  <c r="AS127" i="18"/>
  <c r="AQ127" i="18"/>
  <c r="AO127" i="18"/>
  <c r="AM127" i="18"/>
  <c r="BI126" i="18"/>
  <c r="BG126" i="18"/>
  <c r="BE126" i="18"/>
  <c r="BC126" i="18"/>
  <c r="BA126" i="18"/>
  <c r="AY126" i="18"/>
  <c r="AW126" i="18"/>
  <c r="AU126" i="18"/>
  <c r="AS126" i="18"/>
  <c r="AQ126" i="18"/>
  <c r="AO126" i="18"/>
  <c r="AM126" i="18"/>
  <c r="BI125" i="18"/>
  <c r="BG125" i="18"/>
  <c r="BE125" i="18"/>
  <c r="BC125" i="18"/>
  <c r="BA125" i="18"/>
  <c r="AY125" i="18"/>
  <c r="AW125" i="18"/>
  <c r="AU125" i="18"/>
  <c r="AS125" i="18"/>
  <c r="AQ125" i="18"/>
  <c r="AO125" i="18"/>
  <c r="AM125" i="18"/>
  <c r="BI124" i="18"/>
  <c r="BG124" i="18"/>
  <c r="BE124" i="18"/>
  <c r="BC124" i="18"/>
  <c r="BA124" i="18"/>
  <c r="AY124" i="18"/>
  <c r="AW124" i="18"/>
  <c r="AU124" i="18"/>
  <c r="AS124" i="18"/>
  <c r="AQ124" i="18"/>
  <c r="AO124" i="18"/>
  <c r="AM124" i="18"/>
  <c r="BI123" i="18"/>
  <c r="BG123" i="18"/>
  <c r="BE123" i="18"/>
  <c r="BC123" i="18"/>
  <c r="BA123" i="18"/>
  <c r="AY123" i="18"/>
  <c r="AW123" i="18"/>
  <c r="AU123" i="18"/>
  <c r="AS123" i="18"/>
  <c r="AQ123" i="18"/>
  <c r="AO123" i="18"/>
  <c r="AM123" i="18"/>
  <c r="BI122" i="18"/>
  <c r="BG122" i="18"/>
  <c r="BE122" i="18"/>
  <c r="BC122" i="18"/>
  <c r="BA122" i="18"/>
  <c r="AY122" i="18"/>
  <c r="AW122" i="18"/>
  <c r="AU122" i="18"/>
  <c r="AS122" i="18"/>
  <c r="AQ122" i="18"/>
  <c r="AO122" i="18"/>
  <c r="AM122" i="18"/>
  <c r="BI121" i="18"/>
  <c r="BG121" i="18"/>
  <c r="BE121" i="18"/>
  <c r="BC121" i="18"/>
  <c r="BA121" i="18"/>
  <c r="AY121" i="18"/>
  <c r="AW121" i="18"/>
  <c r="AU121" i="18"/>
  <c r="AS121" i="18"/>
  <c r="AQ121" i="18"/>
  <c r="AO121" i="18"/>
  <c r="AM121" i="18"/>
  <c r="BI120" i="18"/>
  <c r="BG120" i="18"/>
  <c r="BE120" i="18"/>
  <c r="BC120" i="18"/>
  <c r="BA120" i="18"/>
  <c r="AY120" i="18"/>
  <c r="AW120" i="18"/>
  <c r="AU120" i="18"/>
  <c r="AS120" i="18"/>
  <c r="AQ120" i="18"/>
  <c r="AO120" i="18"/>
  <c r="AM120" i="18"/>
  <c r="BI119" i="18"/>
  <c r="BG119" i="18"/>
  <c r="BE119" i="18"/>
  <c r="BC119" i="18"/>
  <c r="BA119" i="18"/>
  <c r="AY119" i="18"/>
  <c r="AW119" i="18"/>
  <c r="AU119" i="18"/>
  <c r="AS119" i="18"/>
  <c r="AQ119" i="18"/>
  <c r="AO119" i="18"/>
  <c r="AM119" i="18"/>
  <c r="BI118" i="18"/>
  <c r="BG118" i="18"/>
  <c r="BE118" i="18"/>
  <c r="BC118" i="18"/>
  <c r="BA118" i="18"/>
  <c r="AY118" i="18"/>
  <c r="AW118" i="18"/>
  <c r="AU118" i="18"/>
  <c r="AS118" i="18"/>
  <c r="AQ118" i="18"/>
  <c r="AO118" i="18"/>
  <c r="AM118" i="18"/>
  <c r="BI117" i="18"/>
  <c r="BG117" i="18"/>
  <c r="BE117" i="18"/>
  <c r="BC117" i="18"/>
  <c r="BA117" i="18"/>
  <c r="AY117" i="18"/>
  <c r="AW117" i="18"/>
  <c r="AU117" i="18"/>
  <c r="AS117" i="18"/>
  <c r="AQ117" i="18"/>
  <c r="AO117" i="18"/>
  <c r="AM117" i="18"/>
  <c r="BI116" i="18"/>
  <c r="BG116" i="18"/>
  <c r="BE116" i="18"/>
  <c r="BC116" i="18"/>
  <c r="BA116" i="18"/>
  <c r="AY116" i="18"/>
  <c r="AW116" i="18"/>
  <c r="AU116" i="18"/>
  <c r="AS116" i="18"/>
  <c r="AQ116" i="18"/>
  <c r="AO116" i="18"/>
  <c r="AM116" i="18"/>
  <c r="BI115" i="18"/>
  <c r="BG115" i="18"/>
  <c r="BE115" i="18"/>
  <c r="BC115" i="18"/>
  <c r="BA115" i="18"/>
  <c r="AY115" i="18"/>
  <c r="AW115" i="18"/>
  <c r="AU115" i="18"/>
  <c r="AS115" i="18"/>
  <c r="AQ115" i="18"/>
  <c r="AO115" i="18"/>
  <c r="AM115" i="18"/>
  <c r="BI114" i="18"/>
  <c r="BG114" i="18"/>
  <c r="BE114" i="18"/>
  <c r="BC114" i="18"/>
  <c r="BA114" i="18"/>
  <c r="AY114" i="18"/>
  <c r="AW114" i="18"/>
  <c r="AU114" i="18"/>
  <c r="AS114" i="18"/>
  <c r="AQ114" i="18"/>
  <c r="AO114" i="18"/>
  <c r="AM114" i="18"/>
  <c r="BI113" i="18"/>
  <c r="BG113" i="18"/>
  <c r="BE113" i="18"/>
  <c r="BC113" i="18"/>
  <c r="BA113" i="18"/>
  <c r="AY113" i="18"/>
  <c r="AW113" i="18"/>
  <c r="AU113" i="18"/>
  <c r="AS113" i="18"/>
  <c r="AQ113" i="18"/>
  <c r="AO113" i="18"/>
  <c r="AM113" i="18"/>
  <c r="BI112" i="18"/>
  <c r="BG112" i="18"/>
  <c r="BE112" i="18"/>
  <c r="BC112" i="18"/>
  <c r="BA112" i="18"/>
  <c r="AY112" i="18"/>
  <c r="AW112" i="18"/>
  <c r="AU112" i="18"/>
  <c r="AS112" i="18"/>
  <c r="AQ112" i="18"/>
  <c r="AO112" i="18"/>
  <c r="AM112" i="18"/>
  <c r="AK112" i="18"/>
  <c r="AJ112" i="18"/>
  <c r="AI112" i="18"/>
  <c r="AH112" i="18"/>
  <c r="AG112" i="18"/>
  <c r="AF112" i="18"/>
  <c r="AE112" i="18"/>
  <c r="AD112" i="18"/>
  <c r="Y112" i="18"/>
  <c r="X112" i="18"/>
  <c r="W112" i="18"/>
  <c r="V112" i="18"/>
  <c r="U112" i="18"/>
  <c r="T112" i="18"/>
  <c r="S112" i="18"/>
  <c r="R112" i="18"/>
  <c r="Q112" i="18"/>
  <c r="BI111" i="18"/>
  <c r="BG111" i="18"/>
  <c r="BE111" i="18"/>
  <c r="BC111" i="18"/>
  <c r="BA111" i="18"/>
  <c r="AY111" i="18"/>
  <c r="AW111" i="18"/>
  <c r="AU111" i="18"/>
  <c r="AS111" i="18"/>
  <c r="AQ111" i="18"/>
  <c r="AO111" i="18"/>
  <c r="AM111" i="18"/>
  <c r="AK111" i="18"/>
  <c r="AJ111" i="18"/>
  <c r="AI111" i="18"/>
  <c r="AH111" i="18"/>
  <c r="AG111" i="18"/>
  <c r="AF111" i="18"/>
  <c r="AE111" i="18"/>
  <c r="AD111" i="18"/>
  <c r="Q111" i="18"/>
  <c r="BI110" i="18"/>
  <c r="BG110" i="18"/>
  <c r="BE110" i="18"/>
  <c r="BC110" i="18"/>
  <c r="BA110" i="18"/>
  <c r="AY110" i="18"/>
  <c r="AW110" i="18"/>
  <c r="AU110" i="18"/>
  <c r="AS110" i="18"/>
  <c r="AQ110" i="18"/>
  <c r="AO110" i="18"/>
  <c r="AM110" i="18"/>
  <c r="AK110" i="18"/>
  <c r="AJ110" i="18"/>
  <c r="AI110" i="18"/>
  <c r="AH110" i="18"/>
  <c r="AG110" i="18"/>
  <c r="AF110" i="18"/>
  <c r="AE110" i="18"/>
  <c r="AD110" i="18"/>
  <c r="Q110" i="18"/>
  <c r="BI109" i="18"/>
  <c r="BG109" i="18"/>
  <c r="BE109" i="18"/>
  <c r="BC109" i="18"/>
  <c r="BA109" i="18"/>
  <c r="AY109" i="18"/>
  <c r="AW109" i="18"/>
  <c r="AU109" i="18"/>
  <c r="AS109" i="18"/>
  <c r="AQ109" i="18"/>
  <c r="AO109" i="18"/>
  <c r="AM109" i="18"/>
  <c r="AK109" i="18"/>
  <c r="AJ109" i="18"/>
  <c r="AI109" i="18"/>
  <c r="AH109" i="18"/>
  <c r="AG109" i="18"/>
  <c r="AF109" i="18"/>
  <c r="AE109" i="18"/>
  <c r="AD109" i="18"/>
  <c r="Q109" i="18"/>
  <c r="BI108" i="18"/>
  <c r="BG108" i="18"/>
  <c r="BE108" i="18"/>
  <c r="BC108" i="18"/>
  <c r="BA108" i="18"/>
  <c r="AY108" i="18"/>
  <c r="AW108" i="18"/>
  <c r="AU108" i="18"/>
  <c r="AS108" i="18"/>
  <c r="AQ108" i="18"/>
  <c r="AO108" i="18"/>
  <c r="AM108" i="18"/>
  <c r="AK108" i="18"/>
  <c r="AJ108" i="18"/>
  <c r="AI108" i="18"/>
  <c r="AH108" i="18"/>
  <c r="AG108" i="18"/>
  <c r="AF108" i="18"/>
  <c r="AE108" i="18"/>
  <c r="AD108" i="18"/>
  <c r="Q108" i="18"/>
  <c r="BI107" i="18"/>
  <c r="BG107" i="18"/>
  <c r="BE107" i="18"/>
  <c r="BC107" i="18"/>
  <c r="BA107" i="18"/>
  <c r="AY107" i="18"/>
  <c r="AW107" i="18"/>
  <c r="AU107" i="18"/>
  <c r="AS107" i="18"/>
  <c r="AQ107" i="18"/>
  <c r="AO107" i="18"/>
  <c r="AM107" i="18"/>
  <c r="AK107" i="18"/>
  <c r="AJ107" i="18"/>
  <c r="AI107" i="18"/>
  <c r="AH107" i="18"/>
  <c r="AG107" i="18"/>
  <c r="AF107" i="18"/>
  <c r="AE107" i="18"/>
  <c r="AD107" i="18"/>
  <c r="Q107" i="18"/>
  <c r="BI106" i="18"/>
  <c r="BG106" i="18"/>
  <c r="BE106" i="18"/>
  <c r="BC106" i="18"/>
  <c r="BA106" i="18"/>
  <c r="AY106" i="18"/>
  <c r="AW106" i="18"/>
  <c r="AU106" i="18"/>
  <c r="AS106" i="18"/>
  <c r="AQ106" i="18"/>
  <c r="AO106" i="18"/>
  <c r="AM106" i="18"/>
  <c r="AK106" i="18"/>
  <c r="AJ106" i="18"/>
  <c r="AI106" i="18"/>
  <c r="AH106" i="18"/>
  <c r="AG106" i="18"/>
  <c r="AF106" i="18"/>
  <c r="AE106" i="18"/>
  <c r="AD106" i="18"/>
  <c r="Q106" i="18"/>
  <c r="BI105" i="18"/>
  <c r="BG105" i="18"/>
  <c r="BE105" i="18"/>
  <c r="BC105" i="18"/>
  <c r="BA105" i="18"/>
  <c r="AY105" i="18"/>
  <c r="AW105" i="18"/>
  <c r="AU105" i="18"/>
  <c r="AS105" i="18"/>
  <c r="AQ105" i="18"/>
  <c r="AO105" i="18"/>
  <c r="AM105" i="18"/>
  <c r="AK105" i="18"/>
  <c r="AJ105" i="18"/>
  <c r="AI105" i="18"/>
  <c r="AH105" i="18"/>
  <c r="AG105" i="18"/>
  <c r="AF105" i="18"/>
  <c r="AE105" i="18"/>
  <c r="AD105" i="18"/>
  <c r="Q105" i="18"/>
  <c r="BI104" i="18"/>
  <c r="BG104" i="18"/>
  <c r="BE104" i="18"/>
  <c r="BC104" i="18"/>
  <c r="BA104" i="18"/>
  <c r="AY104" i="18"/>
  <c r="AW104" i="18"/>
  <c r="AU104" i="18"/>
  <c r="AS104" i="18"/>
  <c r="AQ104" i="18"/>
  <c r="AO104" i="18"/>
  <c r="AM104" i="18"/>
  <c r="AK104" i="18"/>
  <c r="AJ104" i="18"/>
  <c r="AI104" i="18"/>
  <c r="AH104" i="18"/>
  <c r="AG104" i="18"/>
  <c r="AF104" i="18"/>
  <c r="AE104" i="18"/>
  <c r="AD104" i="18"/>
  <c r="Q104" i="18"/>
  <c r="BI103" i="18"/>
  <c r="BG103" i="18"/>
  <c r="BE103" i="18"/>
  <c r="BC103" i="18"/>
  <c r="BA103" i="18"/>
  <c r="AY103" i="18"/>
  <c r="AW103" i="18"/>
  <c r="AU103" i="18"/>
  <c r="AS103" i="18"/>
  <c r="AQ103" i="18"/>
  <c r="AO103" i="18"/>
  <c r="AM103" i="18"/>
  <c r="AK103" i="18"/>
  <c r="AJ103" i="18"/>
  <c r="AI103" i="18"/>
  <c r="AH103" i="18"/>
  <c r="AG103" i="18"/>
  <c r="AF103" i="18"/>
  <c r="AE103" i="18"/>
  <c r="AD103" i="18"/>
  <c r="Q103" i="18"/>
  <c r="BI102" i="18"/>
  <c r="BG102" i="18"/>
  <c r="BE102" i="18"/>
  <c r="BC102" i="18"/>
  <c r="BA102" i="18"/>
  <c r="AY102" i="18"/>
  <c r="AW102" i="18"/>
  <c r="AU102" i="18"/>
  <c r="AS102" i="18"/>
  <c r="AQ102" i="18"/>
  <c r="AO102" i="18"/>
  <c r="AM102" i="18"/>
  <c r="AK102" i="18"/>
  <c r="AJ102" i="18"/>
  <c r="AI102" i="18"/>
  <c r="AH102" i="18"/>
  <c r="AG102" i="18"/>
  <c r="AF102" i="18"/>
  <c r="AE102" i="18"/>
  <c r="AD102" i="18"/>
  <c r="Q102" i="18"/>
  <c r="BI101" i="18"/>
  <c r="BG101" i="18"/>
  <c r="BE101" i="18"/>
  <c r="BC101" i="18"/>
  <c r="BA101" i="18"/>
  <c r="AY101" i="18"/>
  <c r="AW101" i="18"/>
  <c r="AU101" i="18"/>
  <c r="AS101" i="18"/>
  <c r="AQ101" i="18"/>
  <c r="AO101" i="18"/>
  <c r="AM101" i="18"/>
  <c r="AK101" i="18"/>
  <c r="AJ101" i="18"/>
  <c r="AI101" i="18"/>
  <c r="AH101" i="18"/>
  <c r="AG101" i="18"/>
  <c r="AF101" i="18"/>
  <c r="AE101" i="18"/>
  <c r="AD101" i="18"/>
  <c r="Q101" i="18"/>
  <c r="BI100" i="18"/>
  <c r="BG100" i="18"/>
  <c r="BE100" i="18"/>
  <c r="BC100" i="18"/>
  <c r="BA100" i="18"/>
  <c r="AY100" i="18"/>
  <c r="AW100" i="18"/>
  <c r="AU100" i="18"/>
  <c r="AS100" i="18"/>
  <c r="AQ100" i="18"/>
  <c r="AO100" i="18"/>
  <c r="AM100" i="18"/>
  <c r="BI99" i="18"/>
  <c r="BG99" i="18"/>
  <c r="BE99" i="18"/>
  <c r="BC99" i="18"/>
  <c r="BA99" i="18"/>
  <c r="AY99" i="18"/>
  <c r="AW99" i="18"/>
  <c r="AU99" i="18"/>
  <c r="AS99" i="18"/>
  <c r="AQ99" i="18"/>
  <c r="AO99" i="18"/>
  <c r="AM99" i="18"/>
  <c r="BI98" i="18"/>
  <c r="BG98" i="18"/>
  <c r="BE98" i="18"/>
  <c r="BC98" i="18"/>
  <c r="BA98" i="18"/>
  <c r="AY98" i="18"/>
  <c r="AW98" i="18"/>
  <c r="AU98" i="18"/>
  <c r="AS98" i="18"/>
  <c r="AQ98" i="18"/>
  <c r="AO98" i="18"/>
  <c r="AM98" i="18"/>
  <c r="BI97" i="18"/>
  <c r="BG97" i="18"/>
  <c r="BE97" i="18"/>
  <c r="BC97" i="18"/>
  <c r="BA97" i="18"/>
  <c r="AY97" i="18"/>
  <c r="AW97" i="18"/>
  <c r="AU97" i="18"/>
  <c r="AS97" i="18"/>
  <c r="AQ97" i="18"/>
  <c r="AO97" i="18"/>
  <c r="AM97" i="18"/>
  <c r="BI96" i="18"/>
  <c r="BG96" i="18"/>
  <c r="BE96" i="18"/>
  <c r="BC96" i="18"/>
  <c r="BA96" i="18"/>
  <c r="AY96" i="18"/>
  <c r="AW96" i="18"/>
  <c r="AU96" i="18"/>
  <c r="AS96" i="18"/>
  <c r="AQ96" i="18"/>
  <c r="AO96" i="18"/>
  <c r="AM96" i="18"/>
  <c r="BI95" i="18"/>
  <c r="BG95" i="18"/>
  <c r="BE95" i="18"/>
  <c r="BC95" i="18"/>
  <c r="BA95" i="18"/>
  <c r="AY95" i="18"/>
  <c r="AW95" i="18"/>
  <c r="AU95" i="18"/>
  <c r="AS95" i="18"/>
  <c r="AQ95" i="18"/>
  <c r="AO95" i="18"/>
  <c r="AM95" i="18"/>
  <c r="BI94" i="18"/>
  <c r="BG94" i="18"/>
  <c r="BE94" i="18"/>
  <c r="BC94" i="18"/>
  <c r="BA94" i="18"/>
  <c r="AY94" i="18"/>
  <c r="AW94" i="18"/>
  <c r="AU94" i="18"/>
  <c r="AS94" i="18"/>
  <c r="AQ94" i="18"/>
  <c r="AO94" i="18"/>
  <c r="AM94" i="18"/>
  <c r="BI93" i="18"/>
  <c r="BG93" i="18"/>
  <c r="BE93" i="18"/>
  <c r="BC93" i="18"/>
  <c r="BA93" i="18"/>
  <c r="AY93" i="18"/>
  <c r="AW93" i="18"/>
  <c r="AU93" i="18"/>
  <c r="AS93" i="18"/>
  <c r="AQ93" i="18"/>
  <c r="AO93" i="18"/>
  <c r="AM93" i="18"/>
  <c r="BI92" i="18"/>
  <c r="BG92" i="18"/>
  <c r="BE92" i="18"/>
  <c r="BC92" i="18"/>
  <c r="BA92" i="18"/>
  <c r="AY92" i="18"/>
  <c r="AW92" i="18"/>
  <c r="AU92" i="18"/>
  <c r="AS92" i="18"/>
  <c r="AQ92" i="18"/>
  <c r="AO92" i="18"/>
  <c r="AM92" i="18"/>
  <c r="BI91" i="18"/>
  <c r="BG91" i="18"/>
  <c r="BE91" i="18"/>
  <c r="BC91" i="18"/>
  <c r="BA91" i="18"/>
  <c r="AY91" i="18"/>
  <c r="AW91" i="18"/>
  <c r="AU91" i="18"/>
  <c r="AS91" i="18"/>
  <c r="AQ91" i="18"/>
  <c r="AO91" i="18"/>
  <c r="AM91" i="18"/>
  <c r="BI90" i="18"/>
  <c r="BG90" i="18"/>
  <c r="BE90" i="18"/>
  <c r="BC90" i="18"/>
  <c r="BA90" i="18"/>
  <c r="AY90" i="18"/>
  <c r="AW90" i="18"/>
  <c r="AU90" i="18"/>
  <c r="AS90" i="18"/>
  <c r="AQ90" i="18"/>
  <c r="AO90" i="18"/>
  <c r="AM90" i="18"/>
  <c r="BI89" i="18"/>
  <c r="BG89" i="18"/>
  <c r="BE89" i="18"/>
  <c r="BC89" i="18"/>
  <c r="BA89" i="18"/>
  <c r="AY89" i="18"/>
  <c r="AW89" i="18"/>
  <c r="AU89" i="18"/>
  <c r="AS89" i="18"/>
  <c r="AQ89" i="18"/>
  <c r="AO89" i="18"/>
  <c r="AM89" i="18"/>
  <c r="BI88" i="18"/>
  <c r="BG88" i="18"/>
  <c r="BE88" i="18"/>
  <c r="BC88" i="18"/>
  <c r="BA88" i="18"/>
  <c r="AY88" i="18"/>
  <c r="AW88" i="18"/>
  <c r="AU88" i="18"/>
  <c r="AS88" i="18"/>
  <c r="AQ88" i="18"/>
  <c r="AO88" i="18"/>
  <c r="AM88" i="18"/>
  <c r="BI87" i="18"/>
  <c r="BG87" i="18"/>
  <c r="BE87" i="18"/>
  <c r="BC87" i="18"/>
  <c r="BA87" i="18"/>
  <c r="AY87" i="18"/>
  <c r="AW87" i="18"/>
  <c r="AU87" i="18"/>
  <c r="AS87" i="18"/>
  <c r="AQ87" i="18"/>
  <c r="AO87" i="18"/>
  <c r="AM87" i="18"/>
  <c r="BI86" i="18"/>
  <c r="BG86" i="18"/>
  <c r="BE86" i="18"/>
  <c r="BC86" i="18"/>
  <c r="BA86" i="18"/>
  <c r="AY86" i="18"/>
  <c r="AW86" i="18"/>
  <c r="AU86" i="18"/>
  <c r="AS86" i="18"/>
  <c r="AQ86" i="18"/>
  <c r="AO86" i="18"/>
  <c r="AM86" i="18"/>
  <c r="BI85" i="18"/>
  <c r="BG85" i="18"/>
  <c r="BE85" i="18"/>
  <c r="BC85" i="18"/>
  <c r="BA85" i="18"/>
  <c r="AY85" i="18"/>
  <c r="AW85" i="18"/>
  <c r="AU85" i="18"/>
  <c r="AS85" i="18"/>
  <c r="AQ85" i="18"/>
  <c r="AO85" i="18"/>
  <c r="AM85" i="18"/>
  <c r="BI84" i="18"/>
  <c r="BG84" i="18"/>
  <c r="BE84" i="18"/>
  <c r="BC84" i="18"/>
  <c r="BA84" i="18"/>
  <c r="AY84" i="18"/>
  <c r="AW84" i="18"/>
  <c r="AU84" i="18"/>
  <c r="AS84" i="18"/>
  <c r="AQ84" i="18"/>
  <c r="AO84" i="18"/>
  <c r="AM84" i="18"/>
  <c r="BI83" i="18"/>
  <c r="BG83" i="18"/>
  <c r="BE83" i="18"/>
  <c r="BC83" i="18"/>
  <c r="BA83" i="18"/>
  <c r="AY83" i="18"/>
  <c r="AW83" i="18"/>
  <c r="AU83" i="18"/>
  <c r="AS83" i="18"/>
  <c r="AQ83" i="18"/>
  <c r="AO83" i="18"/>
  <c r="AM83" i="18"/>
  <c r="BI82" i="18"/>
  <c r="BG82" i="18"/>
  <c r="BE82" i="18"/>
  <c r="BC82" i="18"/>
  <c r="BA82" i="18"/>
  <c r="AY82" i="18"/>
  <c r="AW82" i="18"/>
  <c r="AU82" i="18"/>
  <c r="AS82" i="18"/>
  <c r="AQ82" i="18"/>
  <c r="AO82" i="18"/>
  <c r="AM82" i="18"/>
  <c r="BI81" i="18"/>
  <c r="BG81" i="18"/>
  <c r="BE81" i="18"/>
  <c r="BC81" i="18"/>
  <c r="BA81" i="18"/>
  <c r="AY81" i="18"/>
  <c r="AW81" i="18"/>
  <c r="AU81" i="18"/>
  <c r="AS81" i="18"/>
  <c r="AQ81" i="18"/>
  <c r="AO81" i="18"/>
  <c r="AM81" i="18"/>
  <c r="BI80" i="18"/>
  <c r="BG80" i="18"/>
  <c r="BE80" i="18"/>
  <c r="BC80" i="18"/>
  <c r="BA80" i="18"/>
  <c r="AY80" i="18"/>
  <c r="AW80" i="18"/>
  <c r="AU80" i="18"/>
  <c r="AS80" i="18"/>
  <c r="AQ80" i="18"/>
  <c r="AO80" i="18"/>
  <c r="AM80" i="18"/>
  <c r="BI79" i="18"/>
  <c r="BG79" i="18"/>
  <c r="BE79" i="18"/>
  <c r="BC79" i="18"/>
  <c r="BA79" i="18"/>
  <c r="AY79" i="18"/>
  <c r="AW79" i="18"/>
  <c r="AU79" i="18"/>
  <c r="AS79" i="18"/>
  <c r="AQ79" i="18"/>
  <c r="AO79" i="18"/>
  <c r="AM79" i="18"/>
  <c r="BI78" i="18"/>
  <c r="BG78" i="18"/>
  <c r="BE78" i="18"/>
  <c r="BC78" i="18"/>
  <c r="BA78" i="18"/>
  <c r="AY78" i="18"/>
  <c r="AW78" i="18"/>
  <c r="AU78" i="18"/>
  <c r="AS78" i="18"/>
  <c r="AQ78" i="18"/>
  <c r="AO78" i="18"/>
  <c r="AM78" i="18"/>
  <c r="BI77" i="18"/>
  <c r="BG77" i="18"/>
  <c r="BE77" i="18"/>
  <c r="BC77" i="18"/>
  <c r="BA77" i="18"/>
  <c r="AY77" i="18"/>
  <c r="AW77" i="18"/>
  <c r="AU77" i="18"/>
  <c r="AS77" i="18"/>
  <c r="AQ77" i="18"/>
  <c r="AO77" i="18"/>
  <c r="AM77" i="18"/>
  <c r="AK77" i="18"/>
  <c r="AJ77" i="18"/>
  <c r="AI77" i="18"/>
  <c r="AH77" i="18"/>
  <c r="AG77" i="18"/>
  <c r="AF77" i="18"/>
  <c r="AE77" i="18"/>
  <c r="AD77" i="18"/>
  <c r="BI76" i="18"/>
  <c r="BG76" i="18"/>
  <c r="BE76" i="18"/>
  <c r="BC76" i="18"/>
  <c r="BA76" i="18"/>
  <c r="AY76" i="18"/>
  <c r="AW76" i="18"/>
  <c r="AU76" i="18"/>
  <c r="AS76" i="18"/>
  <c r="AQ76" i="18"/>
  <c r="AO76" i="18"/>
  <c r="AM76" i="18"/>
  <c r="AK76" i="18"/>
  <c r="AJ76" i="18"/>
  <c r="AI76" i="18"/>
  <c r="AH76" i="18"/>
  <c r="AG76" i="18"/>
  <c r="AF76" i="18"/>
  <c r="AE76" i="18"/>
  <c r="AD76" i="18"/>
  <c r="BI75" i="18"/>
  <c r="BG75" i="18"/>
  <c r="BE75" i="18"/>
  <c r="BC75" i="18"/>
  <c r="BA75" i="18"/>
  <c r="AY75" i="18"/>
  <c r="AW75" i="18"/>
  <c r="AU75" i="18"/>
  <c r="AS75" i="18"/>
  <c r="AQ75" i="18"/>
  <c r="AO75" i="18"/>
  <c r="AM75" i="18"/>
  <c r="AK75" i="18"/>
  <c r="AJ75" i="18"/>
  <c r="AI75" i="18"/>
  <c r="AH75" i="18"/>
  <c r="AG75" i="18"/>
  <c r="AF75" i="18"/>
  <c r="AE75" i="18"/>
  <c r="AD75" i="18"/>
  <c r="BI74" i="18"/>
  <c r="BG74" i="18"/>
  <c r="BE74" i="18"/>
  <c r="BC74" i="18"/>
  <c r="BA74" i="18"/>
  <c r="AY74" i="18"/>
  <c r="AW74" i="18"/>
  <c r="AU74" i="18"/>
  <c r="AS74" i="18"/>
  <c r="AQ74" i="18"/>
  <c r="AO74" i="18"/>
  <c r="AM74" i="18"/>
  <c r="AK74" i="18"/>
  <c r="AJ74" i="18"/>
  <c r="AI74" i="18"/>
  <c r="AH74" i="18"/>
  <c r="AG74" i="18"/>
  <c r="AF74" i="18"/>
  <c r="AE74" i="18"/>
  <c r="AD74" i="18"/>
  <c r="BI73" i="18"/>
  <c r="BG73" i="18"/>
  <c r="BE73" i="18"/>
  <c r="BC73" i="18"/>
  <c r="BA73" i="18"/>
  <c r="AY73" i="18"/>
  <c r="AW73" i="18"/>
  <c r="AU73" i="18"/>
  <c r="AS73" i="18"/>
  <c r="AQ73" i="18"/>
  <c r="AO73" i="18"/>
  <c r="AM73" i="18"/>
  <c r="AK73" i="18"/>
  <c r="AJ73" i="18"/>
  <c r="AI73" i="18"/>
  <c r="AH73" i="18"/>
  <c r="AG73" i="18"/>
  <c r="AF73" i="18"/>
  <c r="AE73" i="18"/>
  <c r="AD73" i="18"/>
  <c r="BI72" i="18"/>
  <c r="BG72" i="18"/>
  <c r="BE72" i="18"/>
  <c r="BC72" i="18"/>
  <c r="BA72" i="18"/>
  <c r="AY72" i="18"/>
  <c r="AW72" i="18"/>
  <c r="AU72" i="18"/>
  <c r="AS72" i="18"/>
  <c r="AQ72" i="18"/>
  <c r="AO72" i="18"/>
  <c r="AM72" i="18"/>
  <c r="AK72" i="18"/>
  <c r="AJ72" i="18"/>
  <c r="AI72" i="18"/>
  <c r="AH72" i="18"/>
  <c r="AG72" i="18"/>
  <c r="AF72" i="18"/>
  <c r="AE72" i="18"/>
  <c r="AD72" i="18"/>
  <c r="BI71" i="18"/>
  <c r="BG71" i="18"/>
  <c r="BE71" i="18"/>
  <c r="BC71" i="18"/>
  <c r="BA71" i="18"/>
  <c r="AY71" i="18"/>
  <c r="AW71" i="18"/>
  <c r="AU71" i="18"/>
  <c r="AS71" i="18"/>
  <c r="AQ71" i="18"/>
  <c r="AO71" i="18"/>
  <c r="AM71" i="18"/>
  <c r="AK71" i="18"/>
  <c r="AJ71" i="18"/>
  <c r="AI71" i="18"/>
  <c r="AH71" i="18"/>
  <c r="AG71" i="18"/>
  <c r="AF71" i="18"/>
  <c r="AE71" i="18"/>
  <c r="AD71" i="18"/>
  <c r="BI70" i="18"/>
  <c r="BG70" i="18"/>
  <c r="BE70" i="18"/>
  <c r="BC70" i="18"/>
  <c r="BA70" i="18"/>
  <c r="AY70" i="18"/>
  <c r="AW70" i="18"/>
  <c r="AU70" i="18"/>
  <c r="AS70" i="18"/>
  <c r="AQ70" i="18"/>
  <c r="AO70" i="18"/>
  <c r="AM70" i="18"/>
  <c r="AK70" i="18"/>
  <c r="AJ70" i="18"/>
  <c r="AI70" i="18"/>
  <c r="AH70" i="18"/>
  <c r="AG70" i="18"/>
  <c r="AF70" i="18"/>
  <c r="AE70" i="18"/>
  <c r="AD70" i="18"/>
  <c r="BI69" i="18"/>
  <c r="BG69" i="18"/>
  <c r="BE69" i="18"/>
  <c r="BC69" i="18"/>
  <c r="BA69" i="18"/>
  <c r="AY69" i="18"/>
  <c r="AW69" i="18"/>
  <c r="AU69" i="18"/>
  <c r="AS69" i="18"/>
  <c r="AQ69" i="18"/>
  <c r="AO69" i="18"/>
  <c r="AM69" i="18"/>
  <c r="AK69" i="18"/>
  <c r="AJ69" i="18"/>
  <c r="AI69" i="18"/>
  <c r="AH69" i="18"/>
  <c r="AG69" i="18"/>
  <c r="AF69" i="18"/>
  <c r="AE69" i="18"/>
  <c r="AD69" i="18"/>
  <c r="BI68" i="18"/>
  <c r="BG68" i="18"/>
  <c r="BE68" i="18"/>
  <c r="BC68" i="18"/>
  <c r="BA68" i="18"/>
  <c r="AY68" i="18"/>
  <c r="AW68" i="18"/>
  <c r="AU68" i="18"/>
  <c r="AS68" i="18"/>
  <c r="AQ68" i="18"/>
  <c r="AO68" i="18"/>
  <c r="AM68" i="18"/>
  <c r="AK68" i="18"/>
  <c r="AJ68" i="18"/>
  <c r="AI68" i="18"/>
  <c r="AH68" i="18"/>
  <c r="AG68" i="18"/>
  <c r="AF68" i="18"/>
  <c r="AE68" i="18"/>
  <c r="AD68" i="18"/>
  <c r="BI67" i="18"/>
  <c r="BG67" i="18"/>
  <c r="BE67" i="18"/>
  <c r="BC67" i="18"/>
  <c r="BA67" i="18"/>
  <c r="AY67" i="18"/>
  <c r="AW67" i="18"/>
  <c r="AU67" i="18"/>
  <c r="AS67" i="18"/>
  <c r="AQ67" i="18"/>
  <c r="AO67" i="18"/>
  <c r="AM67" i="18"/>
  <c r="AK67" i="18"/>
  <c r="AJ67" i="18"/>
  <c r="AI67" i="18"/>
  <c r="AH67" i="18"/>
  <c r="AG67" i="18"/>
  <c r="AF67" i="18"/>
  <c r="AE67" i="18"/>
  <c r="AD67" i="18"/>
  <c r="BI66" i="18"/>
  <c r="BG66" i="18"/>
  <c r="BE66" i="18"/>
  <c r="BC66" i="18"/>
  <c r="BA66" i="18"/>
  <c r="AY66" i="18"/>
  <c r="AW66" i="18"/>
  <c r="AU66" i="18"/>
  <c r="AS66" i="18"/>
  <c r="AQ66" i="18"/>
  <c r="AO66" i="18"/>
  <c r="AM66" i="18"/>
  <c r="AK66" i="18"/>
  <c r="AJ66" i="18"/>
  <c r="AI66" i="18"/>
  <c r="AH66" i="18"/>
  <c r="AG66" i="18"/>
  <c r="AF66" i="18"/>
  <c r="AE66" i="18"/>
  <c r="AD66" i="18"/>
  <c r="BI65" i="18"/>
  <c r="BG65" i="18"/>
  <c r="BE65" i="18"/>
  <c r="BC65" i="18"/>
  <c r="BA65" i="18"/>
  <c r="AY65" i="18"/>
  <c r="AW65" i="18"/>
  <c r="AU65" i="18"/>
  <c r="AS65" i="18"/>
  <c r="AQ65" i="18"/>
  <c r="AO65" i="18"/>
  <c r="AM65" i="18"/>
  <c r="BI64" i="18"/>
  <c r="BG64" i="18"/>
  <c r="BE64" i="18"/>
  <c r="BC64" i="18"/>
  <c r="BA64" i="18"/>
  <c r="AY64" i="18"/>
  <c r="AW64" i="18"/>
  <c r="AU64" i="18"/>
  <c r="AS64" i="18"/>
  <c r="AQ64" i="18"/>
  <c r="AO64" i="18"/>
  <c r="AM64" i="18"/>
  <c r="BI63" i="18"/>
  <c r="BG63" i="18"/>
  <c r="BE63" i="18"/>
  <c r="BC63" i="18"/>
  <c r="BA63" i="18"/>
  <c r="AY63" i="18"/>
  <c r="AW63" i="18"/>
  <c r="AU63" i="18"/>
  <c r="AS63" i="18"/>
  <c r="AQ63" i="18"/>
  <c r="AO63" i="18"/>
  <c r="AM63" i="18"/>
  <c r="BI62" i="18"/>
  <c r="BG62" i="18"/>
  <c r="BE62" i="18"/>
  <c r="BC62" i="18"/>
  <c r="BA62" i="18"/>
  <c r="AY62" i="18"/>
  <c r="AW62" i="18"/>
  <c r="AU62" i="18"/>
  <c r="AS62" i="18"/>
  <c r="AQ62" i="18"/>
  <c r="AO62" i="18"/>
  <c r="AM62" i="18"/>
  <c r="AW189" i="18"/>
  <c r="AW190" i="18"/>
  <c r="AW191" i="18"/>
  <c r="AW192" i="18"/>
  <c r="AW223" i="18"/>
  <c r="AW222" i="18"/>
  <c r="AS222" i="18"/>
  <c r="AS223" i="18"/>
  <c r="AU222" i="18"/>
  <c r="AU223" i="18"/>
  <c r="AT231" i="18" l="1"/>
  <c r="AT203" i="18"/>
  <c r="AT202" i="18"/>
  <c r="AT197" i="18"/>
  <c r="AT190" i="18"/>
  <c r="AT188" i="18"/>
  <c r="AT198" i="18"/>
  <c r="AU190" i="18" l="1"/>
  <c r="BI195" i="18" l="1"/>
  <c r="BG195" i="18"/>
  <c r="BE195" i="18"/>
  <c r="BC195" i="18"/>
  <c r="BA195" i="18"/>
  <c r="AY195" i="18"/>
  <c r="AW195" i="18"/>
  <c r="AU195" i="18"/>
  <c r="AS195" i="18"/>
  <c r="AQ195" i="18"/>
  <c r="AO195" i="18"/>
  <c r="AM195" i="18"/>
  <c r="BE194" i="18"/>
  <c r="BC194" i="18"/>
  <c r="BA194" i="18"/>
  <c r="AY194" i="18"/>
  <c r="AW194" i="18"/>
  <c r="AU194" i="18"/>
  <c r="AS194" i="18"/>
  <c r="AQ194" i="18"/>
  <c r="AO194" i="18"/>
  <c r="AM194" i="18"/>
  <c r="BC193" i="18"/>
  <c r="BA193" i="18"/>
  <c r="AY193" i="18"/>
  <c r="AW193" i="18"/>
  <c r="AU193" i="18"/>
  <c r="AS193" i="18"/>
  <c r="AQ193" i="18"/>
  <c r="AO193" i="18"/>
  <c r="AM193" i="18"/>
  <c r="BC192" i="18"/>
  <c r="BA192" i="18"/>
  <c r="AY192" i="18"/>
  <c r="AU192" i="18"/>
  <c r="AS192" i="18"/>
  <c r="AQ192" i="18"/>
  <c r="AO192" i="18"/>
  <c r="AM192" i="18"/>
  <c r="AU191" i="18"/>
  <c r="AS191" i="18"/>
  <c r="AQ191" i="18"/>
  <c r="AO191" i="18"/>
  <c r="AM191" i="18"/>
  <c r="BG189" i="18"/>
  <c r="BE189" i="18"/>
  <c r="BC189" i="18"/>
  <c r="AY189" i="18"/>
  <c r="AU189" i="18"/>
  <c r="AS189" i="18"/>
  <c r="AQ189" i="18"/>
  <c r="AO189" i="18"/>
  <c r="AM189" i="18"/>
  <c r="BI188" i="18"/>
  <c r="BG188" i="18"/>
  <c r="BE188" i="18"/>
  <c r="BC188" i="18"/>
  <c r="BA188" i="18"/>
  <c r="AY188" i="18"/>
  <c r="AW188" i="18"/>
  <c r="AU188" i="18"/>
  <c r="AS188" i="18"/>
  <c r="AQ188" i="18"/>
  <c r="AO188" i="18"/>
  <c r="AM188" i="18"/>
  <c r="BI187" i="18"/>
  <c r="BG187" i="18"/>
  <c r="BE187" i="18"/>
  <c r="BC187" i="18"/>
  <c r="BA187" i="18"/>
  <c r="AY187" i="18"/>
  <c r="AW187" i="18"/>
  <c r="AU187" i="18"/>
  <c r="AS187" i="18"/>
  <c r="AQ187" i="18"/>
  <c r="AO187" i="18"/>
  <c r="AM187" i="18"/>
  <c r="BI186" i="18"/>
  <c r="BG186" i="18"/>
  <c r="BE186" i="18"/>
  <c r="BC186" i="18"/>
  <c r="BA186" i="18"/>
  <c r="AY186" i="18"/>
  <c r="AW186" i="18"/>
  <c r="AU186" i="18"/>
  <c r="AS186" i="18"/>
  <c r="AQ186" i="18"/>
  <c r="AO186" i="18"/>
  <c r="AM186" i="18"/>
  <c r="BI185" i="18"/>
  <c r="BG185" i="18"/>
  <c r="BE185" i="18"/>
  <c r="BC185" i="18"/>
  <c r="BA185" i="18"/>
  <c r="AY185" i="18"/>
  <c r="AW185" i="18"/>
  <c r="AU185" i="18"/>
  <c r="AS185" i="18"/>
  <c r="AQ185" i="18"/>
  <c r="AO185" i="18"/>
  <c r="AM185" i="18"/>
  <c r="BI184" i="18"/>
  <c r="BG184" i="18"/>
  <c r="BE184" i="18"/>
  <c r="BC184" i="18"/>
  <c r="BA184" i="18"/>
  <c r="AY184" i="18"/>
  <c r="AW184" i="18"/>
  <c r="AU184" i="18"/>
  <c r="AS184" i="18"/>
  <c r="AQ184" i="18"/>
  <c r="AO184" i="18"/>
  <c r="AM184" i="18"/>
  <c r="BI183" i="18"/>
  <c r="BG183" i="18"/>
  <c r="BE183" i="18"/>
  <c r="BC183" i="18"/>
  <c r="BA183" i="18"/>
  <c r="AY183" i="18"/>
  <c r="AW183" i="18"/>
  <c r="AU183" i="18"/>
  <c r="AS183" i="18"/>
  <c r="AQ183" i="18"/>
  <c r="AO183" i="18"/>
  <c r="AM183" i="18"/>
  <c r="BI182" i="18"/>
  <c r="BG182" i="18"/>
  <c r="BE182" i="18"/>
  <c r="BC182" i="18"/>
  <c r="BA182" i="18"/>
  <c r="AY182" i="18"/>
  <c r="AW182" i="18"/>
  <c r="AU182" i="18"/>
  <c r="AS182" i="18"/>
  <c r="AQ182" i="18"/>
  <c r="AO182" i="18"/>
  <c r="AM182" i="18"/>
  <c r="BI181" i="18"/>
  <c r="BG181" i="18"/>
  <c r="BE181" i="18"/>
  <c r="BC181" i="18"/>
  <c r="BA181" i="18"/>
  <c r="AY181" i="18"/>
  <c r="AW181" i="18"/>
  <c r="AU181" i="18"/>
  <c r="AS181" i="18"/>
  <c r="AQ181" i="18"/>
  <c r="AO181" i="18"/>
  <c r="AM181" i="18"/>
  <c r="BI180" i="18"/>
  <c r="BG180" i="18"/>
  <c r="BE180" i="18"/>
  <c r="BC180" i="18"/>
  <c r="BA180" i="18"/>
  <c r="AY180" i="18"/>
  <c r="AW180" i="18"/>
  <c r="AU180" i="18"/>
  <c r="AS180" i="18"/>
  <c r="AQ180" i="18"/>
  <c r="AO180" i="18"/>
  <c r="AM180" i="18"/>
  <c r="BI179" i="18"/>
  <c r="BG179" i="18"/>
  <c r="BE179" i="18"/>
  <c r="BC179" i="18"/>
  <c r="BA179" i="18"/>
  <c r="AY179" i="18"/>
  <c r="AW179" i="18"/>
  <c r="AU179" i="18"/>
  <c r="AS179" i="18"/>
  <c r="AQ179" i="18"/>
  <c r="AO179" i="18"/>
  <c r="AM179" i="18"/>
  <c r="BI178" i="18"/>
  <c r="BG178" i="18"/>
  <c r="BE178" i="18"/>
  <c r="BC178" i="18"/>
  <c r="BA178" i="18"/>
  <c r="AY178" i="18"/>
  <c r="AW178" i="18"/>
  <c r="AU178" i="18"/>
  <c r="AS178" i="18"/>
  <c r="AQ178" i="18"/>
  <c r="AO178" i="18"/>
  <c r="AM178" i="18"/>
  <c r="BI177" i="18"/>
  <c r="BG177" i="18"/>
  <c r="BE177" i="18"/>
  <c r="BC177" i="18"/>
  <c r="BA177" i="18"/>
  <c r="AY177" i="18"/>
  <c r="AW177" i="18"/>
  <c r="AU177" i="18"/>
  <c r="AS177" i="18"/>
  <c r="AQ177" i="18"/>
  <c r="AO177" i="18"/>
  <c r="AM177" i="18"/>
  <c r="BI176" i="18"/>
  <c r="BG176" i="18"/>
  <c r="BE176" i="18"/>
  <c r="BC176" i="18"/>
  <c r="BA176" i="18"/>
  <c r="AY176" i="18"/>
  <c r="AW176" i="18"/>
  <c r="AU176" i="18"/>
  <c r="AS176" i="18"/>
  <c r="AQ176" i="18"/>
  <c r="AO176" i="18"/>
  <c r="AM176" i="18"/>
  <c r="BI211" i="18"/>
  <c r="BG211" i="18"/>
  <c r="BE211" i="18"/>
  <c r="BC211" i="18"/>
  <c r="BA211" i="18"/>
  <c r="AY211" i="18"/>
  <c r="AW211" i="18"/>
  <c r="AU211" i="18"/>
  <c r="AS211" i="18"/>
  <c r="AQ211" i="18"/>
  <c r="AO211" i="18"/>
  <c r="AM211" i="18"/>
  <c r="BI210" i="18"/>
  <c r="BG210" i="18"/>
  <c r="BE210" i="18"/>
  <c r="BC210" i="18"/>
  <c r="BA210" i="18"/>
  <c r="AY210" i="18"/>
  <c r="AW210" i="18"/>
  <c r="AU210" i="18"/>
  <c r="AS210" i="18"/>
  <c r="AQ210" i="18"/>
  <c r="AO210" i="18"/>
  <c r="AM210" i="18"/>
  <c r="BI209" i="18"/>
  <c r="BG209" i="18"/>
  <c r="BE209" i="18"/>
  <c r="BC209" i="18"/>
  <c r="BA209" i="18"/>
  <c r="AY209" i="18"/>
  <c r="AW209" i="18"/>
  <c r="AU209" i="18"/>
  <c r="AS209" i="18"/>
  <c r="AQ209" i="18"/>
  <c r="AO209" i="18"/>
  <c r="AM209" i="18"/>
  <c r="BI208" i="18"/>
  <c r="BG208" i="18"/>
  <c r="BE208" i="18"/>
  <c r="BC208" i="18"/>
  <c r="BA208" i="18"/>
  <c r="AY208" i="18"/>
  <c r="AW208" i="18"/>
  <c r="AU208" i="18"/>
  <c r="AS208" i="18"/>
  <c r="AQ208" i="18"/>
  <c r="AO208" i="18"/>
  <c r="AM208" i="18"/>
  <c r="BI207" i="18"/>
  <c r="BG207" i="18"/>
  <c r="BE207" i="18"/>
  <c r="BC207" i="18"/>
  <c r="BA207" i="18"/>
  <c r="AY207" i="18"/>
  <c r="AW207" i="18"/>
  <c r="AU207" i="18"/>
  <c r="AS207" i="18"/>
  <c r="AQ207" i="18"/>
  <c r="AO207" i="18"/>
  <c r="AM207" i="18"/>
  <c r="BI206" i="18"/>
  <c r="BG206" i="18"/>
  <c r="BE206" i="18"/>
  <c r="BC206" i="18"/>
  <c r="BA206" i="18"/>
  <c r="AY206" i="18"/>
  <c r="AW206" i="18"/>
  <c r="AU206" i="18"/>
  <c r="AS206" i="18"/>
  <c r="AQ206" i="18"/>
  <c r="AO206" i="18"/>
  <c r="AM206" i="18"/>
  <c r="BI205" i="18"/>
  <c r="BG205" i="18"/>
  <c r="BE205" i="18"/>
  <c r="BC205" i="18"/>
  <c r="BA205" i="18"/>
  <c r="AY205" i="18"/>
  <c r="AW205" i="18"/>
  <c r="AU205" i="18"/>
  <c r="AS205" i="18"/>
  <c r="AQ205" i="18"/>
  <c r="AO205" i="18"/>
  <c r="AM205" i="18"/>
  <c r="BI204" i="18"/>
  <c r="BG204" i="18"/>
  <c r="BE204" i="18"/>
  <c r="BC204" i="18"/>
  <c r="BA204" i="18"/>
  <c r="AY204" i="18"/>
  <c r="AW204" i="18"/>
  <c r="AU204" i="18"/>
  <c r="AS204" i="18"/>
  <c r="AQ204" i="18"/>
  <c r="AO204" i="18"/>
  <c r="AM204" i="18"/>
  <c r="BI203" i="18"/>
  <c r="BG203" i="18"/>
  <c r="BE203" i="18"/>
  <c r="BC203" i="18"/>
  <c r="BA203" i="18"/>
  <c r="AY203" i="18"/>
  <c r="AW203" i="18"/>
  <c r="AU203" i="18"/>
  <c r="AS203" i="18"/>
  <c r="AQ203" i="18"/>
  <c r="AO203" i="18"/>
  <c r="AM203" i="18"/>
  <c r="BI202" i="18"/>
  <c r="BG202" i="18"/>
  <c r="BE202" i="18"/>
  <c r="BC202" i="18"/>
  <c r="BA202" i="18"/>
  <c r="AY202" i="18"/>
  <c r="AW202" i="18"/>
  <c r="AU202" i="18"/>
  <c r="AS202" i="18"/>
  <c r="AQ202" i="18"/>
  <c r="AO202" i="18"/>
  <c r="AM202" i="18"/>
  <c r="BI201" i="18"/>
  <c r="BG201" i="18"/>
  <c r="BE201" i="18"/>
  <c r="BC201" i="18"/>
  <c r="BA201" i="18"/>
  <c r="AY201" i="18"/>
  <c r="AW201" i="18"/>
  <c r="AU201" i="18"/>
  <c r="AS201" i="18"/>
  <c r="AQ201" i="18"/>
  <c r="AO201" i="18"/>
  <c r="AM201" i="18"/>
  <c r="BI200" i="18"/>
  <c r="BG200" i="18"/>
  <c r="BE200" i="18"/>
  <c r="BC200" i="18"/>
  <c r="BA200" i="18"/>
  <c r="AY200" i="18"/>
  <c r="AW200" i="18"/>
  <c r="AU200" i="18"/>
  <c r="AS200" i="18"/>
  <c r="AQ200" i="18"/>
  <c r="AO200" i="18"/>
  <c r="AM200" i="18"/>
  <c r="BI199" i="18"/>
  <c r="BG199" i="18"/>
  <c r="BE199" i="18"/>
  <c r="BC199" i="18"/>
  <c r="BA199" i="18"/>
  <c r="AY199" i="18"/>
  <c r="AW199" i="18"/>
  <c r="AU199" i="18"/>
  <c r="AS199" i="18"/>
  <c r="AQ199" i="18"/>
  <c r="AO199" i="18"/>
  <c r="AM199" i="18"/>
  <c r="BI198" i="18"/>
  <c r="BG198" i="18"/>
  <c r="BE198" i="18"/>
  <c r="BC198" i="18"/>
  <c r="BA198" i="18"/>
  <c r="AY198" i="18"/>
  <c r="AW198" i="18"/>
  <c r="AU198" i="18"/>
  <c r="AS198" i="18"/>
  <c r="AQ198" i="18"/>
  <c r="AO198" i="18"/>
  <c r="AM198" i="18"/>
  <c r="BI197" i="18"/>
  <c r="BG197" i="18"/>
  <c r="BE197" i="18"/>
  <c r="BC197" i="18"/>
  <c r="BA197" i="18"/>
  <c r="AY197" i="18"/>
  <c r="AW197" i="18"/>
  <c r="AU197" i="18"/>
  <c r="AS197" i="18"/>
  <c r="AQ197" i="18"/>
  <c r="AO197" i="18"/>
  <c r="AM197" i="18"/>
  <c r="BI196" i="18"/>
  <c r="BG196" i="18"/>
  <c r="BE196" i="18"/>
  <c r="BC196" i="18"/>
  <c r="BA196" i="18"/>
  <c r="AY196" i="18"/>
  <c r="AW196" i="18"/>
  <c r="AU196" i="18"/>
  <c r="AS196" i="18"/>
  <c r="AQ196" i="18"/>
  <c r="AO196" i="18"/>
  <c r="AM196" i="18"/>
  <c r="BI53" i="18"/>
  <c r="BG53" i="18"/>
  <c r="BE53" i="18"/>
  <c r="BC53" i="18"/>
  <c r="BA53" i="18"/>
  <c r="AY53" i="18"/>
  <c r="AW53" i="18"/>
  <c r="AU53" i="18"/>
  <c r="AS53" i="18"/>
  <c r="AQ53" i="18"/>
  <c r="AO53" i="18"/>
  <c r="AM53" i="18"/>
  <c r="BI221" i="18" l="1"/>
  <c r="BG221" i="18"/>
  <c r="BE221" i="18"/>
  <c r="BC221" i="18"/>
  <c r="BA221" i="18"/>
  <c r="AY221" i="18"/>
  <c r="AW221" i="18"/>
  <c r="AU221" i="18"/>
  <c r="AS221" i="18"/>
  <c r="AQ221" i="18"/>
  <c r="AO221" i="18"/>
  <c r="AM221" i="18"/>
  <c r="BI220" i="18"/>
  <c r="BG220" i="18"/>
  <c r="BE220" i="18"/>
  <c r="BC220" i="18"/>
  <c r="BA220" i="18"/>
  <c r="AY220" i="18"/>
  <c r="AW220" i="18"/>
  <c r="AU220" i="18"/>
  <c r="AS220" i="18"/>
  <c r="AQ220" i="18"/>
  <c r="AO220" i="18"/>
  <c r="AM220" i="18"/>
  <c r="BI32" i="18" l="1"/>
  <c r="BG32" i="18"/>
  <c r="BE32" i="18"/>
  <c r="BC32" i="18"/>
  <c r="BA32" i="18"/>
  <c r="AY32" i="18"/>
  <c r="AW32" i="18"/>
  <c r="AU32" i="18"/>
  <c r="AS32" i="18"/>
  <c r="AQ32" i="18"/>
  <c r="AO32" i="18"/>
  <c r="AM32" i="18"/>
  <c r="BI33" i="18"/>
  <c r="BG33" i="18"/>
  <c r="BE33" i="18"/>
  <c r="BC33" i="18"/>
  <c r="BA33" i="18"/>
  <c r="AY33" i="18"/>
  <c r="AW33" i="18"/>
  <c r="AU33" i="18"/>
  <c r="AS33" i="18"/>
  <c r="AQ33" i="18"/>
  <c r="AO33" i="18"/>
  <c r="AM33" i="18"/>
  <c r="AM31" i="18"/>
  <c r="AO31" i="18"/>
  <c r="AQ31" i="18"/>
  <c r="AS31" i="18"/>
  <c r="AU31" i="18"/>
  <c r="AW31" i="18"/>
  <c r="AY31" i="18"/>
  <c r="BA31" i="18"/>
  <c r="BC31" i="18"/>
  <c r="BE31" i="18"/>
  <c r="BG31" i="18"/>
  <c r="BI31" i="18"/>
  <c r="BI29" i="18"/>
  <c r="BG29" i="18"/>
  <c r="BE29" i="18"/>
  <c r="BC29" i="18"/>
  <c r="BA29" i="18"/>
  <c r="AY29" i="18"/>
  <c r="AW29" i="18"/>
  <c r="AU29" i="18"/>
  <c r="AS29" i="18"/>
  <c r="AQ29" i="18"/>
  <c r="AO29" i="18"/>
  <c r="AM29" i="18"/>
  <c r="BI258" i="18" l="1"/>
  <c r="BG258" i="18"/>
  <c r="BE258" i="18"/>
  <c r="BC258" i="18"/>
  <c r="BA258" i="18"/>
  <c r="AY258" i="18"/>
  <c r="AW258" i="18"/>
  <c r="AU258" i="18"/>
  <c r="AS258" i="18"/>
  <c r="AQ258" i="18"/>
  <c r="AO258" i="18"/>
  <c r="AM258" i="18"/>
  <c r="BI256" i="18" l="1"/>
  <c r="BG256" i="18"/>
  <c r="BE256" i="18"/>
  <c r="BC256" i="18"/>
  <c r="BA256" i="18"/>
  <c r="AY256" i="18"/>
  <c r="AW256" i="18"/>
  <c r="AU256" i="18"/>
  <c r="AS256" i="18"/>
  <c r="AQ256" i="18"/>
  <c r="AO256" i="18"/>
  <c r="AM256" i="18"/>
  <c r="BI255" i="18"/>
  <c r="BG255" i="18"/>
  <c r="BE255" i="18"/>
  <c r="BC255" i="18"/>
  <c r="BA255" i="18"/>
  <c r="AY255" i="18"/>
  <c r="AW255" i="18"/>
  <c r="AU255" i="18"/>
  <c r="AS255" i="18"/>
  <c r="AQ255" i="18"/>
  <c r="AO255" i="18"/>
  <c r="AM255" i="18"/>
  <c r="BI57" i="18"/>
  <c r="BG57" i="18"/>
  <c r="BE57" i="18"/>
  <c r="BC57" i="18"/>
  <c r="BA57" i="18"/>
  <c r="AY57" i="18"/>
  <c r="AW57" i="18"/>
  <c r="AU57" i="18"/>
  <c r="AS57" i="18"/>
  <c r="AQ57" i="18"/>
  <c r="AO57" i="18"/>
  <c r="AM57" i="18"/>
  <c r="BI56" i="18"/>
  <c r="BG56" i="18"/>
  <c r="BE56" i="18"/>
  <c r="BC56" i="18"/>
  <c r="BA56" i="18"/>
  <c r="AY56" i="18"/>
  <c r="AW56" i="18"/>
  <c r="AU56" i="18"/>
  <c r="AS56" i="18"/>
  <c r="AQ56" i="18"/>
  <c r="AO56" i="18"/>
  <c r="AM56" i="18"/>
  <c r="BI39" i="18"/>
  <c r="BG39" i="18"/>
  <c r="BE39" i="18"/>
  <c r="BC39" i="18"/>
  <c r="BA39" i="18"/>
  <c r="AY39" i="18"/>
  <c r="AW39" i="18"/>
  <c r="AU39" i="18"/>
  <c r="AS39" i="18"/>
  <c r="AQ39" i="18"/>
  <c r="AO39" i="18"/>
  <c r="AM39" i="18"/>
  <c r="BI38" i="18"/>
  <c r="BG38" i="18"/>
  <c r="BE38" i="18"/>
  <c r="BC38" i="18"/>
  <c r="BA38" i="18"/>
  <c r="AY38" i="18"/>
  <c r="AW38" i="18"/>
  <c r="AU38" i="18"/>
  <c r="AS38" i="18"/>
  <c r="AQ38" i="18"/>
  <c r="AO38" i="18"/>
  <c r="AM38" i="18"/>
  <c r="BI250" i="18"/>
  <c r="BG250" i="18"/>
  <c r="BE250" i="18"/>
  <c r="BC250" i="18"/>
  <c r="BA250" i="18"/>
  <c r="AY250" i="18"/>
  <c r="AW250" i="18"/>
  <c r="AU250" i="18"/>
  <c r="AS250" i="18"/>
  <c r="AQ250" i="18"/>
  <c r="AO250" i="18"/>
  <c r="AM250" i="18"/>
  <c r="BI237" i="18"/>
  <c r="BG237" i="18"/>
  <c r="BE237" i="18"/>
  <c r="BC237" i="18"/>
  <c r="BA237" i="18"/>
  <c r="AY237" i="18"/>
  <c r="AW237" i="18"/>
  <c r="AU237" i="18"/>
  <c r="AS237" i="18"/>
  <c r="AQ237" i="18"/>
  <c r="AO237" i="18"/>
  <c r="AM237" i="18"/>
  <c r="BI262" i="18" l="1"/>
  <c r="BG262" i="18"/>
  <c r="BE262" i="18"/>
  <c r="BC262" i="18"/>
  <c r="BA262" i="18"/>
  <c r="AY262" i="18"/>
  <c r="AW262" i="18"/>
  <c r="AU262" i="18"/>
  <c r="AS262" i="18"/>
  <c r="AQ262" i="18"/>
  <c r="AO262" i="18"/>
  <c r="AM262" i="18"/>
  <c r="BI261" i="18"/>
  <c r="BG261" i="18"/>
  <c r="BE261" i="18"/>
  <c r="BC261" i="18"/>
  <c r="BA261" i="18"/>
  <c r="AY261" i="18"/>
  <c r="AW261" i="18"/>
  <c r="AU261" i="18"/>
  <c r="AS261" i="18"/>
  <c r="AQ261" i="18"/>
  <c r="AO261" i="18"/>
  <c r="AM261" i="18"/>
  <c r="BI260" i="18"/>
  <c r="BG260" i="18"/>
  <c r="BE260" i="18"/>
  <c r="BC260" i="18"/>
  <c r="BA260" i="18"/>
  <c r="AY260" i="18"/>
  <c r="AW260" i="18"/>
  <c r="AU260" i="18"/>
  <c r="AS260" i="18"/>
  <c r="AQ260" i="18"/>
  <c r="AO260" i="18"/>
  <c r="AM260" i="18"/>
  <c r="BI259" i="18"/>
  <c r="BG259" i="18"/>
  <c r="BE259" i="18"/>
  <c r="BC259" i="18"/>
  <c r="BA259" i="18"/>
  <c r="AY259" i="18"/>
  <c r="AW259" i="18"/>
  <c r="AU259" i="18"/>
  <c r="AS259" i="18"/>
  <c r="AQ259" i="18"/>
  <c r="AO259" i="18"/>
  <c r="AM259" i="18"/>
  <c r="BI257" i="18"/>
  <c r="BG257" i="18"/>
  <c r="BE257" i="18"/>
  <c r="BC257" i="18"/>
  <c r="BA257" i="18"/>
  <c r="AY257" i="18"/>
  <c r="AW257" i="18"/>
  <c r="AU257" i="18"/>
  <c r="AS257" i="18"/>
  <c r="AQ257" i="18"/>
  <c r="AO257" i="18"/>
  <c r="AM257" i="18"/>
  <c r="BI254" i="18"/>
  <c r="BG254" i="18"/>
  <c r="BE254" i="18"/>
  <c r="BC254" i="18"/>
  <c r="BA254" i="18"/>
  <c r="AY254" i="18"/>
  <c r="AW254" i="18"/>
  <c r="AU254" i="18"/>
  <c r="AS254" i="18"/>
  <c r="AQ254" i="18"/>
  <c r="AO254" i="18"/>
  <c r="AM254" i="18"/>
  <c r="BI253" i="18"/>
  <c r="BG253" i="18"/>
  <c r="BE253" i="18"/>
  <c r="BC253" i="18"/>
  <c r="BA253" i="18"/>
  <c r="AY253" i="18"/>
  <c r="AW253" i="18"/>
  <c r="AU253" i="18"/>
  <c r="AS253" i="18"/>
  <c r="AQ253" i="18"/>
  <c r="AO253" i="18"/>
  <c r="AM253" i="18"/>
  <c r="BI252" i="18"/>
  <c r="BG252" i="18"/>
  <c r="BE252" i="18"/>
  <c r="BC252" i="18"/>
  <c r="BA252" i="18"/>
  <c r="AY252" i="18"/>
  <c r="AW252" i="18"/>
  <c r="AU252" i="18"/>
  <c r="AS252" i="18"/>
  <c r="AQ252" i="18"/>
  <c r="AO252" i="18"/>
  <c r="AM252" i="18"/>
  <c r="BI251" i="18"/>
  <c r="BG251" i="18"/>
  <c r="BE251" i="18"/>
  <c r="BC251" i="18"/>
  <c r="BA251" i="18"/>
  <c r="AY251" i="18"/>
  <c r="AW251" i="18"/>
  <c r="AU251" i="18"/>
  <c r="AS251" i="18"/>
  <c r="AQ251" i="18"/>
  <c r="AO251" i="18"/>
  <c r="AM251" i="18"/>
  <c r="BI249" i="18"/>
  <c r="BG249" i="18"/>
  <c r="BE249" i="18"/>
  <c r="BC249" i="18"/>
  <c r="BA249" i="18"/>
  <c r="AY249" i="18"/>
  <c r="AW249" i="18"/>
  <c r="AU249" i="18"/>
  <c r="AS249" i="18"/>
  <c r="AQ249" i="18"/>
  <c r="AO249" i="18"/>
  <c r="AM249" i="18"/>
  <c r="BI248" i="18"/>
  <c r="BG248" i="18"/>
  <c r="BE248" i="18"/>
  <c r="BC248" i="18"/>
  <c r="BA248" i="18"/>
  <c r="AY248" i="18"/>
  <c r="AW248" i="18"/>
  <c r="AU248" i="18"/>
  <c r="AS248" i="18"/>
  <c r="AQ248" i="18"/>
  <c r="AO248" i="18"/>
  <c r="AM248" i="18"/>
  <c r="BI247" i="18"/>
  <c r="BG247" i="18"/>
  <c r="BE247" i="18"/>
  <c r="BC247" i="18"/>
  <c r="BA247" i="18"/>
  <c r="AY247" i="18"/>
  <c r="AW247" i="18"/>
  <c r="AU247" i="18"/>
  <c r="AS247" i="18"/>
  <c r="AQ247" i="18"/>
  <c r="AO247" i="18"/>
  <c r="AM247" i="18"/>
  <c r="BI246" i="18"/>
  <c r="BG246" i="18"/>
  <c r="BE246" i="18"/>
  <c r="BC246" i="18"/>
  <c r="BA246" i="18"/>
  <c r="AY246" i="18"/>
  <c r="AW246" i="18"/>
  <c r="AU246" i="18"/>
  <c r="AS246" i="18"/>
  <c r="AQ246" i="18"/>
  <c r="AO246" i="18"/>
  <c r="AM246" i="18"/>
  <c r="BI245" i="18"/>
  <c r="BG245" i="18"/>
  <c r="BE245" i="18"/>
  <c r="BC245" i="18"/>
  <c r="BA245" i="18"/>
  <c r="AY245" i="18"/>
  <c r="AW245" i="18"/>
  <c r="AU245" i="18"/>
  <c r="AS245" i="18"/>
  <c r="AQ245" i="18"/>
  <c r="AO245" i="18"/>
  <c r="AM245" i="18"/>
  <c r="BI244" i="18"/>
  <c r="BG244" i="18"/>
  <c r="BE244" i="18"/>
  <c r="BC244" i="18"/>
  <c r="BA244" i="18"/>
  <c r="AY244" i="18"/>
  <c r="AW244" i="18"/>
  <c r="AU244" i="18"/>
  <c r="AS244" i="18"/>
  <c r="AQ244" i="18"/>
  <c r="AO244" i="18"/>
  <c r="AM244" i="18"/>
  <c r="BI243" i="18"/>
  <c r="BG243" i="18"/>
  <c r="BE243" i="18"/>
  <c r="BC243" i="18"/>
  <c r="BA243" i="18"/>
  <c r="AY243" i="18"/>
  <c r="AW243" i="18"/>
  <c r="AU243" i="18"/>
  <c r="AS243" i="18"/>
  <c r="AQ243" i="18"/>
  <c r="AO243" i="18"/>
  <c r="AM243" i="18"/>
  <c r="BI242" i="18"/>
  <c r="BG242" i="18"/>
  <c r="BE242" i="18"/>
  <c r="BC242" i="18"/>
  <c r="BA242" i="18"/>
  <c r="AY242" i="18"/>
  <c r="AW242" i="18"/>
  <c r="AU242" i="18"/>
  <c r="AS242" i="18"/>
  <c r="AQ242" i="18"/>
  <c r="AO242" i="18"/>
  <c r="AM242" i="18"/>
  <c r="BI241" i="18"/>
  <c r="BG241" i="18"/>
  <c r="BE241" i="18"/>
  <c r="BC241" i="18"/>
  <c r="BA241" i="18"/>
  <c r="AY241" i="18"/>
  <c r="AW241" i="18"/>
  <c r="AU241" i="18"/>
  <c r="AS241" i="18"/>
  <c r="AQ241" i="18"/>
  <c r="AO241" i="18"/>
  <c r="AM241" i="18"/>
  <c r="BI240" i="18"/>
  <c r="BG240" i="18"/>
  <c r="BE240" i="18"/>
  <c r="BC240" i="18"/>
  <c r="BA240" i="18"/>
  <c r="AY240" i="18"/>
  <c r="AW240" i="18"/>
  <c r="AU240" i="18"/>
  <c r="AS240" i="18"/>
  <c r="AQ240" i="18"/>
  <c r="AO240" i="18"/>
  <c r="AM240" i="18"/>
  <c r="BI239" i="18"/>
  <c r="BG239" i="18"/>
  <c r="BE239" i="18"/>
  <c r="BC239" i="18"/>
  <c r="BA239" i="18"/>
  <c r="AY239" i="18"/>
  <c r="AW239" i="18"/>
  <c r="AU239" i="18"/>
  <c r="AS239" i="18"/>
  <c r="AQ239" i="18"/>
  <c r="AO239" i="18"/>
  <c r="AM239" i="18"/>
  <c r="BI238" i="18"/>
  <c r="BG238" i="18"/>
  <c r="BE238" i="18"/>
  <c r="BC238" i="18"/>
  <c r="BA238" i="18"/>
  <c r="AY238" i="18"/>
  <c r="AW238" i="18"/>
  <c r="AU238" i="18"/>
  <c r="AS238" i="18"/>
  <c r="AQ238" i="18"/>
  <c r="AO238" i="18"/>
  <c r="AM238" i="18"/>
  <c r="BI236" i="18"/>
  <c r="BG236" i="18"/>
  <c r="BE236" i="18"/>
  <c r="BC236" i="18"/>
  <c r="BA236" i="18"/>
  <c r="AY236" i="18"/>
  <c r="AW236" i="18"/>
  <c r="AU236" i="18"/>
  <c r="AS236" i="18"/>
  <c r="AQ236" i="18"/>
  <c r="AO236" i="18"/>
  <c r="AM236" i="18"/>
  <c r="BI235" i="18"/>
  <c r="BG235" i="18"/>
  <c r="BE235" i="18"/>
  <c r="BC235" i="18"/>
  <c r="BA235" i="18"/>
  <c r="AY235" i="18"/>
  <c r="AW235" i="18"/>
  <c r="AU235" i="18"/>
  <c r="AS235" i="18"/>
  <c r="AQ235" i="18"/>
  <c r="AO235" i="18"/>
  <c r="AM235" i="18"/>
  <c r="BI234" i="18"/>
  <c r="BG234" i="18"/>
  <c r="BE234" i="18"/>
  <c r="BC234" i="18"/>
  <c r="BA234" i="18"/>
  <c r="AY234" i="18"/>
  <c r="AW234" i="18"/>
  <c r="AU234" i="18"/>
  <c r="AS234" i="18"/>
  <c r="AQ234" i="18"/>
  <c r="AO234" i="18"/>
  <c r="AM234" i="18"/>
  <c r="BI233" i="18"/>
  <c r="BG233" i="18"/>
  <c r="BE233" i="18"/>
  <c r="BC233" i="18"/>
  <c r="BA233" i="18"/>
  <c r="AY233" i="18"/>
  <c r="AW233" i="18"/>
  <c r="AU233" i="18"/>
  <c r="AS233" i="18"/>
  <c r="AQ233" i="18"/>
  <c r="AO233" i="18"/>
  <c r="AM233" i="18"/>
  <c r="BI232" i="18"/>
  <c r="BG232" i="18"/>
  <c r="BE232" i="18"/>
  <c r="BC232" i="18"/>
  <c r="BA232" i="18"/>
  <c r="AY232" i="18"/>
  <c r="AW232" i="18"/>
  <c r="AU232" i="18"/>
  <c r="AS232" i="18"/>
  <c r="AQ232" i="18"/>
  <c r="AO232" i="18"/>
  <c r="AM232" i="18"/>
  <c r="BI231" i="18"/>
  <c r="BG231" i="18"/>
  <c r="BE231" i="18"/>
  <c r="BC231" i="18"/>
  <c r="BA231" i="18"/>
  <c r="AY231" i="18"/>
  <c r="AW231" i="18"/>
  <c r="AU231" i="18"/>
  <c r="AS231" i="18"/>
  <c r="AQ231" i="18"/>
  <c r="AO231" i="18"/>
  <c r="AM231" i="18"/>
  <c r="BI230" i="18"/>
  <c r="BG230" i="18"/>
  <c r="BE230" i="18"/>
  <c r="BC230" i="18"/>
  <c r="BA230" i="18"/>
  <c r="AY230" i="18"/>
  <c r="AW230" i="18"/>
  <c r="AU230" i="18"/>
  <c r="AS230" i="18"/>
  <c r="AQ230" i="18"/>
  <c r="AO230" i="18"/>
  <c r="AM230" i="18"/>
  <c r="BI229" i="18"/>
  <c r="BG229" i="18"/>
  <c r="BE229" i="18"/>
  <c r="BC229" i="18"/>
  <c r="BA229" i="18"/>
  <c r="AY229" i="18"/>
  <c r="AW229" i="18"/>
  <c r="AU229" i="18"/>
  <c r="AS229" i="18"/>
  <c r="AQ229" i="18"/>
  <c r="AO229" i="18"/>
  <c r="AM229" i="18"/>
  <c r="BI228" i="18"/>
  <c r="BG228" i="18"/>
  <c r="BE228" i="18"/>
  <c r="BC228" i="18"/>
  <c r="BA228" i="18"/>
  <c r="AY228" i="18"/>
  <c r="AW228" i="18"/>
  <c r="AU228" i="18"/>
  <c r="AS228" i="18"/>
  <c r="AQ228" i="18"/>
  <c r="AO228" i="18"/>
  <c r="AM228" i="18"/>
  <c r="BI227" i="18"/>
  <c r="BG227" i="18"/>
  <c r="BE227" i="18"/>
  <c r="BC227" i="18"/>
  <c r="BA227" i="18"/>
  <c r="AY227" i="18"/>
  <c r="AW227" i="18"/>
  <c r="AU227" i="18"/>
  <c r="AS227" i="18"/>
  <c r="AQ227" i="18"/>
  <c r="AO227" i="18"/>
  <c r="AM227" i="18"/>
  <c r="BI226" i="18"/>
  <c r="BG226" i="18"/>
  <c r="BE226" i="18"/>
  <c r="BC226" i="18"/>
  <c r="BA226" i="18"/>
  <c r="AY226" i="18"/>
  <c r="AW226" i="18"/>
  <c r="AU226" i="18"/>
  <c r="AS226" i="18"/>
  <c r="AQ226" i="18"/>
  <c r="AO226" i="18"/>
  <c r="AM226" i="18"/>
  <c r="BI225" i="18"/>
  <c r="BG225" i="18"/>
  <c r="BE225" i="18"/>
  <c r="BC225" i="18"/>
  <c r="BA225" i="18"/>
  <c r="AY225" i="18"/>
  <c r="AW225" i="18"/>
  <c r="AU225" i="18"/>
  <c r="AS225" i="18"/>
  <c r="AQ225" i="18"/>
  <c r="AO225" i="18"/>
  <c r="AM225" i="18"/>
  <c r="BI224" i="18"/>
  <c r="BG224" i="18"/>
  <c r="BE224" i="18"/>
  <c r="BC224" i="18"/>
  <c r="BA224" i="18"/>
  <c r="AY224" i="18"/>
  <c r="AW224" i="18"/>
  <c r="AU224" i="18"/>
  <c r="AS224" i="18"/>
  <c r="AQ224" i="18"/>
  <c r="AO224" i="18"/>
  <c r="AM224" i="18"/>
  <c r="BI219" i="18"/>
  <c r="BG219" i="18"/>
  <c r="BE219" i="18"/>
  <c r="BC219" i="18"/>
  <c r="BA219" i="18"/>
  <c r="AY219" i="18"/>
  <c r="AW219" i="18"/>
  <c r="AU219" i="18"/>
  <c r="AS219" i="18"/>
  <c r="AQ219" i="18"/>
  <c r="AO219" i="18"/>
  <c r="AM219" i="18"/>
  <c r="BI218" i="18"/>
  <c r="BG218" i="18"/>
  <c r="BE218" i="18"/>
  <c r="BC218" i="18"/>
  <c r="BA218" i="18"/>
  <c r="AY218" i="18"/>
  <c r="AW218" i="18"/>
  <c r="AU218" i="18"/>
  <c r="AS218" i="18"/>
  <c r="AQ218" i="18"/>
  <c r="AO218" i="18"/>
  <c r="AM218" i="18"/>
  <c r="BI217" i="18"/>
  <c r="BG217" i="18"/>
  <c r="BE217" i="18"/>
  <c r="BC217" i="18"/>
  <c r="BA217" i="18"/>
  <c r="AY217" i="18"/>
  <c r="AW217" i="18"/>
  <c r="AU217" i="18"/>
  <c r="AS217" i="18"/>
  <c r="AQ217" i="18"/>
  <c r="AO217" i="18"/>
  <c r="AM217" i="18"/>
  <c r="BI216" i="18"/>
  <c r="BG216" i="18"/>
  <c r="BE216" i="18"/>
  <c r="BC216" i="18"/>
  <c r="BA216" i="18"/>
  <c r="AY216" i="18"/>
  <c r="AW216" i="18"/>
  <c r="AU216" i="18"/>
  <c r="AS216" i="18"/>
  <c r="AQ216" i="18"/>
  <c r="AO216" i="18"/>
  <c r="AM216" i="18"/>
  <c r="BI215" i="18"/>
  <c r="BG215" i="18"/>
  <c r="BE215" i="18"/>
  <c r="BC215" i="18"/>
  <c r="BA215" i="18"/>
  <c r="AY215" i="18"/>
  <c r="AW215" i="18"/>
  <c r="AU215" i="18"/>
  <c r="AS215" i="18"/>
  <c r="AQ215" i="18"/>
  <c r="AO215" i="18"/>
  <c r="AM215" i="18"/>
  <c r="BI214" i="18"/>
  <c r="BG214" i="18"/>
  <c r="BE214" i="18"/>
  <c r="BC214" i="18"/>
  <c r="BA214" i="18"/>
  <c r="AY214" i="18"/>
  <c r="AW214" i="18"/>
  <c r="AU214" i="18"/>
  <c r="AS214" i="18"/>
  <c r="AQ214" i="18"/>
  <c r="AO214" i="18"/>
  <c r="AM214" i="18"/>
  <c r="BI213" i="18"/>
  <c r="BG213" i="18"/>
  <c r="BE213" i="18"/>
  <c r="BC213" i="18"/>
  <c r="BA213" i="18"/>
  <c r="AY213" i="18"/>
  <c r="AW213" i="18"/>
  <c r="AU213" i="18"/>
  <c r="AS213" i="18"/>
  <c r="AQ213" i="18"/>
  <c r="AO213" i="18"/>
  <c r="AM213" i="18"/>
  <c r="BI212" i="18"/>
  <c r="BG212" i="18"/>
  <c r="BE212" i="18"/>
  <c r="BC212" i="18"/>
  <c r="BA212" i="18"/>
  <c r="AY212" i="18"/>
  <c r="AW212" i="18"/>
  <c r="AU212" i="18"/>
  <c r="AS212" i="18"/>
  <c r="AQ212" i="18"/>
  <c r="AO212" i="18"/>
  <c r="AM212" i="18"/>
  <c r="BI175" i="18"/>
  <c r="BG175" i="18"/>
  <c r="BE175" i="18"/>
  <c r="BC175" i="18"/>
  <c r="BA175" i="18"/>
  <c r="AY175" i="18"/>
  <c r="AW175" i="18"/>
  <c r="AU175" i="18"/>
  <c r="AS175" i="18"/>
  <c r="AQ175" i="18"/>
  <c r="AO175" i="18"/>
  <c r="AM175" i="18"/>
  <c r="BI174" i="18"/>
  <c r="BG174" i="18"/>
  <c r="BE174" i="18"/>
  <c r="BC174" i="18"/>
  <c r="BA174" i="18"/>
  <c r="AY174" i="18"/>
  <c r="AW174" i="18"/>
  <c r="AU174" i="18"/>
  <c r="AS174" i="18"/>
  <c r="AQ174" i="18"/>
  <c r="AO174" i="18"/>
  <c r="AM174" i="18"/>
  <c r="BI173" i="18"/>
  <c r="BG173" i="18"/>
  <c r="BE173" i="18"/>
  <c r="BC173" i="18"/>
  <c r="BA173" i="18"/>
  <c r="AY173" i="18"/>
  <c r="AW173" i="18"/>
  <c r="AU173" i="18"/>
  <c r="AS173" i="18"/>
  <c r="AQ173" i="18"/>
  <c r="AO173" i="18"/>
  <c r="AM173" i="18"/>
  <c r="BI172" i="18"/>
  <c r="BG172" i="18"/>
  <c r="BE172" i="18"/>
  <c r="BC172" i="18"/>
  <c r="BA172" i="18"/>
  <c r="AY172" i="18"/>
  <c r="AW172" i="18"/>
  <c r="AU172" i="18"/>
  <c r="AS172" i="18"/>
  <c r="AQ172" i="18"/>
  <c r="AO172" i="18"/>
  <c r="AM172" i="18"/>
  <c r="BI171" i="18"/>
  <c r="BG171" i="18"/>
  <c r="BE171" i="18"/>
  <c r="BC171" i="18"/>
  <c r="BA171" i="18"/>
  <c r="AY171" i="18"/>
  <c r="AW171" i="18"/>
  <c r="AU171" i="18"/>
  <c r="AS171" i="18"/>
  <c r="AQ171" i="18"/>
  <c r="AO171" i="18"/>
  <c r="AM171" i="18"/>
  <c r="BI170" i="18"/>
  <c r="BG170" i="18"/>
  <c r="BE170" i="18"/>
  <c r="BC170" i="18"/>
  <c r="BA170" i="18"/>
  <c r="AY170" i="18"/>
  <c r="AW170" i="18"/>
  <c r="AU170" i="18"/>
  <c r="AS170" i="18"/>
  <c r="AQ170" i="18"/>
  <c r="AO170" i="18"/>
  <c r="AM170" i="18"/>
  <c r="BI169" i="18"/>
  <c r="BG169" i="18"/>
  <c r="BE169" i="18"/>
  <c r="BC169" i="18"/>
  <c r="BA169" i="18"/>
  <c r="AY169" i="18"/>
  <c r="AW169" i="18"/>
  <c r="AU169" i="18"/>
  <c r="AS169" i="18"/>
  <c r="AQ169" i="18"/>
  <c r="AO169" i="18"/>
  <c r="AM169" i="18"/>
  <c r="BI168" i="18"/>
  <c r="BG168" i="18"/>
  <c r="BE168" i="18"/>
  <c r="BC168" i="18"/>
  <c r="BA168" i="18"/>
  <c r="AY168" i="18"/>
  <c r="AW168" i="18"/>
  <c r="AU168" i="18"/>
  <c r="AS168" i="18"/>
  <c r="AQ168" i="18"/>
  <c r="AO168" i="18"/>
  <c r="AM168" i="18"/>
  <c r="BI167" i="18"/>
  <c r="BG167" i="18"/>
  <c r="BE167" i="18"/>
  <c r="BC167" i="18"/>
  <c r="BA167" i="18"/>
  <c r="AY167" i="18"/>
  <c r="AW167" i="18"/>
  <c r="AU167" i="18"/>
  <c r="AS167" i="18"/>
  <c r="AQ167" i="18"/>
  <c r="AO167" i="18"/>
  <c r="AM167" i="18"/>
  <c r="BI166" i="18"/>
  <c r="BG166" i="18"/>
  <c r="BE166" i="18"/>
  <c r="BC166" i="18"/>
  <c r="BA166" i="18"/>
  <c r="AY166" i="18"/>
  <c r="AW166" i="18"/>
  <c r="AU166" i="18"/>
  <c r="AS166" i="18"/>
  <c r="AQ166" i="18"/>
  <c r="AO166" i="18"/>
  <c r="AM166" i="18"/>
  <c r="BI165" i="18"/>
  <c r="BG165" i="18"/>
  <c r="BE165" i="18"/>
  <c r="BC165" i="18"/>
  <c r="BA165" i="18"/>
  <c r="AY165" i="18"/>
  <c r="AW165" i="18"/>
  <c r="AU165" i="18"/>
  <c r="AS165" i="18"/>
  <c r="AQ165" i="18"/>
  <c r="AO165" i="18"/>
  <c r="AM165" i="18"/>
  <c r="BI164" i="18"/>
  <c r="BG164" i="18"/>
  <c r="BE164" i="18"/>
  <c r="BC164" i="18"/>
  <c r="BA164" i="18"/>
  <c r="AY164" i="18"/>
  <c r="AW164" i="18"/>
  <c r="AU164" i="18"/>
  <c r="AS164" i="18"/>
  <c r="AQ164" i="18"/>
  <c r="AO164" i="18"/>
  <c r="AM164" i="18"/>
  <c r="BI163" i="18"/>
  <c r="BG163" i="18"/>
  <c r="BE163" i="18"/>
  <c r="BC163" i="18"/>
  <c r="BA163" i="18"/>
  <c r="AY163" i="18"/>
  <c r="AW163" i="18"/>
  <c r="AU163" i="18"/>
  <c r="AS163" i="18"/>
  <c r="AQ163" i="18"/>
  <c r="AO163" i="18"/>
  <c r="AM163" i="18"/>
  <c r="BI162" i="18"/>
  <c r="BG162" i="18"/>
  <c r="BE162" i="18"/>
  <c r="BC162" i="18"/>
  <c r="BA162" i="18"/>
  <c r="AY162" i="18"/>
  <c r="AW162" i="18"/>
  <c r="AU162" i="18"/>
  <c r="AS162" i="18"/>
  <c r="AQ162" i="18"/>
  <c r="AO162" i="18"/>
  <c r="AM162" i="18"/>
  <c r="BI161" i="18"/>
  <c r="BG161" i="18"/>
  <c r="BE161" i="18"/>
  <c r="BC161" i="18"/>
  <c r="BA161" i="18"/>
  <c r="AY161" i="18"/>
  <c r="AW161" i="18"/>
  <c r="AU161" i="18"/>
  <c r="AS161" i="18"/>
  <c r="AQ161" i="18"/>
  <c r="AO161" i="18"/>
  <c r="AM161" i="18"/>
  <c r="BI160" i="18"/>
  <c r="BG160" i="18"/>
  <c r="BE160" i="18"/>
  <c r="BC160" i="18"/>
  <c r="BA160" i="18"/>
  <c r="AY160" i="18"/>
  <c r="AW160" i="18"/>
  <c r="AU160" i="18"/>
  <c r="AS160" i="18"/>
  <c r="AQ160" i="18"/>
  <c r="AO160" i="18"/>
  <c r="AM160" i="18"/>
  <c r="BI159" i="18"/>
  <c r="BG159" i="18"/>
  <c r="BE159" i="18"/>
  <c r="BC159" i="18"/>
  <c r="BA159" i="18"/>
  <c r="AY159" i="18"/>
  <c r="AW159" i="18"/>
  <c r="AU159" i="18"/>
  <c r="AS159" i="18"/>
  <c r="AQ159" i="18"/>
  <c r="AO159" i="18"/>
  <c r="AM159" i="18"/>
  <c r="BI158" i="18"/>
  <c r="BG158" i="18"/>
  <c r="BE158" i="18"/>
  <c r="BC158" i="18"/>
  <c r="BA158" i="18"/>
  <c r="AY158" i="18"/>
  <c r="AW158" i="18"/>
  <c r="AU158" i="18"/>
  <c r="AS158" i="18"/>
  <c r="AQ158" i="18"/>
  <c r="AO158" i="18"/>
  <c r="AM158" i="18"/>
  <c r="BI157" i="18"/>
  <c r="BG157" i="18"/>
  <c r="BE157" i="18"/>
  <c r="BC157" i="18"/>
  <c r="BA157" i="18"/>
  <c r="AY157" i="18"/>
  <c r="AW157" i="18"/>
  <c r="AU157" i="18"/>
  <c r="AS157" i="18"/>
  <c r="AQ157" i="18"/>
  <c r="AO157" i="18"/>
  <c r="AM157" i="18"/>
  <c r="BI156" i="18"/>
  <c r="BG156" i="18"/>
  <c r="BE156" i="18"/>
  <c r="BC156" i="18"/>
  <c r="BA156" i="18"/>
  <c r="AY156" i="18"/>
  <c r="AW156" i="18"/>
  <c r="AU156" i="18"/>
  <c r="AS156" i="18"/>
  <c r="AQ156" i="18"/>
  <c r="AO156" i="18"/>
  <c r="AM156" i="18"/>
  <c r="BI155" i="18"/>
  <c r="BG155" i="18"/>
  <c r="BE155" i="18"/>
  <c r="BC155" i="18"/>
  <c r="BA155" i="18"/>
  <c r="AY155" i="18"/>
  <c r="AW155" i="18"/>
  <c r="AU155" i="18"/>
  <c r="AS155" i="18"/>
  <c r="AQ155" i="18"/>
  <c r="AO155" i="18"/>
  <c r="AM155" i="18"/>
  <c r="BI154" i="18"/>
  <c r="BG154" i="18"/>
  <c r="BE154" i="18"/>
  <c r="BC154" i="18"/>
  <c r="BA154" i="18"/>
  <c r="AY154" i="18"/>
  <c r="AW154" i="18"/>
  <c r="AU154" i="18"/>
  <c r="AS154" i="18"/>
  <c r="AQ154" i="18"/>
  <c r="AO154" i="18"/>
  <c r="AM154" i="18"/>
  <c r="BI153" i="18"/>
  <c r="BG153" i="18"/>
  <c r="BE153" i="18"/>
  <c r="BC153" i="18"/>
  <c r="BA153" i="18"/>
  <c r="AY153" i="18"/>
  <c r="AW153" i="18"/>
  <c r="AU153" i="18"/>
  <c r="AS153" i="18"/>
  <c r="AQ153" i="18"/>
  <c r="AO153" i="18"/>
  <c r="AM153" i="18"/>
  <c r="BI152" i="18"/>
  <c r="BG152" i="18"/>
  <c r="BE152" i="18"/>
  <c r="BC152" i="18"/>
  <c r="BA152" i="18"/>
  <c r="AY152" i="18"/>
  <c r="AW152" i="18"/>
  <c r="AU152" i="18"/>
  <c r="AS152" i="18"/>
  <c r="AQ152" i="18"/>
  <c r="AO152" i="18"/>
  <c r="AM152" i="18"/>
  <c r="BI151" i="18"/>
  <c r="BG151" i="18"/>
  <c r="BE151" i="18"/>
  <c r="BC151" i="18"/>
  <c r="BA151" i="18"/>
  <c r="AY151" i="18"/>
  <c r="AW151" i="18"/>
  <c r="AU151" i="18"/>
  <c r="AS151" i="18"/>
  <c r="AQ151" i="18"/>
  <c r="AO151" i="18"/>
  <c r="AM151" i="18"/>
  <c r="BI150" i="18"/>
  <c r="BG150" i="18"/>
  <c r="BE150" i="18"/>
  <c r="BC150" i="18"/>
  <c r="BA150" i="18"/>
  <c r="AY150" i="18"/>
  <c r="AW150" i="18"/>
  <c r="AU150" i="18"/>
  <c r="AS150" i="18"/>
  <c r="AQ150" i="18"/>
  <c r="AO150" i="18"/>
  <c r="AM150" i="18"/>
  <c r="BI149" i="18"/>
  <c r="BG149" i="18"/>
  <c r="BE149" i="18"/>
  <c r="BC149" i="18"/>
  <c r="BA149" i="18"/>
  <c r="AY149" i="18"/>
  <c r="AW149" i="18"/>
  <c r="AU149" i="18"/>
  <c r="AS149" i="18"/>
  <c r="AQ149" i="18"/>
  <c r="AO149" i="18"/>
  <c r="AM149" i="18"/>
  <c r="BI148" i="18"/>
  <c r="BG148" i="18"/>
  <c r="BE148" i="18"/>
  <c r="BC148" i="18"/>
  <c r="BA148" i="18"/>
  <c r="AY148" i="18"/>
  <c r="AW148" i="18"/>
  <c r="AU148" i="18"/>
  <c r="AS148" i="18"/>
  <c r="AQ148" i="18"/>
  <c r="AO148" i="18"/>
  <c r="AM148" i="18"/>
  <c r="BI147" i="18"/>
  <c r="BG147" i="18"/>
  <c r="BE147" i="18"/>
  <c r="BC147" i="18"/>
  <c r="BA147" i="18"/>
  <c r="AY147" i="18"/>
  <c r="AW147" i="18"/>
  <c r="AU147" i="18"/>
  <c r="AS147" i="18"/>
  <c r="AQ147" i="18"/>
  <c r="AO147" i="18"/>
  <c r="AM147" i="18"/>
  <c r="BI146" i="18"/>
  <c r="BG146" i="18"/>
  <c r="BE146" i="18"/>
  <c r="BC146" i="18"/>
  <c r="BA146" i="18"/>
  <c r="AY146" i="18"/>
  <c r="AW146" i="18"/>
  <c r="AU146" i="18"/>
  <c r="AS146" i="18"/>
  <c r="AQ146" i="18"/>
  <c r="AO146" i="18"/>
  <c r="AM146" i="18"/>
  <c r="BI145" i="18"/>
  <c r="BG145" i="18"/>
  <c r="BE145" i="18"/>
  <c r="BC145" i="18"/>
  <c r="BA145" i="18"/>
  <c r="AY145" i="18"/>
  <c r="AW145" i="18"/>
  <c r="AU145" i="18"/>
  <c r="AS145" i="18"/>
  <c r="AQ145" i="18"/>
  <c r="AO145" i="18"/>
  <c r="AM145" i="18"/>
  <c r="BI144" i="18"/>
  <c r="BG144" i="18"/>
  <c r="BE144" i="18"/>
  <c r="BC144" i="18"/>
  <c r="BA144" i="18"/>
  <c r="AY144" i="18"/>
  <c r="AW144" i="18"/>
  <c r="AU144" i="18"/>
  <c r="AS144" i="18"/>
  <c r="AQ144" i="18"/>
  <c r="AO144" i="18"/>
  <c r="AM144" i="18"/>
  <c r="BI61" i="18"/>
  <c r="BG61" i="18"/>
  <c r="BE61" i="18"/>
  <c r="BC61" i="18"/>
  <c r="BA61" i="18"/>
  <c r="AY61" i="18"/>
  <c r="AW61" i="18"/>
  <c r="AU61" i="18"/>
  <c r="AS61" i="18"/>
  <c r="AQ61" i="18"/>
  <c r="AO61" i="18"/>
  <c r="AM61" i="18"/>
  <c r="BI60" i="18"/>
  <c r="BG60" i="18"/>
  <c r="BE60" i="18"/>
  <c r="BC60" i="18"/>
  <c r="BA60" i="18"/>
  <c r="AY60" i="18"/>
  <c r="AW60" i="18"/>
  <c r="AU60" i="18"/>
  <c r="AS60" i="18"/>
  <c r="AQ60" i="18"/>
  <c r="AO60" i="18"/>
  <c r="AM60" i="18"/>
  <c r="BI59" i="18"/>
  <c r="BG59" i="18"/>
  <c r="BE59" i="18"/>
  <c r="BC59" i="18"/>
  <c r="BA59" i="18"/>
  <c r="AY59" i="18"/>
  <c r="AW59" i="18"/>
  <c r="AU59" i="18"/>
  <c r="AS59" i="18"/>
  <c r="AQ59" i="18"/>
  <c r="AO59" i="18"/>
  <c r="AM59" i="18"/>
  <c r="BI58" i="18"/>
  <c r="BG58" i="18"/>
  <c r="BE58" i="18"/>
  <c r="BC58" i="18"/>
  <c r="BA58" i="18"/>
  <c r="AY58" i="18"/>
  <c r="AW58" i="18"/>
  <c r="AU58" i="18"/>
  <c r="AS58" i="18"/>
  <c r="AQ58" i="18"/>
  <c r="AO58" i="18"/>
  <c r="AM58" i="18"/>
  <c r="BI55" i="18"/>
  <c r="BG55" i="18"/>
  <c r="BE55" i="18"/>
  <c r="BC55" i="18"/>
  <c r="BA55" i="18"/>
  <c r="AY55" i="18"/>
  <c r="AW55" i="18"/>
  <c r="AU55" i="18"/>
  <c r="AS55" i="18"/>
  <c r="AQ55" i="18"/>
  <c r="AO55" i="18"/>
  <c r="AM55" i="18"/>
  <c r="BI54" i="18"/>
  <c r="BG54" i="18"/>
  <c r="BE54" i="18"/>
  <c r="BC54" i="18"/>
  <c r="BA54" i="18"/>
  <c r="AY54" i="18"/>
  <c r="AW54" i="18"/>
  <c r="AU54" i="18"/>
  <c r="AS54" i="18"/>
  <c r="AQ54" i="18"/>
  <c r="AO54" i="18"/>
  <c r="AM54" i="18"/>
  <c r="BI52" i="18"/>
  <c r="BG52" i="18"/>
  <c r="BE52" i="18"/>
  <c r="BC52" i="18"/>
  <c r="BA52" i="18"/>
  <c r="AY52" i="18"/>
  <c r="AW52" i="18"/>
  <c r="AU52" i="18"/>
  <c r="AS52" i="18"/>
  <c r="AQ52" i="18"/>
  <c r="AO52" i="18"/>
  <c r="AM52" i="18"/>
  <c r="BI51" i="18"/>
  <c r="BG51" i="18"/>
  <c r="BE51" i="18"/>
  <c r="BC51" i="18"/>
  <c r="BA51" i="18"/>
  <c r="AY51" i="18"/>
  <c r="AW51" i="18"/>
  <c r="AU51" i="18"/>
  <c r="AS51" i="18"/>
  <c r="AQ51" i="18"/>
  <c r="AO51" i="18"/>
  <c r="AM51" i="18"/>
  <c r="BI50" i="18"/>
  <c r="BG50" i="18"/>
  <c r="BE50" i="18"/>
  <c r="BC50" i="18"/>
  <c r="BA50" i="18"/>
  <c r="AY50" i="18"/>
  <c r="AW50" i="18"/>
  <c r="AU50" i="18"/>
  <c r="AS50" i="18"/>
  <c r="AQ50" i="18"/>
  <c r="AO50" i="18"/>
  <c r="AM50" i="18"/>
  <c r="BI49" i="18"/>
  <c r="BG49" i="18"/>
  <c r="BE49" i="18"/>
  <c r="BC49" i="18"/>
  <c r="BA49" i="18"/>
  <c r="AY49" i="18"/>
  <c r="AW49" i="18"/>
  <c r="AU49" i="18"/>
  <c r="AS49" i="18"/>
  <c r="AQ49" i="18"/>
  <c r="AO49" i="18"/>
  <c r="AM49" i="18"/>
  <c r="BI48" i="18"/>
  <c r="BG48" i="18"/>
  <c r="BE48" i="18"/>
  <c r="BC48" i="18"/>
  <c r="BA48" i="18"/>
  <c r="AY48" i="18"/>
  <c r="AW48" i="18"/>
  <c r="AU48" i="18"/>
  <c r="AS48" i="18"/>
  <c r="AQ48" i="18"/>
  <c r="AO48" i="18"/>
  <c r="AM48" i="18"/>
  <c r="BI47" i="18"/>
  <c r="BG47" i="18"/>
  <c r="BE47" i="18"/>
  <c r="BC47" i="18"/>
  <c r="BA47" i="18"/>
  <c r="AY47" i="18"/>
  <c r="AW47" i="18"/>
  <c r="AU47" i="18"/>
  <c r="AS47" i="18"/>
  <c r="AQ47" i="18"/>
  <c r="AO47" i="18"/>
  <c r="AM47" i="18"/>
  <c r="BI46" i="18"/>
  <c r="BG46" i="18"/>
  <c r="BE46" i="18"/>
  <c r="BC46" i="18"/>
  <c r="BA46" i="18"/>
  <c r="AY46" i="18"/>
  <c r="AW46" i="18"/>
  <c r="AU46" i="18"/>
  <c r="AS46" i="18"/>
  <c r="AQ46" i="18"/>
  <c r="AO46" i="18"/>
  <c r="AM46" i="18"/>
  <c r="BI45" i="18"/>
  <c r="BG45" i="18"/>
  <c r="BE45" i="18"/>
  <c r="BC45" i="18"/>
  <c r="BA45" i="18"/>
  <c r="AY45" i="18"/>
  <c r="AW45" i="18"/>
  <c r="AU45" i="18"/>
  <c r="AS45" i="18"/>
  <c r="AQ45" i="18"/>
  <c r="AO45" i="18"/>
  <c r="AM45" i="18"/>
  <c r="BI44" i="18"/>
  <c r="BG44" i="18"/>
  <c r="BE44" i="18"/>
  <c r="BC44" i="18"/>
  <c r="BA44" i="18"/>
  <c r="AY44" i="18"/>
  <c r="AW44" i="18"/>
  <c r="AU44" i="18"/>
  <c r="AS44" i="18"/>
  <c r="AQ44" i="18"/>
  <c r="AO44" i="18"/>
  <c r="AM44" i="18"/>
  <c r="BI43" i="18"/>
  <c r="BG43" i="18"/>
  <c r="BE43" i="18"/>
  <c r="BC43" i="18"/>
  <c r="BA43" i="18"/>
  <c r="AY43" i="18"/>
  <c r="AW43" i="18"/>
  <c r="AU43" i="18"/>
  <c r="AS43" i="18"/>
  <c r="AQ43" i="18"/>
  <c r="AO43" i="18"/>
  <c r="AM43" i="18"/>
  <c r="BI42" i="18"/>
  <c r="BG42" i="18"/>
  <c r="BE42" i="18"/>
  <c r="BC42" i="18"/>
  <c r="BA42" i="18"/>
  <c r="AY42" i="18"/>
  <c r="AW42" i="18"/>
  <c r="AU42" i="18"/>
  <c r="AS42" i="18"/>
  <c r="AQ42" i="18"/>
  <c r="AO42" i="18"/>
  <c r="AM42" i="18"/>
  <c r="BI41" i="18"/>
  <c r="BG41" i="18"/>
  <c r="BE41" i="18"/>
  <c r="BC41" i="18"/>
  <c r="BA41" i="18"/>
  <c r="AY41" i="18"/>
  <c r="AW41" i="18"/>
  <c r="AU41" i="18"/>
  <c r="AS41" i="18"/>
  <c r="AQ41" i="18"/>
  <c r="AO41" i="18"/>
  <c r="AM41" i="18"/>
  <c r="BI40" i="18"/>
  <c r="BG40" i="18"/>
  <c r="BE40" i="18"/>
  <c r="BC40" i="18"/>
  <c r="BA40" i="18"/>
  <c r="AY40" i="18"/>
  <c r="AW40" i="18"/>
  <c r="AU40" i="18"/>
  <c r="AS40" i="18"/>
  <c r="AQ40" i="18"/>
  <c r="AO40" i="18"/>
  <c r="AM40" i="18"/>
  <c r="BI37" i="18"/>
  <c r="BG37" i="18"/>
  <c r="BE37" i="18"/>
  <c r="BC37" i="18"/>
  <c r="BA37" i="18"/>
  <c r="AY37" i="18"/>
  <c r="AW37" i="18"/>
  <c r="AU37" i="18"/>
  <c r="AS37" i="18"/>
  <c r="AQ37" i="18"/>
  <c r="AO37" i="18"/>
  <c r="AM37" i="18"/>
  <c r="BI36" i="18"/>
  <c r="BG36" i="18"/>
  <c r="BE36" i="18"/>
  <c r="BC36" i="18"/>
  <c r="BA36" i="18"/>
  <c r="AY36" i="18"/>
  <c r="AW36" i="18"/>
  <c r="AU36" i="18"/>
  <c r="AS36" i="18"/>
  <c r="AQ36" i="18"/>
  <c r="AO36" i="18"/>
  <c r="AM36" i="18"/>
  <c r="BI35" i="18"/>
  <c r="BG35" i="18"/>
  <c r="BE35" i="18"/>
  <c r="BC35" i="18"/>
  <c r="BA35" i="18"/>
  <c r="AY35" i="18"/>
  <c r="AW35" i="18"/>
  <c r="AU35" i="18"/>
  <c r="AS35" i="18"/>
  <c r="AQ35" i="18"/>
  <c r="AO35" i="18"/>
  <c r="AM35" i="18"/>
  <c r="BI34" i="18"/>
  <c r="BG34" i="18"/>
  <c r="BE34" i="18"/>
  <c r="BC34" i="18"/>
  <c r="BA34" i="18"/>
  <c r="AY34" i="18"/>
  <c r="AW34" i="18"/>
  <c r="AU34" i="18"/>
  <c r="AS34" i="18"/>
  <c r="AQ34" i="18"/>
  <c r="AO34" i="18"/>
  <c r="AM34" i="18"/>
  <c r="BI30" i="18"/>
  <c r="BG30" i="18"/>
  <c r="BE30" i="18"/>
  <c r="BC30" i="18"/>
  <c r="BA30" i="18"/>
  <c r="AY30" i="18"/>
  <c r="AW30" i="18"/>
  <c r="AU30" i="18"/>
  <c r="AS30" i="18"/>
  <c r="AQ30" i="18"/>
  <c r="AO30" i="18"/>
  <c r="AM30" i="18"/>
  <c r="BI28" i="18"/>
  <c r="BG28" i="18"/>
  <c r="BE28" i="18"/>
  <c r="BC28" i="18"/>
  <c r="BA28" i="18"/>
  <c r="AY28" i="18"/>
  <c r="AW28" i="18"/>
  <c r="AU28" i="18"/>
  <c r="AS28" i="18"/>
  <c r="AQ28" i="18"/>
  <c r="AO28" i="18"/>
  <c r="AM28" i="18"/>
  <c r="BI27" i="18"/>
  <c r="BG27" i="18"/>
  <c r="BE27" i="18"/>
  <c r="BC27" i="18"/>
  <c r="BA27" i="18"/>
  <c r="AY27" i="18"/>
  <c r="AW27" i="18"/>
  <c r="AU27" i="18"/>
  <c r="AS27" i="18"/>
  <c r="AQ27" i="18"/>
  <c r="AO27" i="18"/>
  <c r="AM27" i="18"/>
  <c r="BI26" i="18"/>
  <c r="BG26" i="18"/>
  <c r="BE26" i="18"/>
  <c r="BC26" i="18"/>
  <c r="BA26" i="18"/>
  <c r="AY26" i="18"/>
  <c r="AW26" i="18"/>
  <c r="AU26" i="18"/>
  <c r="AS26" i="18"/>
  <c r="AQ26" i="18"/>
  <c r="AO26" i="18"/>
  <c r="AM26" i="18"/>
  <c r="BI25" i="18"/>
  <c r="BG25" i="18"/>
  <c r="BE25" i="18"/>
  <c r="BC25" i="18"/>
  <c r="BA25" i="18"/>
  <c r="AY25" i="18"/>
  <c r="AW25" i="18"/>
  <c r="AU25" i="18"/>
  <c r="AS25" i="18"/>
  <c r="AQ25" i="18"/>
  <c r="AO25" i="18"/>
  <c r="AM25" i="18"/>
  <c r="BI24" i="18"/>
  <c r="BG24" i="18"/>
  <c r="BE24" i="18"/>
  <c r="BC24" i="18"/>
  <c r="BA24" i="18"/>
  <c r="AY24" i="18"/>
  <c r="AW24" i="18"/>
  <c r="AU24" i="18"/>
  <c r="AS24" i="18"/>
  <c r="AQ24" i="18"/>
  <c r="AO24" i="18"/>
  <c r="AM24" i="18"/>
  <c r="BI23" i="18"/>
  <c r="BG23" i="18"/>
  <c r="BE23" i="18"/>
  <c r="BC23" i="18"/>
  <c r="BA23" i="18"/>
  <c r="AY23" i="18"/>
  <c r="AW23" i="18"/>
  <c r="AU23" i="18"/>
  <c r="AS23" i="18"/>
  <c r="AQ23" i="18"/>
  <c r="AO23" i="18"/>
  <c r="AM23" i="18"/>
  <c r="BI22" i="18"/>
  <c r="BG22" i="18"/>
  <c r="BE22" i="18"/>
  <c r="BC22" i="18"/>
  <c r="BA22" i="18"/>
  <c r="AY22" i="18"/>
  <c r="AW22" i="18"/>
  <c r="AU22" i="18"/>
  <c r="AS22" i="18"/>
  <c r="AQ22" i="18"/>
  <c r="AO22" i="18"/>
  <c r="AM22" i="18"/>
  <c r="BI21" i="18"/>
  <c r="BG21" i="18"/>
  <c r="BE21" i="18"/>
  <c r="BC21" i="18"/>
  <c r="BA21" i="18"/>
  <c r="AY21" i="18"/>
  <c r="AW21" i="18"/>
  <c r="AU21" i="18"/>
  <c r="AS21" i="18"/>
  <c r="AQ21" i="18"/>
  <c r="AO21" i="18"/>
  <c r="AM21" i="18"/>
  <c r="BI20" i="18"/>
  <c r="BG20" i="18"/>
  <c r="BE20" i="18"/>
  <c r="BC20" i="18"/>
  <c r="BA20" i="18"/>
  <c r="AY20" i="18"/>
  <c r="AW20" i="18"/>
  <c r="AU20" i="18"/>
  <c r="AS20" i="18"/>
  <c r="AQ20" i="18"/>
  <c r="AO20" i="18"/>
  <c r="AM20" i="18"/>
  <c r="BI19" i="18"/>
  <c r="BG19" i="18"/>
  <c r="BE19" i="18"/>
  <c r="BC19" i="18"/>
  <c r="BA19" i="18"/>
  <c r="AY19" i="18"/>
  <c r="AW19" i="18"/>
  <c r="AU19" i="18"/>
  <c r="AS19" i="18"/>
  <c r="AQ19" i="18"/>
  <c r="AO19" i="18"/>
  <c r="AM19" i="18"/>
  <c r="BI18" i="18"/>
  <c r="BG18" i="18"/>
  <c r="BE18" i="18"/>
  <c r="BC18" i="18"/>
  <c r="BA18" i="18"/>
  <c r="AY18" i="18"/>
  <c r="AW18" i="18"/>
  <c r="AU18" i="18"/>
  <c r="AS18" i="18"/>
  <c r="AQ18" i="18"/>
  <c r="AO18" i="18"/>
  <c r="AM18" i="18"/>
  <c r="BI17" i="18"/>
  <c r="BG17" i="18"/>
  <c r="BE17" i="18"/>
  <c r="BC17" i="18"/>
  <c r="BA17" i="18"/>
  <c r="AY17" i="18"/>
  <c r="AW17" i="18"/>
  <c r="AU17" i="18"/>
  <c r="AS17" i="18"/>
  <c r="AQ17" i="18"/>
  <c r="AO17" i="18"/>
  <c r="AM17" i="18"/>
  <c r="BI16" i="18"/>
  <c r="BG16" i="18"/>
  <c r="BE16" i="18"/>
  <c r="BC16" i="18"/>
  <c r="BA16" i="18"/>
  <c r="AY16" i="18"/>
  <c r="AW16" i="18"/>
  <c r="AU16" i="18"/>
  <c r="AS16" i="18"/>
  <c r="AQ16" i="18"/>
  <c r="AO16" i="18"/>
  <c r="AM16" i="18"/>
  <c r="BI15" i="18"/>
  <c r="BG15" i="18"/>
  <c r="BE15" i="18"/>
  <c r="BC15" i="18"/>
  <c r="BA15" i="18"/>
  <c r="AY15" i="18"/>
  <c r="AW15" i="18"/>
  <c r="AU15" i="18"/>
  <c r="AS15" i="18"/>
  <c r="AQ15" i="18"/>
  <c r="AO15" i="18"/>
  <c r="AM15" i="18"/>
  <c r="BI14" i="18"/>
  <c r="BG14" i="18"/>
  <c r="BE14" i="18"/>
  <c r="BC14" i="18"/>
  <c r="BA14" i="18"/>
  <c r="AY14" i="18"/>
  <c r="AW14" i="18"/>
  <c r="AU14" i="18"/>
  <c r="AS14" i="18"/>
  <c r="AQ14" i="18"/>
  <c r="AO14" i="18"/>
  <c r="AM14" i="18"/>
  <c r="BI13" i="18"/>
  <c r="BG13" i="18"/>
  <c r="BE13" i="18"/>
  <c r="BC13" i="18"/>
  <c r="BA13" i="18"/>
  <c r="AY13" i="18"/>
  <c r="AW13" i="18"/>
  <c r="AU13" i="18"/>
  <c r="AS13" i="18"/>
  <c r="AQ13" i="18"/>
  <c r="AO13" i="18"/>
  <c r="AM13" i="18"/>
  <c r="BI12" i="18"/>
  <c r="BG12" i="18"/>
  <c r="BE12" i="18"/>
  <c r="BC12" i="18"/>
  <c r="BA12" i="18"/>
  <c r="AY12" i="18"/>
  <c r="AW12" i="18"/>
  <c r="AU12" i="18"/>
  <c r="AS12" i="18"/>
  <c r="AQ12" i="18"/>
  <c r="AO12" i="18"/>
  <c r="AM12" i="18"/>
  <c r="BI11" i="18"/>
  <c r="BG11" i="18"/>
  <c r="BE11" i="18"/>
  <c r="BC11" i="18"/>
  <c r="BA11" i="18"/>
  <c r="AY11" i="18"/>
  <c r="AW11" i="18"/>
  <c r="AU11" i="18"/>
  <c r="AS11" i="18"/>
  <c r="AQ11" i="18"/>
  <c r="AO11" i="18"/>
  <c r="AM11" i="18"/>
  <c r="BI10" i="18"/>
  <c r="BG10" i="18"/>
  <c r="BE10" i="18"/>
  <c r="BC10" i="18"/>
  <c r="BA10" i="18"/>
  <c r="AY10" i="18"/>
  <c r="AW10" i="18"/>
  <c r="AU10" i="18"/>
  <c r="AS10" i="18"/>
  <c r="AQ10" i="18"/>
  <c r="AO10" i="18"/>
  <c r="AM10" i="18"/>
  <c r="BI9" i="18"/>
  <c r="BG9" i="18"/>
  <c r="BE9" i="18"/>
  <c r="BC9" i="18"/>
  <c r="BA9" i="18"/>
  <c r="AY9" i="18"/>
  <c r="AW9" i="18"/>
  <c r="AU9" i="18"/>
  <c r="AS9" i="18"/>
  <c r="AQ9" i="18"/>
  <c r="AO9" i="18"/>
  <c r="AM9" i="18"/>
  <c r="BI8" i="18"/>
  <c r="BG8" i="18"/>
  <c r="BE8" i="18"/>
  <c r="BC8" i="18"/>
  <c r="BA8" i="18"/>
  <c r="AY8" i="18"/>
  <c r="AW8" i="18"/>
  <c r="AU8" i="18"/>
  <c r="AS8" i="18"/>
  <c r="AQ8" i="18"/>
  <c r="AO8" i="18"/>
  <c r="AM8" i="18"/>
  <c r="BI7" i="18"/>
  <c r="BG7" i="18"/>
  <c r="BE7" i="18"/>
  <c r="BC7" i="18"/>
  <c r="BA7" i="18"/>
  <c r="AY7" i="18"/>
  <c r="AW7" i="18"/>
  <c r="AU7" i="18"/>
  <c r="AS7" i="18"/>
  <c r="AQ7" i="18"/>
  <c r="AO7" i="18"/>
  <c r="AM7" i="18"/>
  <c r="BI6" i="18"/>
  <c r="BG6" i="18"/>
  <c r="BE6" i="18"/>
  <c r="BC6" i="18"/>
  <c r="BA6" i="18"/>
  <c r="AY6" i="18"/>
  <c r="AW6" i="18"/>
  <c r="AU6" i="18"/>
  <c r="AS6" i="18"/>
  <c r="AQ6" i="18"/>
  <c r="AO6" i="18"/>
  <c r="AM6" i="18"/>
  <c r="BI5" i="18"/>
  <c r="BG5" i="18"/>
  <c r="BE5" i="18"/>
  <c r="BC5" i="18"/>
  <c r="BA5" i="18"/>
  <c r="AY5" i="18"/>
  <c r="AW5" i="18"/>
  <c r="AU5" i="18"/>
  <c r="AS5" i="18"/>
  <c r="AQ5" i="18"/>
  <c r="AO5" i="18"/>
  <c r="AM5" i="18"/>
  <c r="BI4" i="18"/>
  <c r="BG4" i="18"/>
  <c r="BE4" i="18"/>
  <c r="BC4" i="18"/>
  <c r="BA4" i="18"/>
  <c r="AY4" i="18"/>
  <c r="AW4" i="18"/>
  <c r="AU4" i="18"/>
  <c r="AS4" i="18"/>
  <c r="AQ4" i="18"/>
  <c r="AO4" i="18"/>
  <c r="AM4" i="18"/>
  <c r="BI3" i="18"/>
  <c r="BG3" i="18"/>
  <c r="BE3" i="18"/>
  <c r="BC3" i="18"/>
  <c r="BA3" i="18"/>
  <c r="AY3" i="18"/>
  <c r="AW3" i="18"/>
  <c r="AU3" i="18"/>
  <c r="AS3" i="18"/>
  <c r="AQ3" i="18"/>
  <c r="AO3" i="18"/>
  <c r="AM3" i="18"/>
  <c r="F112" i="17" l="1"/>
  <c r="F111" i="17"/>
  <c r="F110" i="17"/>
  <c r="F109" i="17"/>
  <c r="F101" i="17"/>
  <c r="F82" i="17"/>
  <c r="F81" i="17"/>
  <c r="F80" i="17"/>
  <c r="F79" i="17"/>
  <c r="F71" i="17"/>
  <c r="F51" i="17"/>
  <c r="F50" i="17"/>
  <c r="F49" i="17"/>
  <c r="F48" i="17"/>
  <c r="F40" i="17"/>
  <c r="F120" i="17"/>
  <c r="F119" i="17"/>
  <c r="F118" i="17"/>
  <c r="F117" i="17"/>
  <c r="F90" i="17"/>
  <c r="F89" i="17"/>
  <c r="F88" i="17"/>
  <c r="F87" i="17"/>
  <c r="F60" i="17"/>
  <c r="F59" i="17"/>
  <c r="F58" i="17"/>
  <c r="F57" i="17"/>
  <c r="F29" i="17"/>
  <c r="F28" i="17"/>
  <c r="F27" i="17"/>
  <c r="F26" i="17"/>
  <c r="F20" i="17"/>
  <c r="F19" i="17"/>
  <c r="F18" i="17"/>
  <c r="F17" i="17"/>
  <c r="F9" i="17"/>
  <c r="E103" i="17" l="1"/>
  <c r="D11" i="17"/>
  <c r="E11" i="17"/>
  <c r="C11" i="17"/>
  <c r="C42" i="17"/>
  <c r="D42" i="17"/>
  <c r="E42" i="17"/>
  <c r="D73" i="17"/>
  <c r="E73" i="17"/>
  <c r="C103" i="17"/>
  <c r="C73" i="17"/>
  <c r="D103" i="17"/>
  <c r="F73" i="17" l="1"/>
  <c r="F42" i="17"/>
  <c r="F11" i="17"/>
  <c r="F103" i="17"/>
  <c r="D15" i="17" l="1"/>
  <c r="C15" i="17"/>
  <c r="E15" i="17"/>
  <c r="C47" i="17"/>
  <c r="D78" i="17"/>
  <c r="D106" i="17"/>
  <c r="C107" i="17"/>
  <c r="E106" i="17"/>
  <c r="E77" i="17"/>
  <c r="D46" i="17"/>
  <c r="E45" i="17"/>
  <c r="E78" i="17"/>
  <c r="D107" i="17"/>
  <c r="E107" i="17"/>
  <c r="C78" i="17"/>
  <c r="D16" i="17"/>
  <c r="D47" i="17"/>
  <c r="E46" i="17"/>
  <c r="C76" i="17"/>
  <c r="C108" i="17"/>
  <c r="E16" i="17"/>
  <c r="C16" i="17"/>
  <c r="C106" i="17"/>
  <c r="C45" i="17"/>
  <c r="D76" i="17"/>
  <c r="D108" i="17"/>
  <c r="D45" i="17"/>
  <c r="D14" i="17"/>
  <c r="E14" i="17"/>
  <c r="E3" i="17"/>
  <c r="E12" i="17"/>
  <c r="C77" i="17"/>
  <c r="E108" i="17"/>
  <c r="C14" i="17"/>
  <c r="C3" i="17"/>
  <c r="C12" i="17"/>
  <c r="C46" i="17"/>
  <c r="E47" i="17"/>
  <c r="D77" i="17"/>
  <c r="E76" i="17"/>
  <c r="F15" i="17" l="1"/>
  <c r="F106" i="17"/>
  <c r="F78" i="17"/>
  <c r="F45" i="17"/>
  <c r="F77" i="17"/>
  <c r="F76" i="17"/>
  <c r="F16" i="17"/>
  <c r="F107" i="17"/>
  <c r="F46" i="17"/>
  <c r="F108" i="17"/>
  <c r="F47" i="17"/>
  <c r="F14" i="17"/>
  <c r="F27" i="16"/>
  <c r="F26" i="16"/>
  <c r="F20" i="16"/>
  <c r="F19" i="16"/>
  <c r="F13" i="16"/>
  <c r="F12" i="16"/>
  <c r="F6" i="16"/>
  <c r="F5" i="16"/>
  <c r="D39" i="17" l="1"/>
  <c r="E8" i="17"/>
  <c r="C39" i="17"/>
  <c r="C37" i="17"/>
  <c r="E97" i="17"/>
  <c r="E39" i="17"/>
  <c r="C97" i="17"/>
  <c r="C70" i="17"/>
  <c r="D70" i="17"/>
  <c r="D38" i="17"/>
  <c r="E6" i="17"/>
  <c r="D97" i="17"/>
  <c r="E69" i="17"/>
  <c r="C5" i="17"/>
  <c r="D3" i="17"/>
  <c r="D12" i="17"/>
  <c r="F12" i="17" s="1"/>
  <c r="D100" i="17"/>
  <c r="C13" i="17"/>
  <c r="C10" i="17"/>
  <c r="C34" i="17"/>
  <c r="C43" i="17"/>
  <c r="D35" i="17"/>
  <c r="C36" i="17"/>
  <c r="D13" i="17"/>
  <c r="D10" i="17"/>
  <c r="D43" i="17"/>
  <c r="D34" i="17"/>
  <c r="E70" i="17"/>
  <c r="E13" i="17"/>
  <c r="E10" i="17"/>
  <c r="E43" i="17"/>
  <c r="E34" i="17"/>
  <c r="C100" i="17"/>
  <c r="E4" i="17"/>
  <c r="E36" i="17"/>
  <c r="E37" i="17"/>
  <c r="E38" i="17"/>
  <c r="C96" i="17"/>
  <c r="D4" i="17"/>
  <c r="E100" i="17"/>
  <c r="C41" i="17"/>
  <c r="C44" i="17"/>
  <c r="C65" i="17"/>
  <c r="C74" i="17"/>
  <c r="C67" i="17"/>
  <c r="C99" i="17"/>
  <c r="D96" i="17"/>
  <c r="E96" i="17"/>
  <c r="D7" i="17"/>
  <c r="D44" i="17"/>
  <c r="D41" i="17"/>
  <c r="D65" i="17"/>
  <c r="D74" i="17"/>
  <c r="D68" i="17"/>
  <c r="D69" i="17"/>
  <c r="D99" i="17"/>
  <c r="E99" i="17"/>
  <c r="E44" i="17"/>
  <c r="E41" i="17"/>
  <c r="E74" i="17"/>
  <c r="E65" i="17"/>
  <c r="C69" i="17"/>
  <c r="C66" i="17"/>
  <c r="E67" i="17"/>
  <c r="E68" i="17"/>
  <c r="C7" i="17"/>
  <c r="C4" i="17"/>
  <c r="E7" i="17"/>
  <c r="C75" i="17"/>
  <c r="C72" i="17"/>
  <c r="C104" i="17"/>
  <c r="C95" i="17"/>
  <c r="E35" i="17"/>
  <c r="D6" i="17"/>
  <c r="D75" i="17"/>
  <c r="D72" i="17"/>
  <c r="D95" i="17"/>
  <c r="D104" i="17"/>
  <c r="C68" i="17"/>
  <c r="D66" i="17"/>
  <c r="D36" i="17"/>
  <c r="D98" i="17"/>
  <c r="E5" i="17"/>
  <c r="E75" i="17"/>
  <c r="E72" i="17"/>
  <c r="E95" i="17"/>
  <c r="E104" i="17"/>
  <c r="D67" i="17"/>
  <c r="C98" i="17"/>
  <c r="E98" i="17"/>
  <c r="C35" i="17"/>
  <c r="C105" i="17"/>
  <c r="C102" i="17"/>
  <c r="D37" i="17"/>
  <c r="E66" i="17"/>
  <c r="C6" i="17"/>
  <c r="C38" i="17"/>
  <c r="C8" i="17"/>
  <c r="D105" i="17"/>
  <c r="D102" i="17"/>
  <c r="D5" i="17"/>
  <c r="D8" i="17"/>
  <c r="E105" i="17"/>
  <c r="E102" i="17"/>
  <c r="BA1" i="18"/>
  <c r="D18" i="16" s="1"/>
  <c r="D21" i="16" s="1"/>
  <c r="BG1" i="18"/>
  <c r="D25" i="16" s="1"/>
  <c r="D28" i="16" s="1"/>
  <c r="AY1" i="18"/>
  <c r="C18" i="16" s="1"/>
  <c r="C21" i="16" s="1"/>
  <c r="BC1" i="18"/>
  <c r="E18" i="16" s="1"/>
  <c r="E21" i="16" s="1"/>
  <c r="AO1" i="18"/>
  <c r="D4" i="16" s="1"/>
  <c r="D7" i="16" s="1"/>
  <c r="AS1" i="18"/>
  <c r="C11" i="16" s="1"/>
  <c r="AM1" i="18"/>
  <c r="C4" i="16" s="1"/>
  <c r="AU1" i="18"/>
  <c r="D11" i="16" s="1"/>
  <c r="D14" i="16" s="1"/>
  <c r="AW1" i="18"/>
  <c r="E11" i="16" s="1"/>
  <c r="E14" i="16" s="1"/>
  <c r="AQ1" i="18"/>
  <c r="E4" i="16" s="1"/>
  <c r="E7" i="16" s="1"/>
  <c r="BE1" i="18"/>
  <c r="C25" i="16" s="1"/>
  <c r="BI1" i="18"/>
  <c r="E25" i="16" s="1"/>
  <c r="E28" i="16" s="1"/>
  <c r="F37" i="17" l="1"/>
  <c r="F70" i="17"/>
  <c r="F39" i="17"/>
  <c r="F97" i="17"/>
  <c r="F6" i="17"/>
  <c r="F36" i="17"/>
  <c r="F104" i="17"/>
  <c r="F69" i="17"/>
  <c r="F96" i="17"/>
  <c r="F5" i="17"/>
  <c r="F41" i="17"/>
  <c r="F98" i="17"/>
  <c r="F72" i="17"/>
  <c r="F75" i="17"/>
  <c r="E116" i="17"/>
  <c r="D86" i="17"/>
  <c r="F43" i="17"/>
  <c r="C56" i="17"/>
  <c r="F34" i="17"/>
  <c r="F38" i="17"/>
  <c r="F7" i="17"/>
  <c r="E25" i="17"/>
  <c r="F10" i="17"/>
  <c r="F100" i="17"/>
  <c r="F13" i="17"/>
  <c r="F66" i="17"/>
  <c r="F8" i="17"/>
  <c r="F68" i="17"/>
  <c r="E56" i="17"/>
  <c r="F4" i="17"/>
  <c r="C25" i="17"/>
  <c r="F99" i="17"/>
  <c r="F102" i="17"/>
  <c r="D116" i="17"/>
  <c r="E86" i="17"/>
  <c r="F67" i="17"/>
  <c r="D25" i="17"/>
  <c r="F3" i="17"/>
  <c r="C116" i="17"/>
  <c r="F95" i="17"/>
  <c r="F105" i="17"/>
  <c r="F74" i="17"/>
  <c r="F35" i="17"/>
  <c r="C86" i="17"/>
  <c r="F65" i="17"/>
  <c r="F44" i="17"/>
  <c r="D56" i="17"/>
  <c r="F18" i="16"/>
  <c r="F21" i="16" s="1"/>
  <c r="F4" i="16"/>
  <c r="F7" i="16" s="1"/>
  <c r="F11" i="16"/>
  <c r="F14" i="16" s="1"/>
  <c r="C7" i="16"/>
  <c r="C14" i="16"/>
  <c r="F25" i="16"/>
  <c r="F28" i="16" s="1"/>
  <c r="C28" i="16"/>
  <c r="F83" i="17" l="1"/>
  <c r="F86" i="17"/>
  <c r="F91" i="17" s="1"/>
  <c r="F116" i="17"/>
  <c r="F121" i="17" s="1"/>
  <c r="F113" i="17"/>
  <c r="F21" i="17"/>
  <c r="F52" i="17"/>
  <c r="F56" i="17"/>
  <c r="F61" i="17" s="1"/>
  <c r="F25" i="17"/>
  <c r="F30" i="17" s="1"/>
</calcChain>
</file>

<file path=xl/sharedStrings.xml><?xml version="1.0" encoding="utf-8"?>
<sst xmlns="http://schemas.openxmlformats.org/spreadsheetml/2006/main" count="3404" uniqueCount="721">
  <si>
    <t>ID</t>
  </si>
  <si>
    <t>Action</t>
  </si>
  <si>
    <t>Remark</t>
  </si>
  <si>
    <t>A-M欄及BM-BP欄照理來說不會更動只會新增</t>
  </si>
  <si>
    <t>檔名的部分請像這樣 "Rebate and Spending report Supplier’s name_2025 01"，勿加上其他說明，若有V2版本請寫 "Rebate and Spending report Supplier’s name_2025 01_V2"</t>
  </si>
  <si>
    <t>請全年度都放在同一個tab，Summary也是Q1-Q4都放在一起，若有更新的年度請一樣要加上對應的Summary</t>
  </si>
  <si>
    <t>Title相關規範請看右方所示, 請按照此欄位進行填寫, 勿更改資料次序
*上面也附上Example, 參考的顏色表以及Mason的PDF instruction</t>
  </si>
  <si>
    <t>A欄位:打上年度，新年度記得要更新</t>
  </si>
  <si>
    <t>B欄位: SPM, 請填全名, ex Benson Chen, 而不是Benson，若SPM有異動也請更新</t>
  </si>
  <si>
    <r>
      <t xml:space="preserve">C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一律填自己公司名稱</t>
    </r>
  </si>
  <si>
    <r>
      <t>D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</si>
  <si>
    <t>E欄位 : 請照上方指示, 勿自創提詞</t>
  </si>
  <si>
    <t>F欄位 : Peripheral只需填寫Peripheral</t>
  </si>
  <si>
    <t>G欄位 : 已更新到2025</t>
  </si>
  <si>
    <t>H欄位 : 
-請一定不能空白此欄位，不然後面的數字都會讀不到
-如果多個platforms共用同keyboard, 請用 '/' 去 group這些platforms，大小寫沒關係。
-請Platform name請跟LTF一模一樣，像是有些後面會加上尺寸也請加上( BAYMAX14/LUISA14/BAYMAXW14/BAYMAX13/BAYMAX13X)
-請用"/"來 Grouping 不同 Platform (e.g. ANDAZ/ABU) ，勿用其他符號，錯誤範例如:ANDAZ&amp;ABU</t>
  </si>
  <si>
    <t>I欄位 : 請照上方指示, 勿自創提詞</t>
  </si>
  <si>
    <t>J欄位 : 如果沒有Size，則填寫"NA/"，請注意不要只寫"NA"</t>
  </si>
  <si>
    <t>K欄 : 
-要注意勿將 Color grouping 在一起，像是Jet Black/Soft Grey，若有n個顏色需分成n筆資料去填
-如果沒有Color，則填寫"NA/"，請注意不要只寫"NA"
-Color 需確保填寫正確，如 SEAFOAM TEAL PEARL 需完整打出來，避免填成 SEAFOAM TEAL
-請確保在顏色中間加上空格，大小寫沒關係。
-關於灰色，請使用“Grey” 而非“Gray”
-Color 欄位需保持正常format，像是 PERFORMANCE BLUE OPAQUE 請避免填成 PERFORMANCE BLUE OPAQUE-RGB
-針對CNB Gaming，關於Numpad及RGB方面請遵照以下方式及右方的說明 : 
RGB Per Key W Numpad_Soft Grey
RGB Per Key W/O Numpad_Soft Grey
1 Zone W Numpad_Soft Grey, 1 Zone Red W Numpad_Soft Grey
4 Zone RGB W Numpad_Soft Grey
1 Zone W/O Numpad_Soft Grey, 1 Zone Red W/O Numpad_Soft Grey
4 Zone RGB W/O Numpad_Soft Grey
1 Zone RGB W Numpad_Soft Grey
1 Zone RGB W/O Numpad_Soft Grey</t>
    <phoneticPr fontId="4" type="noConversion"/>
  </si>
  <si>
    <t>L欄 : 請照上方指示，勿自創提詞，注意NMC更新為Thailand/Vietnam</t>
  </si>
  <si>
    <t>M欄 : 請照上方指示填寫對應ODM，勿自創提詞或簡寫。若發生ODM不存在於上方的情況，請勿寫上OTHERS，需參照在contract中寫的ODM或Regional site名稱</t>
    <phoneticPr fontId="3" type="noConversion"/>
  </si>
  <si>
    <t>N-BL欄 : 請注意勿留空白，O欄位為上一個年份的最後一個月的價格</t>
  </si>
  <si>
    <t>BM欄 : 請協助填寫料號，且每一列應為不同料號(除特殊情況)，接下來會使用這欄去串連其他資料</t>
  </si>
  <si>
    <t>BN欄 : 請勿將ODM, 料號等資料寫在這欄</t>
  </si>
  <si>
    <t>BO欄 : 請照上方指示，勿自創提詞，此部分指直接出貨到哪個地區的客戶，若是出到ODM則寫"ODM"</t>
  </si>
  <si>
    <t>BP欄 : 如果有HP Part#就填上，如果沒有的話就填上ODM Part# (語言別的部分可以屏蔽並用星號代替，除非有語言別會造成價格不同的情況才需列出語言別的部分)</t>
  </si>
  <si>
    <t>當月出貨的所有品項都必須填上, 即使rebate=0的項目, 定義為FCS之後, EOL前的platform 當月出貨都需要寫上(也就是不含service part)</t>
  </si>
  <si>
    <t>每個月10日固定上傳此份rebate and spending report，請注意目前的Share point已經與財務共用，因此有任何要更新的地方都請通知Jenny並且上傳V2/V3…版本，且舊檔案勿刪除</t>
  </si>
  <si>
    <t>在上傳此份檔案前針對數字的部分需再三確認，因為這些數字會直接當作日後開發票的金額</t>
  </si>
  <si>
    <t>excel欄位有相乘的部分 (rebate amount), 請不要直接在公式以外做數字上的調整, 沒有邏輯性的數字, 程式會偵測異常</t>
  </si>
  <si>
    <t>Summary_1不能有任何註記, 需要呈現最真實的數字, Summary_2貴司可有一些註記符號, 或是rebate抵扣等地紀錄是能夠被容許的</t>
  </si>
  <si>
    <t>Chicony</t>
  </si>
  <si>
    <t>Total Q1</t>
  </si>
  <si>
    <t>Rebate amount</t>
  </si>
  <si>
    <t>E&amp;O reduction</t>
  </si>
  <si>
    <t>Complexity reduction</t>
  </si>
  <si>
    <t>1. 新增Summary_1, 原先的Summary重新命名為Summary_2</t>
  </si>
  <si>
    <t>Total amount</t>
  </si>
  <si>
    <t>2.黃色部位為貴司名稱, 請整份報告都跟檔名貴司名稱撰寫方式一致</t>
  </si>
  <si>
    <t>Total Q2</t>
  </si>
  <si>
    <t>3. 這些欄位一定要固定, B3-B28, C3-C28, D3-D28, E3-E28, F3-F28都有賦予定義</t>
  </si>
  <si>
    <t>4. Rebate amount 指得是summary_2的page金額 (就是我們一直以來收集的金額)</t>
  </si>
  <si>
    <t>若目前還未有此款項存在都先填0</t>
  </si>
  <si>
    <t>Total Q3</t>
  </si>
  <si>
    <t>6. 金額都放未經調整後的真實數字, 分析才具意義</t>
  </si>
  <si>
    <t>Total Q4</t>
  </si>
  <si>
    <t>Segment</t>
  </si>
  <si>
    <t>Commercial Input Devices</t>
  </si>
  <si>
    <t>200 series</t>
  </si>
  <si>
    <t>400/600 series</t>
  </si>
  <si>
    <t>800 series</t>
  </si>
  <si>
    <t>1000 series</t>
  </si>
  <si>
    <t>Probook</t>
  </si>
  <si>
    <t>MWS</t>
  </si>
  <si>
    <t>Soft keyboard</t>
  </si>
  <si>
    <t>ChromeBook</t>
  </si>
  <si>
    <t>Desktop</t>
  </si>
  <si>
    <t>OPP</t>
  </si>
  <si>
    <t>Pavilion</t>
  </si>
  <si>
    <t>Spectre</t>
  </si>
  <si>
    <t xml:space="preserve">Envy </t>
  </si>
  <si>
    <t>Stream</t>
  </si>
  <si>
    <t>OMEN</t>
  </si>
  <si>
    <t>Peripherals</t>
  </si>
  <si>
    <t>Peripherals/AMO</t>
  </si>
  <si>
    <t>Input Devices</t>
  </si>
  <si>
    <t>Darfon</t>
  </si>
  <si>
    <t>Sunrex</t>
  </si>
  <si>
    <t>Q3 Projection by Supplier</t>
  </si>
  <si>
    <t>Q4 Projection by Segment</t>
  </si>
  <si>
    <t>Q4 Projection by Supplier</t>
  </si>
  <si>
    <t>Consumer/Commercial/
Peripheral</t>
  </si>
  <si>
    <t>NB/DT/Peripheral</t>
  </si>
  <si>
    <t>2009/2010/….2023/2024/2025</t>
  </si>
  <si>
    <t>Platform name please strictly follow the LTF</t>
  </si>
  <si>
    <t>NBL KB/BL KB/Mouse
/Combo/Clickpad/Dongle</t>
  </si>
  <si>
    <t>If no Size, fill in "NA/"</t>
  </si>
  <si>
    <t>If no Color, fill in "NA/"</t>
  </si>
  <si>
    <t>E China/W China/S China/Thailand/Vietnam</t>
  </si>
  <si>
    <t>Please fill in your supplier part#</t>
  </si>
  <si>
    <t>Do not fill in ODM or Supplier part# at this column</t>
  </si>
  <si>
    <t>APJ/EMEA/NA/ODM</t>
  </si>
  <si>
    <t>If you don't have hp part#, pls fill in ODM part# without localization</t>
  </si>
  <si>
    <t>SPM (Project Owner)</t>
  </si>
  <si>
    <t>GTK Suppliers</t>
    <phoneticPr fontId="4" type="noConversion"/>
  </si>
  <si>
    <t>Category</t>
  </si>
  <si>
    <t>Series</t>
  </si>
  <si>
    <t>Production Year</t>
  </si>
  <si>
    <t>Platforms</t>
  </si>
  <si>
    <t>Product</t>
  </si>
  <si>
    <t>Size</t>
  </si>
  <si>
    <t>Color</t>
  </si>
  <si>
    <t>Location</t>
  </si>
  <si>
    <t>ODM</t>
  </si>
  <si>
    <t>Table Price Nov</t>
  </si>
  <si>
    <t>Table Price Dec</t>
  </si>
  <si>
    <t>Table Price Jan</t>
  </si>
  <si>
    <t>Table Price Feb</t>
  </si>
  <si>
    <t>Table Price Mar</t>
  </si>
  <si>
    <t>Table Price Apr</t>
  </si>
  <si>
    <t>Table Price May</t>
  </si>
  <si>
    <t>Table Price Jun</t>
  </si>
  <si>
    <t>Table Price Jul</t>
  </si>
  <si>
    <t>Table Price Aug</t>
  </si>
  <si>
    <t>Table Price Sep</t>
  </si>
  <si>
    <t>Table Price Oct</t>
  </si>
  <si>
    <t>Unit Rebate Nov</t>
  </si>
  <si>
    <t>Unit Rebate Dec</t>
  </si>
  <si>
    <t>Unit Rebate Jan</t>
  </si>
  <si>
    <t>Unit Rebate Feb</t>
  </si>
  <si>
    <t>Unit Rebate Mar</t>
  </si>
  <si>
    <t>Unit Rebate Apr</t>
  </si>
  <si>
    <t>Unit Rebate May</t>
  </si>
  <si>
    <t>Unit Rebate Jun</t>
  </si>
  <si>
    <t>Unit Rebate Jul</t>
  </si>
  <si>
    <t>Unit Rebate Aug</t>
  </si>
  <si>
    <t>Unit Rebate Sep</t>
  </si>
  <si>
    <t>Unit Rebate Oct</t>
  </si>
  <si>
    <t>Nov Q'ty</t>
  </si>
  <si>
    <t>Nov Rebate Amount</t>
  </si>
  <si>
    <t>Dec Q'ty</t>
  </si>
  <si>
    <t>Dec Rebate Amount</t>
  </si>
  <si>
    <t>Jan Q'ty</t>
  </si>
  <si>
    <t>Jan Rebate Amount</t>
  </si>
  <si>
    <t>Feb Q'ty</t>
  </si>
  <si>
    <t>Feb Rebate Amount</t>
  </si>
  <si>
    <t>Mar Q'ty</t>
  </si>
  <si>
    <t>Mar Rebate Amount</t>
  </si>
  <si>
    <t>Apr Q'ty</t>
  </si>
  <si>
    <t>Apr Rebate Amount</t>
  </si>
  <si>
    <t>May Q'ty</t>
  </si>
  <si>
    <t>May Rebate Amount</t>
  </si>
  <si>
    <t>Jun Q'ty</t>
  </si>
  <si>
    <t>Jun Rebate Amount</t>
  </si>
  <si>
    <t>Jul Q'ty</t>
  </si>
  <si>
    <t>Jul Rebate Amount</t>
  </si>
  <si>
    <t>Aug Q'ty</t>
  </si>
  <si>
    <t>Aug Rebate Amount</t>
  </si>
  <si>
    <t>Sep Q'ty</t>
  </si>
  <si>
    <t>Sep Rebate Amount</t>
  </si>
  <si>
    <t>Oct Q'ty</t>
  </si>
  <si>
    <t>Oct Rebate Amount</t>
  </si>
  <si>
    <t>Supplier Part#</t>
  </si>
  <si>
    <t>Comment</t>
  </si>
  <si>
    <t>Region</t>
  </si>
  <si>
    <t>HP/ODM Part#</t>
  </si>
  <si>
    <t>Commercial</t>
  </si>
  <si>
    <t>NB</t>
  </si>
  <si>
    <t>400/600</t>
  </si>
  <si>
    <t>NBL KB</t>
  </si>
  <si>
    <t>Flint Opaque</t>
  </si>
  <si>
    <t>W China</t>
  </si>
  <si>
    <t>BL KB</t>
  </si>
  <si>
    <t>ROZ 14/REX 13/14/ OAKEN 14/OLAF 14/REDHEADTC</t>
  </si>
  <si>
    <t>Soft Grey</t>
  </si>
  <si>
    <t>Thailand</t>
  </si>
  <si>
    <t>HPM23G3*J920*T</t>
  </si>
  <si>
    <t>HPM23G3*J920</t>
  </si>
  <si>
    <t>HPM23G5*-920*T</t>
  </si>
  <si>
    <t>HPM23G5*-920</t>
  </si>
  <si>
    <t>WAFER13/WAFER14/WAFFLE14/WAFFLE14N/PUDDING14/RAINBOWCAKE14/RUMCAKE14/WAFER14R/DALGONA/DIVINITY</t>
  </si>
  <si>
    <t>Thailand</t>
    <phoneticPr fontId="4" type="noConversion"/>
  </si>
  <si>
    <t>BAYMAX 14/LUISA 14/BAYMAXW14/BAYMAX13/BAYMAX13X</t>
  </si>
  <si>
    <t>HPM21B6*J930D/E</t>
  </si>
  <si>
    <t>G11</t>
  </si>
  <si>
    <t>HPM21B6*J930F/G</t>
  </si>
  <si>
    <t>G11, Mexico</t>
  </si>
  <si>
    <t>HPM21B7*6930B</t>
  </si>
  <si>
    <t>LOX16/BAYMAX 16/LUISA 16</t>
  </si>
  <si>
    <t>HPM21B8*J930C/D</t>
  </si>
  <si>
    <t>HPM21B8*J930A/B</t>
  </si>
  <si>
    <t>HPM21B9*6930A</t>
  </si>
  <si>
    <t>MACHU14/MACHU14N/MACHUW14/MACHU13/MACHU13X/LAPAZW14/LAPAZW14N/COLOSSEUMW14N/LAPAZ13N/LAPAZ14/LAPAZ14N/LAPAZ13</t>
  </si>
  <si>
    <t>HPM24F6*6930*</t>
  </si>
  <si>
    <t>MACHU16/MACHUW16/MACHU16N/LAPAZ16/LAPAZ16N/GEMTREE16/GEMTREE18</t>
  </si>
  <si>
    <t>HPM24F8*6930*</t>
  </si>
  <si>
    <t>RGB Per Key W Numpad_SOFT GREY</t>
  </si>
  <si>
    <t>ERNESTO/ERNESTOX/MASADAN/MASADANX</t>
  </si>
  <si>
    <t>MASADAN/MASADANX</t>
  </si>
  <si>
    <t>Atmospheric Blue</t>
  </si>
  <si>
    <t>HPM23C7*J9302/3</t>
  </si>
  <si>
    <t>JET BLACK</t>
  </si>
  <si>
    <t>ARIZONA</t>
  </si>
  <si>
    <t>HPM23A2*9301</t>
  </si>
  <si>
    <t>JADE GREEN</t>
  </si>
  <si>
    <t>ARIZONA/ARIZONAR2</t>
  </si>
  <si>
    <t>EVIEE/CHIRON</t>
  </si>
  <si>
    <t>Benson Chen</t>
  </si>
  <si>
    <t>Chromebook</t>
  </si>
  <si>
    <t>HIMALAYAN/HIMALAYAN2</t>
  </si>
  <si>
    <t>JET BLACK</t>
    <phoneticPr fontId="4" type="noConversion"/>
  </si>
  <si>
    <t>TEACAKE/OLIEBOL</t>
  </si>
  <si>
    <t>E China</t>
  </si>
  <si>
    <t>Harbor Grey</t>
  </si>
  <si>
    <t>NAKULA</t>
  </si>
  <si>
    <t>DT</t>
    <phoneticPr fontId="5" type="noConversion"/>
  </si>
  <si>
    <t>DT</t>
    <phoneticPr fontId="17" type="noConversion"/>
  </si>
  <si>
    <t>2011</t>
  </si>
  <si>
    <t>APOLLO USB KBD</t>
    <phoneticPr fontId="17" type="noConversion"/>
  </si>
  <si>
    <t>NA/</t>
  </si>
  <si>
    <t>Jack Black</t>
  </si>
  <si>
    <t>W China</t>
    <phoneticPr fontId="7" type="noConversion"/>
  </si>
  <si>
    <t>NA/EMEA/APJ</t>
  </si>
  <si>
    <t>ODM</t>
    <phoneticPr fontId="4" type="noConversion"/>
  </si>
  <si>
    <t>2014</t>
  </si>
  <si>
    <t>Mouse</t>
  </si>
  <si>
    <t>SKYLAB PS2 KBD</t>
    <phoneticPr fontId="17" type="noConversion"/>
  </si>
  <si>
    <t>SKYLAB SMARTCARD KBD</t>
    <phoneticPr fontId="17" type="noConversion"/>
  </si>
  <si>
    <t xml:space="preserve">S China </t>
    <phoneticPr fontId="7" type="noConversion"/>
  </si>
  <si>
    <t>NBL KB</t>
    <phoneticPr fontId="7" type="noConversion"/>
  </si>
  <si>
    <t>SKYLAB SMARTCARD KBD</t>
  </si>
  <si>
    <t xml:space="preserve">S China </t>
  </si>
  <si>
    <t>107key for Brazilian sku (911502-202)</t>
    <phoneticPr fontId="17" type="noConversion"/>
  </si>
  <si>
    <t xml:space="preserve">SKYLAB USB KB </t>
    <phoneticPr fontId="17" type="noConversion"/>
  </si>
  <si>
    <t>2019</t>
  </si>
  <si>
    <t>HALLEY USB KB</t>
    <phoneticPr fontId="17" type="noConversion"/>
  </si>
  <si>
    <t>HALLEY USB KB</t>
  </si>
  <si>
    <t xml:space="preserve">HALLEY USB MS </t>
    <phoneticPr fontId="17" type="noConversion"/>
  </si>
  <si>
    <t>MSU1959T-657L</t>
  </si>
  <si>
    <t>SKYLAB SMARTCARD KBD (Copilot)</t>
    <phoneticPr fontId="4" type="noConversion"/>
  </si>
  <si>
    <t>Copilot</t>
  </si>
  <si>
    <t>2024</t>
    <phoneticPr fontId="4" type="noConversion"/>
  </si>
  <si>
    <t>HALLEY USB KB (Copilot)</t>
    <phoneticPr fontId="4" type="noConversion"/>
  </si>
  <si>
    <t>2024</t>
  </si>
  <si>
    <t>HALLEY USB MS (PCR)</t>
    <phoneticPr fontId="4" type="noConversion"/>
  </si>
  <si>
    <t>MSU1959T-657PL</t>
  </si>
  <si>
    <t>PCR</t>
    <phoneticPr fontId="4" type="noConversion"/>
  </si>
  <si>
    <t>NB</t>
    <phoneticPr fontId="4" type="noConversion"/>
  </si>
  <si>
    <t>HEDWIGRT6U/HEDWIGR6U2.0</t>
  </si>
  <si>
    <t>VLAD/EUNICE/VLAD6U</t>
  </si>
  <si>
    <t>Consumer</t>
  </si>
  <si>
    <t>SEBASTIAN/OTTO</t>
  </si>
  <si>
    <t>HPM19N8*39206</t>
  </si>
  <si>
    <t>HPM19N8*3920B</t>
  </si>
  <si>
    <t>HPM19N7*J920H</t>
  </si>
  <si>
    <t>HPM19N7*J9209</t>
  </si>
  <si>
    <t>HPM19N8*39205</t>
  </si>
  <si>
    <t>FLINT OPAQUE</t>
  </si>
  <si>
    <t>HPM19N8*3920BT</t>
  </si>
  <si>
    <t>HPM19N8*39206T</t>
  </si>
  <si>
    <t>HPM19N7*J920AT</t>
  </si>
  <si>
    <t>HPM19N8*39205T</t>
  </si>
  <si>
    <t>HPM19N8*39209T</t>
  </si>
  <si>
    <t>HPM19N7*J920HT</t>
  </si>
  <si>
    <t>HPM19N7*J9209T</t>
  </si>
  <si>
    <t>Copilot</t>
    <phoneticPr fontId="4" type="noConversion"/>
  </si>
  <si>
    <t>JUSTIFY/MIAMIBAY</t>
  </si>
  <si>
    <t>MINERAL SILVER</t>
  </si>
  <si>
    <t>HPM22B2*J9207</t>
  </si>
  <si>
    <t>HPM22B7*69206</t>
  </si>
  <si>
    <t>CANOPY/MOTTO</t>
  </si>
  <si>
    <t>Darker Sky Blue Opaque</t>
    <phoneticPr fontId="4" type="noConversion"/>
  </si>
  <si>
    <t>TURBINEX</t>
  </si>
  <si>
    <t>HPM24K8*J442*</t>
  </si>
  <si>
    <t>Latticeless</t>
  </si>
  <si>
    <t>TREKKER7</t>
    <phoneticPr fontId="4" type="noConversion"/>
  </si>
  <si>
    <t>SALUTE</t>
  </si>
  <si>
    <t>REGIS/TESTUDO/SNOWWHITE</t>
  </si>
  <si>
    <t>HPM23H1*J920</t>
  </si>
  <si>
    <t>DARKER ATMOSPHERIC BLUE OPAQUE</t>
  </si>
  <si>
    <t>DARKER ECLIPSE GREY OPAQE</t>
  </si>
  <si>
    <t>ANDAZ/ABU</t>
  </si>
  <si>
    <t>HPM23H2*J4421</t>
  </si>
  <si>
    <t>CADET/ENSTROM/CLIPPERX/PISTON</t>
  </si>
  <si>
    <t>HPM24K6*J4421</t>
  </si>
  <si>
    <t>HPM24K6*J4422</t>
  </si>
  <si>
    <t>GEMTREE16</t>
    <phoneticPr fontId="4" type="noConversion"/>
  </si>
  <si>
    <t>AGUSTA</t>
    <phoneticPr fontId="4" type="noConversion"/>
  </si>
  <si>
    <t>Darker Powder Pink Opaque</t>
  </si>
  <si>
    <t>Soft Grey</t>
    <phoneticPr fontId="4" type="noConversion"/>
  </si>
  <si>
    <t>QUADRO/CODA</t>
    <phoneticPr fontId="4" type="noConversion"/>
  </si>
  <si>
    <t>AEX8U**0210</t>
  </si>
  <si>
    <t>AEX8U**1210</t>
  </si>
  <si>
    <t>AEX8U**3210</t>
  </si>
  <si>
    <t>AEX8U**4210</t>
  </si>
  <si>
    <t>6037B02785**</t>
  </si>
  <si>
    <t>6037B02788**</t>
  </si>
  <si>
    <t>6037B02789**</t>
  </si>
  <si>
    <t>6037B02853**</t>
  </si>
  <si>
    <t>6037B02852**</t>
  </si>
  <si>
    <t>6037B02851**</t>
  </si>
  <si>
    <t>6037B02726**</t>
  </si>
  <si>
    <t>6037B02880**</t>
  </si>
  <si>
    <t>6037B02649**</t>
  </si>
  <si>
    <t>6037B02930**</t>
  </si>
  <si>
    <t>6037B02969**</t>
  </si>
  <si>
    <t>6037B02946**</t>
  </si>
  <si>
    <t>6037B02882**</t>
  </si>
  <si>
    <t>AE1G2**0010</t>
  </si>
  <si>
    <t>AE1G2**0030</t>
  </si>
  <si>
    <t>AE0GT**0110</t>
  </si>
  <si>
    <t>PK139F61B**</t>
  </si>
  <si>
    <t>0KN4-1J3****</t>
  </si>
  <si>
    <t>6037B02805**</t>
  </si>
  <si>
    <t>6037B02963**</t>
  </si>
  <si>
    <t>6037B02606**</t>
  </si>
  <si>
    <t>AE0PD**1150</t>
  </si>
  <si>
    <t>AE0PD**3140</t>
  </si>
  <si>
    <t>AE0PD**2120</t>
  </si>
  <si>
    <t>AE0PD**0130</t>
  </si>
  <si>
    <t>AE0PD**1140</t>
  </si>
  <si>
    <t>AE0PD**0120</t>
  </si>
  <si>
    <t>AE0PD**2110</t>
  </si>
  <si>
    <t>AE0PD**3120</t>
  </si>
  <si>
    <t>AE0GX**0020</t>
  </si>
  <si>
    <t>AE0GX**1020</t>
  </si>
  <si>
    <t>PK139AS2A**</t>
  </si>
  <si>
    <t>PK139AS2B**</t>
  </si>
  <si>
    <t>490.0VY07.0C**</t>
  </si>
  <si>
    <t>490.0W307.0C**</t>
  </si>
  <si>
    <t>AEG7J**0110</t>
  </si>
  <si>
    <t>AEG7K**0120</t>
  </si>
  <si>
    <t>490.0W707.1C**</t>
  </si>
  <si>
    <t>AEX3F**0110</t>
  </si>
  <si>
    <t>AEX3F**0130</t>
  </si>
  <si>
    <t>490.0UX07.0C**</t>
  </si>
  <si>
    <t>490.0UY07.0C**</t>
  </si>
  <si>
    <t>490.0W107.0C**</t>
  </si>
  <si>
    <t>490.0W107.2C**</t>
  </si>
  <si>
    <t>490.0W107.4C**</t>
  </si>
  <si>
    <t>HQ254030*****</t>
  </si>
  <si>
    <t>QUANTA_CQ</t>
    <phoneticPr fontId="4" type="noConversion"/>
  </si>
  <si>
    <t>INVENTEC_CQ</t>
    <phoneticPr fontId="4" type="noConversion"/>
  </si>
  <si>
    <t>COMPAL_KS</t>
    <phoneticPr fontId="4" type="noConversion"/>
  </si>
  <si>
    <t>WISTRON_CQ</t>
    <phoneticPr fontId="4" type="noConversion"/>
  </si>
  <si>
    <t>Huaqin_NC</t>
  </si>
  <si>
    <t>QUANTA_TH</t>
    <phoneticPr fontId="4" type="noConversion"/>
  </si>
  <si>
    <t>INVENTEC_TH</t>
    <phoneticPr fontId="4" type="noConversion"/>
  </si>
  <si>
    <t>INVENTEC_MX</t>
    <phoneticPr fontId="4" type="noConversion"/>
  </si>
  <si>
    <t>COMPAL/QUANTA/INVENTEC/WISTRON/FOXCONN
*If the ODM is not listed above, do not write 'OTHERS'. Please refer to the ODM or Regional site name as stated in the contract.</t>
  </si>
  <si>
    <t>Powder Pink Opaque</t>
    <phoneticPr fontId="4" type="noConversion"/>
  </si>
  <si>
    <t>SEBASTIAN/OTTO/OTTOMARIO</t>
  </si>
  <si>
    <t>Masala Latte</t>
  </si>
  <si>
    <t xml:space="preserve">Oceanic Blooms </t>
  </si>
  <si>
    <t>VLAD/EUNICE</t>
    <phoneticPr fontId="4" type="noConversion"/>
  </si>
  <si>
    <t>MWS</t>
    <phoneticPr fontId="4" type="noConversion"/>
  </si>
  <si>
    <t>Commercial</t>
    <phoneticPr fontId="4" type="noConversion"/>
  </si>
  <si>
    <t>TREKKERX</t>
    <phoneticPr fontId="4" type="noConversion"/>
  </si>
  <si>
    <t>W China</t>
    <phoneticPr fontId="4" type="noConversion"/>
  </si>
  <si>
    <t>Mexico</t>
    <phoneticPr fontId="4" type="noConversion"/>
  </si>
  <si>
    <t>672647-xx3</t>
  </si>
  <si>
    <t>803180-xx1</t>
  </si>
  <si>
    <t>911502-xx1</t>
  </si>
  <si>
    <t>803181-xx1</t>
  </si>
  <si>
    <t>L96909-xx1</t>
  </si>
  <si>
    <t xml:space="preserve">HALLEY USB MS </t>
  </si>
  <si>
    <t>P10251-xx1</t>
  </si>
  <si>
    <t>P10204-xx1</t>
  </si>
  <si>
    <t>Flextronics_CZ</t>
  </si>
  <si>
    <t>Foxconn_WH</t>
  </si>
  <si>
    <t>Inventec_CQ</t>
  </si>
  <si>
    <t>Quanta_CQ</t>
  </si>
  <si>
    <t>Foxconn_CZ</t>
  </si>
  <si>
    <t>Foxconn_Juarez</t>
  </si>
  <si>
    <t>Wistron_CQ</t>
  </si>
  <si>
    <t xml:space="preserve">HP_CQ </t>
  </si>
  <si>
    <t>Foxconn_Indy</t>
  </si>
  <si>
    <t>Foxconn_LH</t>
  </si>
  <si>
    <t>HP_India, by sea</t>
  </si>
  <si>
    <t>Quanta_TH</t>
  </si>
  <si>
    <t xml:space="preserve">Flextronics_BR </t>
  </si>
  <si>
    <t>HP_JP</t>
  </si>
  <si>
    <t>Pegatron_CQ</t>
  </si>
  <si>
    <t>HP Direct, FTZ</t>
  </si>
  <si>
    <t>PEGATRON_CQ</t>
    <phoneticPr fontId="4" type="noConversion"/>
  </si>
  <si>
    <t>HPM20A3*-920*</t>
  </si>
  <si>
    <t>5. 新增 E&amp;O reduction 及complexity reduction品項, 先留足空間</t>
    <phoneticPr fontId="4" type="noConversion"/>
  </si>
  <si>
    <t>Complexity reduction</t>
    <phoneticPr fontId="4" type="noConversion"/>
  </si>
  <si>
    <t>2025 11</t>
    <phoneticPr fontId="4" type="noConversion"/>
  </si>
  <si>
    <t>2025 12</t>
    <phoneticPr fontId="4" type="noConversion"/>
  </si>
  <si>
    <t>2026 01</t>
    <phoneticPr fontId="4" type="noConversion"/>
  </si>
  <si>
    <t>2026 02</t>
  </si>
  <si>
    <t>2026 03</t>
  </si>
  <si>
    <t>2026 04</t>
  </si>
  <si>
    <t>2026 05</t>
  </si>
  <si>
    <t>2026 06</t>
  </si>
  <si>
    <t>2026 07</t>
  </si>
  <si>
    <t>2026 08</t>
  </si>
  <si>
    <t>2026 09</t>
  </si>
  <si>
    <t>2026 10</t>
  </si>
  <si>
    <t>Total Rebate in Q1 2026 (US$)</t>
    <phoneticPr fontId="4" type="noConversion"/>
  </si>
  <si>
    <t>Total Rebate in Q2 2026 (US$)</t>
  </si>
  <si>
    <t>Total Rebate in Q3 2026 (US$)</t>
  </si>
  <si>
    <t>Total Rebate in Q4 2026 (US$)</t>
  </si>
  <si>
    <t>FY26</t>
  </si>
  <si>
    <t>HPM21M3*-6982</t>
  </si>
  <si>
    <t>HPM21M3*-6984</t>
  </si>
  <si>
    <t>HPM19N8*39209</t>
  </si>
  <si>
    <t>Oceanic Blooms</t>
  </si>
  <si>
    <t>BL KB</t>
    <phoneticPr fontId="4" type="noConversion"/>
  </si>
  <si>
    <t>VLAD/EUNICE</t>
  </si>
  <si>
    <t>6037B02960**</t>
  </si>
  <si>
    <t>INVENTEC_CQ</t>
  </si>
  <si>
    <t>INVENTEC_TH</t>
  </si>
  <si>
    <t>NBL KB</t>
    <phoneticPr fontId="4" type="noConversion"/>
  </si>
  <si>
    <t>QUANTA_CQ</t>
  </si>
  <si>
    <t>QUANTA_TH</t>
  </si>
  <si>
    <t>COMPAL_KS</t>
  </si>
  <si>
    <t>Consumer</t>
    <phoneticPr fontId="4" type="noConversion"/>
  </si>
  <si>
    <t>Pavilion</t>
    <phoneticPr fontId="4" type="noConversion"/>
  </si>
  <si>
    <t>TURBINE7</t>
  </si>
  <si>
    <t>WISTRON_CQ</t>
  </si>
  <si>
    <t>AGUSTA</t>
  </si>
  <si>
    <t>HPM23H2*J9204*</t>
  </si>
  <si>
    <t>HPM23H1*J9201*</t>
  </si>
  <si>
    <t>AEX3F**0120</t>
  </si>
  <si>
    <t>HPM23H1*J9202*</t>
  </si>
  <si>
    <t>Envy</t>
    <phoneticPr fontId="4" type="noConversion"/>
  </si>
  <si>
    <t>HPM22B2*J920*T</t>
  </si>
  <si>
    <t>NATURAL SILVER</t>
  </si>
  <si>
    <t>PK139F61A**</t>
  </si>
  <si>
    <t>Q2 Projection by Supplier</t>
    <phoneticPr fontId="4" type="noConversion"/>
  </si>
  <si>
    <t>AEX8U**5210</t>
  </si>
  <si>
    <t>HARBOR GRAY</t>
  </si>
  <si>
    <t>AE0PD**21A0</t>
  </si>
  <si>
    <t>6037B02786**</t>
  </si>
  <si>
    <t>6037B02862**</t>
  </si>
  <si>
    <t>911502-202</t>
  </si>
  <si>
    <t>L96910-001</t>
  </si>
  <si>
    <t>P10276-001</t>
  </si>
  <si>
    <t>6037B02953**</t>
  </si>
  <si>
    <t>6037B03014**</t>
  </si>
  <si>
    <t>6037B03016**</t>
  </si>
  <si>
    <t>AE0PD**2190</t>
  </si>
  <si>
    <t>AEG7J**1110</t>
  </si>
  <si>
    <t>AEG7K**1110</t>
  </si>
  <si>
    <t>490.0W707.3C**</t>
  </si>
  <si>
    <t>490.0W707.5C**</t>
  </si>
  <si>
    <t>HPM25F1*JH18</t>
  </si>
  <si>
    <t>HPM25F1*JH181</t>
  </si>
  <si>
    <t>HPM25F1*JH183</t>
  </si>
  <si>
    <t>HPM25C6*J442</t>
  </si>
  <si>
    <t>HPM25C6*J4421</t>
  </si>
  <si>
    <t>HPM25C6*J4422</t>
  </si>
  <si>
    <t>HPM25C6*J4425</t>
  </si>
  <si>
    <t>HPM25C6*J4424</t>
  </si>
  <si>
    <t>HPM25C7*J4421</t>
  </si>
  <si>
    <t>HPM25C7*J4422</t>
  </si>
  <si>
    <t>HPM25C9*J442</t>
  </si>
  <si>
    <t>HPM25F1*J920</t>
  </si>
  <si>
    <t>HPM25F1*J9201</t>
  </si>
  <si>
    <t>HPM25F1*J9202</t>
  </si>
  <si>
    <t>HPM25F2*3920</t>
  </si>
  <si>
    <t>HPM25F2*39202</t>
  </si>
  <si>
    <t>HPM25F2*39201</t>
  </si>
  <si>
    <t>HPM25F2*39203</t>
  </si>
  <si>
    <t>Esa</t>
  </si>
  <si>
    <t>Canvas Gray</t>
  </si>
  <si>
    <t>Darker Meteor silver Opaque</t>
  </si>
  <si>
    <t>Darker Sahara Gold Opaque</t>
  </si>
  <si>
    <t>Chiharu/Kento</t>
  </si>
  <si>
    <t>Koki / Nami</t>
  </si>
  <si>
    <t>Viktor</t>
  </si>
  <si>
    <t>Darker Meteor Silver Opaque</t>
  </si>
  <si>
    <t>Darker Atmospheric Blue Opaque</t>
  </si>
  <si>
    <t>Darker Deep Espresso Opaque</t>
  </si>
  <si>
    <t>SOFT GRAY</t>
  </si>
  <si>
    <t>490.0XH07.3C**</t>
    <phoneticPr fontId="4" type="noConversion"/>
  </si>
  <si>
    <t>490.0XH07.1C**</t>
    <phoneticPr fontId="4" type="noConversion"/>
  </si>
  <si>
    <t>490.0XH07.2C**</t>
    <phoneticPr fontId="4" type="noConversion"/>
  </si>
  <si>
    <t>490.0XH07.0C**</t>
    <phoneticPr fontId="4" type="noConversion"/>
  </si>
  <si>
    <t>490.0XH07.4C**</t>
    <phoneticPr fontId="4" type="noConversion"/>
  </si>
  <si>
    <t>490.0XN07.2C**</t>
    <phoneticPr fontId="4" type="noConversion"/>
  </si>
  <si>
    <t>490.0XL07.0C**</t>
    <phoneticPr fontId="4" type="noConversion"/>
  </si>
  <si>
    <t>Bantie 16" / Costa 17"</t>
  </si>
  <si>
    <t>16/17</t>
  </si>
  <si>
    <t xml:space="preserve">Iron Gray </t>
  </si>
  <si>
    <t xml:space="preserve">Jet Black </t>
  </si>
  <si>
    <t>AE0PE**1130</t>
    <phoneticPr fontId="4" type="noConversion"/>
  </si>
  <si>
    <t>AE0PE**1110</t>
    <phoneticPr fontId="4" type="noConversion"/>
  </si>
  <si>
    <t>AE0PE**1120</t>
    <phoneticPr fontId="4" type="noConversion"/>
  </si>
  <si>
    <t>AE0PE**0130</t>
    <phoneticPr fontId="4" type="noConversion"/>
  </si>
  <si>
    <t>AE0PE**0140</t>
    <phoneticPr fontId="4" type="noConversion"/>
  </si>
  <si>
    <t>AE0PE**0120</t>
    <phoneticPr fontId="4" type="noConversion"/>
  </si>
  <si>
    <t>AE0PE**0110</t>
    <phoneticPr fontId="4" type="noConversion"/>
  </si>
  <si>
    <t>CASHMERE</t>
  </si>
  <si>
    <t>6037B03076**</t>
    <phoneticPr fontId="4" type="noConversion"/>
  </si>
  <si>
    <t>6037B03068**</t>
    <phoneticPr fontId="4" type="noConversion"/>
  </si>
  <si>
    <t>JACK BLACK</t>
  </si>
  <si>
    <t>Consumer</t>
    <phoneticPr fontId="4" type="noConversion"/>
  </si>
  <si>
    <t>200/OPP</t>
    <phoneticPr fontId="4" type="noConversion"/>
  </si>
  <si>
    <t>AE0PD**3110</t>
    <phoneticPr fontId="4" type="noConversion"/>
  </si>
  <si>
    <t>490.0W707.0C**</t>
    <phoneticPr fontId="4" type="noConversion"/>
  </si>
  <si>
    <t>HPM20A2*J920*</t>
  </si>
  <si>
    <t>HPM19N8*3920FT</t>
  </si>
  <si>
    <t>HPM17K5*36986</t>
  </si>
  <si>
    <t>MALDIVES/MALDIVES6U/HERSCHEL/HERSCHEL6U/HERSCHELR6U/MALDIVESR6U</t>
  </si>
  <si>
    <t>PK132H73G**</t>
  </si>
  <si>
    <t>AEX8Q**1010</t>
  </si>
  <si>
    <t>AEX8Q**0010</t>
  </si>
  <si>
    <t>RABON/IONIAN14/DIANSHAN14/PETROF/DONGQIAN14/PRIMA14/DARKSTAR/THANOS14/THUNDRA14/RONIN14/DOOP14/REDSTART/TURACO/KNUCKER14/PAN14/KRAKEN14/ROC14</t>
  </si>
  <si>
    <t>HPM22B7*69205*</t>
  </si>
  <si>
    <t>AE0GX**1010</t>
  </si>
  <si>
    <t>AE0PD**3160</t>
  </si>
  <si>
    <t>Moonlight blue</t>
  </si>
  <si>
    <t>CANOPY/MOTTO(COPILOT)</t>
  </si>
  <si>
    <t>490.0W707.2C**</t>
    <phoneticPr fontId="4" type="noConversion"/>
  </si>
  <si>
    <t>Consumer Input Devices</t>
    <phoneticPr fontId="1" type="noConversion"/>
  </si>
  <si>
    <t>Chicony</t>
    <phoneticPr fontId="1" type="noConversion"/>
  </si>
  <si>
    <t>Liteon</t>
    <phoneticPr fontId="1" type="noConversion"/>
  </si>
  <si>
    <t>Primax</t>
    <phoneticPr fontId="1" type="noConversion"/>
  </si>
  <si>
    <t>Total Rebate ASount</t>
  </si>
  <si>
    <t>CMIT Input Devices</t>
    <phoneticPr fontId="1" type="noConversion"/>
  </si>
  <si>
    <t>HALLEY USB MS (PCR)</t>
  </si>
  <si>
    <t>SKYLAB SMARTCARD KBD (Copilot),cotton bag</t>
  </si>
  <si>
    <t>KUS1469*CW</t>
  </si>
  <si>
    <t>Copilot, cotton bag</t>
  </si>
  <si>
    <t>P19419-001</t>
  </si>
  <si>
    <t>ANDAZ/ABU</t>
    <phoneticPr fontId="4" type="noConversion"/>
  </si>
  <si>
    <t>Benson Chen</t>
    <phoneticPr fontId="4" type="noConversion"/>
  </si>
  <si>
    <t>HPM25F2*39204</t>
    <phoneticPr fontId="4" type="noConversion"/>
  </si>
  <si>
    <t>HPM19N7*J920UT</t>
  </si>
  <si>
    <t>HPM19N7*J920ST</t>
  </si>
  <si>
    <t>HPM21M3*-9202T</t>
  </si>
  <si>
    <t>HPM24K8*J9203T</t>
    <phoneticPr fontId="4" type="noConversion"/>
  </si>
  <si>
    <t>HPM19N8*39305T</t>
  </si>
  <si>
    <t>HPM19N8*3930T</t>
  </si>
  <si>
    <t>HPM19N7*J930BT</t>
  </si>
  <si>
    <t>HPM19N7*J930CT</t>
  </si>
  <si>
    <t>HPM19N8*39305AT</t>
  </si>
  <si>
    <t>HPM19N8*3930AT</t>
  </si>
  <si>
    <t>HPM24F5*J9302T</t>
  </si>
  <si>
    <t>LAMPAS16/LAMPASW16/MERINO16/MERINOW16</t>
  </si>
  <si>
    <t>LAMPAS14/LAMPASW14/MERINO13/MERINO13X/MERINO14/MERINOW14</t>
  </si>
  <si>
    <t>BL KB</t>
    <phoneticPr fontId="4" type="noConversion"/>
  </si>
  <si>
    <t>HPM23G3*J9205*</t>
  </si>
  <si>
    <t>HPM23G3*J9204*</t>
  </si>
  <si>
    <t>HPM23G5*-9202*</t>
  </si>
  <si>
    <t>HPM21B7*6930C</t>
  </si>
  <si>
    <t>HPM21B9*6930B</t>
  </si>
  <si>
    <t>HPM24F5*J930/1</t>
  </si>
  <si>
    <t>HPM24F7*J930/1</t>
  </si>
  <si>
    <t>HPM24F7*J9302/3</t>
  </si>
  <si>
    <t>HPM24F5*J930T/1T</t>
  </si>
  <si>
    <t>HPM24F5*J9304/5</t>
  </si>
  <si>
    <t>HPM24F6*6930*T</t>
  </si>
  <si>
    <t>HPM24F7*J930*T</t>
  </si>
  <si>
    <t>HPM23C7*J930/1</t>
  </si>
  <si>
    <t>HPM23C7*J930T/1T</t>
  </si>
  <si>
    <t>HPM23C7*J9302T/3T</t>
  </si>
  <si>
    <t>HPM25A8*J9302/3</t>
  </si>
  <si>
    <t>HPM25A8*J930/1</t>
  </si>
  <si>
    <t>HPM24K2*9301</t>
  </si>
  <si>
    <t>HPM24K2*9301T</t>
  </si>
  <si>
    <t>HPM24K2*9302</t>
  </si>
  <si>
    <t>HPM24J1*K930*</t>
  </si>
  <si>
    <t>HPM24F5*J9302/3</t>
  </si>
  <si>
    <t>HPM21M3*-9202</t>
  </si>
  <si>
    <t>HPM21M3*-9203</t>
  </si>
  <si>
    <t>HPM21M3*-920</t>
  </si>
  <si>
    <t>HPM21M3*-5282</t>
  </si>
  <si>
    <t>KU-1156</t>
  </si>
  <si>
    <t>KB-1469</t>
  </si>
  <si>
    <t>KUS1469*W</t>
  </si>
  <si>
    <t>KUS14698PA9F07W</t>
  </si>
  <si>
    <t>KU-1469</t>
  </si>
  <si>
    <t>KU-1958*W/KU-1963*W</t>
  </si>
  <si>
    <t xml:space="preserve">KUS1469*CW </t>
  </si>
  <si>
    <t>KU-1958*CW/KU-1963*CW</t>
  </si>
  <si>
    <t>HPM16L9*39303*</t>
  </si>
  <si>
    <t>HPM19N8*3930A</t>
  </si>
  <si>
    <t>HPM19N8*3930</t>
  </si>
  <si>
    <t>HPM19N8*39305A</t>
  </si>
  <si>
    <t>HPM19N8*39305</t>
  </si>
  <si>
    <t>HPM19N7*J930B</t>
  </si>
  <si>
    <t>HPM19N7*J930C</t>
  </si>
  <si>
    <t>HPM19N8*99202</t>
  </si>
  <si>
    <t>HPM19N7*J920M*</t>
  </si>
  <si>
    <t>HPM25F1*JH182</t>
  </si>
  <si>
    <t>HPM19N7*J698</t>
  </si>
  <si>
    <t>HPM19N7*J6981</t>
  </si>
  <si>
    <t>HPM19N7*J6986</t>
  </si>
  <si>
    <t>HPM24L1*J442*</t>
  </si>
  <si>
    <t>HPM24L1*J920*</t>
  </si>
  <si>
    <t>HPM24K8*J9201*</t>
  </si>
  <si>
    <t>HPM23H2*J9205*</t>
  </si>
  <si>
    <t>HPM24L7*J4422</t>
  </si>
  <si>
    <t>HPM24L8*64422</t>
  </si>
  <si>
    <t>HPM24L7*J4421</t>
  </si>
  <si>
    <t>HPM24L7*J4424</t>
  </si>
  <si>
    <t>HPM24L8*6442</t>
  </si>
  <si>
    <t>HPM23H2*J4424</t>
  </si>
  <si>
    <t>HPM24K6*J4423</t>
  </si>
  <si>
    <t>HPM24L8*6H18*</t>
  </si>
  <si>
    <t>Darker Nouvelle Silver Opaque</t>
  </si>
  <si>
    <t>AE0PE**0160</t>
  </si>
  <si>
    <t>HPM25F1*J920T</t>
    <phoneticPr fontId="4" type="noConversion"/>
  </si>
  <si>
    <t>HPM25F1*J9201T</t>
    <phoneticPr fontId="4" type="noConversion"/>
  </si>
  <si>
    <t>HPM25F1*J9202T</t>
    <phoneticPr fontId="4" type="noConversion"/>
  </si>
  <si>
    <t>HPM25F2*3920T</t>
    <phoneticPr fontId="4" type="noConversion"/>
  </si>
  <si>
    <t>HPM25F2*39202T</t>
    <phoneticPr fontId="4" type="noConversion"/>
  </si>
  <si>
    <t>HPM25F2*39201T</t>
    <phoneticPr fontId="4" type="noConversion"/>
  </si>
  <si>
    <t>HPM25F2*39203T</t>
    <phoneticPr fontId="4" type="noConversion"/>
  </si>
  <si>
    <t>HPM25F2*39204T</t>
    <phoneticPr fontId="4" type="noConversion"/>
  </si>
  <si>
    <t>Darker Eclipse Gray</t>
  </si>
  <si>
    <t>BL KB</t>
    <phoneticPr fontId="4" type="noConversion"/>
  </si>
  <si>
    <t>490.0XN07.1C**</t>
  </si>
  <si>
    <t>HPM25C7*J4423</t>
    <phoneticPr fontId="4" type="noConversion"/>
  </si>
  <si>
    <t>490.0XN07.0C**</t>
    <phoneticPr fontId="4" type="noConversion"/>
  </si>
  <si>
    <t>ABE</t>
    <phoneticPr fontId="4" type="noConversion"/>
  </si>
  <si>
    <t>HPM24L7*J930</t>
    <phoneticPr fontId="4" type="noConversion"/>
  </si>
  <si>
    <t>6037B03097**</t>
    <phoneticPr fontId="4" type="noConversion"/>
  </si>
  <si>
    <t>HPM24L8*3930</t>
  </si>
  <si>
    <t>HPM24L8*39303</t>
  </si>
  <si>
    <t>HPM24L8*39305</t>
  </si>
  <si>
    <t>Chrome</t>
    <phoneticPr fontId="4" type="noConversion"/>
  </si>
  <si>
    <t xml:space="preserve">Darker Concrete Gray </t>
  </si>
  <si>
    <t xml:space="preserve">Darker Concrete Gray </t>
    <phoneticPr fontId="28" type="noConversion"/>
  </si>
  <si>
    <t>6037B03100**</t>
    <phoneticPr fontId="4" type="noConversion"/>
  </si>
  <si>
    <t>6037B03105**</t>
    <phoneticPr fontId="4" type="noConversion"/>
  </si>
  <si>
    <t>6037B03156**</t>
    <phoneticPr fontId="4" type="noConversion"/>
  </si>
  <si>
    <t>Jenny Cheng</t>
    <phoneticPr fontId="4" type="noConversion"/>
  </si>
  <si>
    <t>Jenny Cheng</t>
  </si>
  <si>
    <t>2026</t>
    <phoneticPr fontId="4" type="noConversion"/>
  </si>
  <si>
    <t>Kramer/Newman</t>
  </si>
  <si>
    <t>Combo</t>
    <phoneticPr fontId="4" type="noConversion"/>
  </si>
  <si>
    <t>KU-2511*ME</t>
    <phoneticPr fontId="4" type="noConversion"/>
  </si>
  <si>
    <t>P54325-xx1</t>
  </si>
  <si>
    <t>Kramer</t>
  </si>
  <si>
    <t>KU-2511*E</t>
    <phoneticPr fontId="4" type="noConversion"/>
  </si>
  <si>
    <t>P54190-xx1</t>
  </si>
  <si>
    <t>Kramer Anti-microbial</t>
  </si>
  <si>
    <t>KU-2511*AE</t>
    <phoneticPr fontId="4" type="noConversion"/>
  </si>
  <si>
    <t>Newman</t>
  </si>
  <si>
    <t>MSU2512T-F04H</t>
  </si>
  <si>
    <t>P54192-001</t>
  </si>
  <si>
    <t>Newman Anti-microbial</t>
  </si>
  <si>
    <t>MSU2512T-F04AH</t>
  </si>
  <si>
    <t>P54573-001</t>
  </si>
  <si>
    <t>Q1 Actual by Supplier</t>
    <phoneticPr fontId="4" type="noConversion"/>
  </si>
  <si>
    <t>HPM24F6*69302</t>
    <phoneticPr fontId="4" type="noConversion"/>
  </si>
  <si>
    <t>HPM24L8*39304T</t>
    <phoneticPr fontId="4" type="noConversion"/>
  </si>
  <si>
    <t>6037B03141**</t>
    <phoneticPr fontId="4" type="noConversion"/>
  </si>
  <si>
    <t>HPM24L8*39305T</t>
    <phoneticPr fontId="4" type="noConversion"/>
  </si>
  <si>
    <t>6037B03129**</t>
    <phoneticPr fontId="4" type="noConversion"/>
  </si>
  <si>
    <t>6037B03218**</t>
    <phoneticPr fontId="4" type="noConversion"/>
  </si>
  <si>
    <t>HPM24L7*J4425</t>
    <phoneticPr fontId="4" type="noConversion"/>
  </si>
  <si>
    <t>490.0XT07.0C**</t>
    <phoneticPr fontId="4" type="noConversion"/>
  </si>
  <si>
    <t>HPM23H2*J4425</t>
    <phoneticPr fontId="4" type="noConversion"/>
  </si>
  <si>
    <t>490.0XM07.1C**</t>
    <phoneticPr fontId="4" type="noConversion"/>
  </si>
  <si>
    <t>HPM24L8*39309</t>
    <phoneticPr fontId="4" type="noConversion"/>
  </si>
  <si>
    <t>Jet Black</t>
    <phoneticPr fontId="4" type="noConversion"/>
  </si>
  <si>
    <t>6037B03132**</t>
    <phoneticPr fontId="4" type="noConversion"/>
  </si>
  <si>
    <t>HPM25A8*J9302T</t>
    <phoneticPr fontId="4" type="noConversion"/>
  </si>
  <si>
    <t>HPM25A8*J930T</t>
    <phoneticPr fontId="4" type="noConversion"/>
  </si>
  <si>
    <t>Thailand</t>
    <phoneticPr fontId="4" type="noConversion"/>
  </si>
  <si>
    <t>Soft Grey</t>
    <phoneticPr fontId="4" type="noConversion"/>
  </si>
  <si>
    <t>SOFT GREY</t>
  </si>
  <si>
    <t>HPM24L7*J9304T</t>
    <phoneticPr fontId="4" type="noConversion"/>
  </si>
  <si>
    <t>Iron Gray</t>
  </si>
  <si>
    <t>6037B03144**</t>
    <phoneticPr fontId="4" type="noConversion"/>
  </si>
  <si>
    <t>HPM24L7*J9308T</t>
    <phoneticPr fontId="4" type="noConversion"/>
  </si>
  <si>
    <t>HPM24L8*3930T</t>
    <phoneticPr fontId="4" type="noConversion"/>
  </si>
  <si>
    <t>HPM24L8*39303T</t>
    <phoneticPr fontId="4" type="noConversion"/>
  </si>
  <si>
    <t>HPM24L8*39308T</t>
    <phoneticPr fontId="4" type="noConversion"/>
  </si>
  <si>
    <t>HPM21M3*-6982T</t>
    <phoneticPr fontId="4" type="noConversion"/>
  </si>
  <si>
    <t>HPM21M3*-6984T</t>
    <phoneticPr fontId="4" type="noConversion"/>
  </si>
  <si>
    <t>COMPAL_VN</t>
    <phoneticPr fontId="4" type="noConversion"/>
  </si>
  <si>
    <t>COMPAL_VN</t>
    <phoneticPr fontId="4" type="noConversion"/>
  </si>
  <si>
    <t>Viethnam</t>
    <phoneticPr fontId="4" type="noConversion"/>
  </si>
  <si>
    <t>Deso</t>
    <phoneticPr fontId="4" type="noConversion"/>
  </si>
  <si>
    <t>HPM24L7*JH186</t>
  </si>
  <si>
    <t>HQ2540301FE**</t>
    <phoneticPr fontId="4" type="noConversion"/>
  </si>
  <si>
    <t>Darker Starlit Blue</t>
  </si>
  <si>
    <t xml:space="preserve">Darker Sahara Silver Opaque </t>
  </si>
  <si>
    <t>HPM24L7*JH187</t>
    <phoneticPr fontId="4" type="noConversion"/>
  </si>
  <si>
    <t>Darker Meteor Silver Opaque</t>
    <phoneticPr fontId="4" type="noConversion"/>
  </si>
  <si>
    <t>6037B03120**</t>
    <phoneticPr fontId="4" type="noConversion"/>
  </si>
  <si>
    <t>6037B03123**</t>
    <phoneticPr fontId="4" type="noConversion"/>
  </si>
  <si>
    <t>HQ254030*****</t>
    <phoneticPr fontId="4" type="noConversion"/>
  </si>
  <si>
    <t>HPM24L7*JH18/184/185/189</t>
  </si>
  <si>
    <t>Darker Meteor Silver</t>
  </si>
  <si>
    <t>BL KB</t>
    <phoneticPr fontId="4" type="noConversion"/>
  </si>
  <si>
    <t>HPM24L7*JH18C</t>
    <phoneticPr fontId="4" type="noConversion"/>
  </si>
  <si>
    <t>HPM24L8*39302</t>
    <phoneticPr fontId="4" type="noConversion"/>
  </si>
  <si>
    <t>Inventec_TH</t>
    <phoneticPr fontId="4" type="noConversion"/>
  </si>
  <si>
    <t>Compal_BR</t>
  </si>
  <si>
    <t>P54572-xx1</t>
    <phoneticPr fontId="4" type="noConversion"/>
  </si>
  <si>
    <t>P54192-001</t>
    <phoneticPr fontId="4" type="noConversion"/>
  </si>
  <si>
    <t>HPM24F5*J9306</t>
    <phoneticPr fontId="4" type="noConversion"/>
  </si>
  <si>
    <t>HPM24F5*J9308</t>
    <phoneticPr fontId="4" type="noConversion"/>
  </si>
  <si>
    <t>INVENTEC_MX</t>
    <phoneticPr fontId="4" type="noConversion"/>
  </si>
  <si>
    <t>INVENTEC_CQ</t>
    <phoneticPr fontId="4" type="noConversion"/>
  </si>
  <si>
    <t>HPM24F5*J9307</t>
    <phoneticPr fontId="4" type="noConversion"/>
  </si>
  <si>
    <t>HPM24F5*J9309</t>
    <phoneticPr fontId="4" type="noConversion"/>
  </si>
  <si>
    <t>6037B03250**</t>
    <phoneticPr fontId="4" type="noConversion"/>
  </si>
  <si>
    <t>HPM24L8*3930CT</t>
  </si>
  <si>
    <t>HPM24L8*3930B</t>
  </si>
  <si>
    <t>HPM24L7*J9302T</t>
    <phoneticPr fontId="4" type="noConversion"/>
  </si>
  <si>
    <t>HPM24L7*J9302</t>
    <phoneticPr fontId="4" type="noConversion"/>
  </si>
  <si>
    <t>HPM24L7*J9301</t>
    <phoneticPr fontId="4" type="noConversion"/>
  </si>
  <si>
    <t>HPM24L7*J930C</t>
    <phoneticPr fontId="4" type="noConversion"/>
  </si>
  <si>
    <t>Fetch / Fready</t>
  </si>
  <si>
    <t>HPM24L7*J9303</t>
    <phoneticPr fontId="4" type="noConversion"/>
  </si>
  <si>
    <t>HPM24L7*J930B</t>
    <phoneticPr fontId="4" type="noConversion"/>
  </si>
  <si>
    <t>6037B03103**</t>
    <phoneticPr fontId="4" type="noConversion"/>
  </si>
  <si>
    <t>6037B03180**</t>
    <phoneticPr fontId="4" type="noConversion"/>
  </si>
  <si>
    <t>HPM21M3*-9204</t>
    <phoneticPr fontId="4" type="noConversion"/>
  </si>
  <si>
    <t>AE1G2**0040</t>
  </si>
  <si>
    <t>Beetroot Mauve</t>
  </si>
  <si>
    <t>HPM24L8*39302T</t>
    <phoneticPr fontId="4" type="noConversion"/>
  </si>
  <si>
    <t>6037B03129**</t>
  </si>
  <si>
    <t>6037B03198*</t>
  </si>
  <si>
    <t>6037B03182*</t>
  </si>
  <si>
    <t>6037B03126*</t>
  </si>
  <si>
    <t>6037B03199*</t>
  </si>
  <si>
    <t>Darker Starlit Blue</t>
    <phoneticPr fontId="1" type="noConversion"/>
  </si>
  <si>
    <t>Darker Starlit Blue</t>
    <phoneticPr fontId="4" type="noConversion"/>
  </si>
  <si>
    <t xml:space="preserve">Darker Starlit Blue </t>
    <phoneticPr fontId="4" type="noConversion"/>
  </si>
  <si>
    <t>803180-xx1</t>
    <phoneticPr fontId="4" type="noConversion"/>
  </si>
  <si>
    <t>911502-xx1</t>
    <phoneticPr fontId="4" type="noConversion"/>
  </si>
  <si>
    <t>803181-xx1</t>
    <phoneticPr fontId="4" type="noConversion"/>
  </si>
  <si>
    <t>L96909-xx1</t>
    <phoneticPr fontId="4" type="noConversion"/>
  </si>
  <si>
    <t>P10251-xx1</t>
    <phoneticPr fontId="4" type="noConversion"/>
  </si>
  <si>
    <t>P10204-xx1</t>
    <phoneticPr fontId="4" type="noConversion"/>
  </si>
  <si>
    <t>Black</t>
  </si>
  <si>
    <t>P54325-xx1</t>
    <phoneticPr fontId="4" type="noConversion"/>
  </si>
  <si>
    <t>P54190-xx1</t>
    <phoneticPr fontId="4" type="noConversion"/>
  </si>
  <si>
    <t>ODM</t>
    <phoneticPr fontId="4" type="noConversion"/>
  </si>
  <si>
    <t>Thailand</t>
    <phoneticPr fontId="7" type="noConversion"/>
  </si>
  <si>
    <t>Thailand</t>
    <phoneticPr fontId="4" type="noConversion"/>
  </si>
  <si>
    <t>FY26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</si>
</sst>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$&quot;#,##0.00_);[Red]\(&quot;$&quot;#,##0.00\)"/>
    <numFmt numFmtId="177" formatCode="_(* #,##0.00_);_(* \(#,##0.00\);_(* &quot;-&quot;??_);_(@_)"/>
    <numFmt numFmtId="178" formatCode="_-&quot;NT$&quot;* #,##0.00_-;\-&quot;NT$&quot;* #,##0.00_-;_-&quot;NT$&quot;* &quot;-&quot;??_-;_-@_-"/>
    <numFmt numFmtId="179" formatCode="[$$-409]#,##0.00"/>
    <numFmt numFmtId="180" formatCode="0_);[Red]\(0\)"/>
    <numFmt numFmtId="181" formatCode="&quot;$&quot;#,##0.00"/>
    <numFmt numFmtId="182" formatCode="_-[$$-409]* #,##0.00_ ;_-[$$-409]* \-#,##0.00\ ;_-[$$-409]* &quot;-&quot;??_ ;_-@_ "/>
    <numFmt numFmtId="183" formatCode="[$-404]General"/>
    <numFmt numFmtId="184" formatCode="#,##0_ "/>
    <numFmt numFmtId="185" formatCode="[$-409]d\-mmm\-yy;@"/>
    <numFmt numFmtId="186" formatCode="#,##0_);[Red]\(#,##0\)"/>
    <numFmt numFmtId="187" formatCode="_-* #,##0_-;\-* #,##0_-;_-* &quot;-&quot;??_-;_-@_-"/>
    <numFmt numFmtId="188" formatCode="_(&quot;$&quot;* #,##0.00_);_(&quot;$&quot;* \(#,##0.00\);_(&quot;$&quot;* &quot;-&quot;??_);_(@_)"/>
  </numFmts>
  <fonts count="3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indexed="8"/>
      <name val="新細明體"/>
      <family val="1"/>
      <charset val="136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1"/>
      <name val="PMingLiU"/>
      <family val="1"/>
    </font>
    <font>
      <sz val="11"/>
      <color theme="1"/>
      <name val="SimSun"/>
    </font>
    <font>
      <b/>
      <sz val="10.5"/>
      <color rgb="FF000000"/>
      <name val="Calibri"/>
      <family val="2"/>
    </font>
    <font>
      <sz val="11"/>
      <color theme="1"/>
      <name val="新細明體"/>
      <family val="1"/>
      <scheme val="minor"/>
    </font>
    <font>
      <sz val="8"/>
      <name val="新細明體"/>
      <family val="2"/>
      <charset val="136"/>
      <scheme val="minor"/>
    </font>
    <font>
      <sz val="11"/>
      <color theme="0" tint="-0.499984740745262"/>
      <name val="Calibri"/>
      <family val="2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0" tint="-0.499984740745262"/>
      <name val="Calibri"/>
      <family val="2"/>
    </font>
    <font>
      <sz val="11"/>
      <color theme="4" tint="-0.249977111117893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1"/>
      <color rgb="FF3333FF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9"/>
      <name val="新細明體"/>
      <family val="3"/>
      <charset val="136"/>
      <scheme val="minor"/>
    </font>
    <font>
      <sz val="11"/>
      <color theme="0" tint="-0.34998626667073579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6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4" tint="0.7999816888943144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14996795556505021"/>
      </top>
      <bottom style="hair">
        <color theme="4" tint="0.7999816888943144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hair">
        <color theme="4" tint="0.7999816888943144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hair">
        <color theme="4" tint="0.7999816888943144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hair">
        <color theme="4" tint="0.79998168889431442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hair">
        <color theme="4" tint="0.79998168889431442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hair">
        <color theme="4" tint="0.79998168889431442"/>
      </bottom>
      <diagonal/>
    </border>
    <border>
      <left style="medium">
        <color theme="0" tint="-0.14996795556505021"/>
      </left>
      <right style="medium">
        <color indexed="64"/>
      </right>
      <top style="thin">
        <color theme="0" tint="-0.14996795556505021"/>
      </top>
      <bottom style="hair">
        <color theme="4" tint="0.79998168889431442"/>
      </bottom>
      <diagonal/>
    </border>
    <border>
      <left/>
      <right style="thin">
        <color theme="0" tint="-0.14996795556505021"/>
      </right>
      <top style="medium">
        <color indexed="64"/>
      </top>
      <bottom/>
      <diagonal/>
    </border>
    <border>
      <left/>
      <right style="thin">
        <color theme="4" tint="0.79998168889431442"/>
      </right>
      <top style="thin">
        <color theme="0" tint="-0.14996795556505021"/>
      </top>
      <bottom style="hair">
        <color theme="4" tint="0.79998168889431442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medium">
        <color theme="0" tint="-0.14996795556505021"/>
      </left>
      <right style="medium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medium">
        <color indexed="64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medium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79998168889431442"/>
      </top>
      <bottom/>
      <diagonal/>
    </border>
    <border>
      <left/>
      <right style="thin">
        <color theme="0" tint="-0.14996795556505021"/>
      </right>
      <top style="hair">
        <color theme="4" tint="0.79998168889431442"/>
      </top>
      <bottom/>
      <diagonal/>
    </border>
    <border>
      <left style="thin">
        <color theme="0" tint="-0.1499679555650502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theme="8" tint="0.79998168889431442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4" tint="0.7999816888943144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374370555742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4" tint="0.79998168889431442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 tint="-4.9989318521683403E-2"/>
      </left>
      <right style="medium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4" tint="0.7999816888943144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hair">
        <color theme="4" tint="0.7999816888943144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4.9989318521683403E-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medium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4.9989318521683403E-2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hair">
        <color theme="4" tint="0.7999816888943144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medium">
        <color indexed="64"/>
      </left>
      <right/>
      <top style="thin">
        <color theme="4" tint="0.79998168889431442"/>
      </top>
      <bottom/>
      <diagonal/>
    </border>
    <border>
      <left style="medium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4" tint="0.79998168889431442"/>
      </bottom>
      <diagonal/>
    </border>
    <border>
      <left style="medium">
        <color indexed="64"/>
      </left>
      <right style="medium">
        <color theme="0" tint="-4.9989318521683403E-2"/>
      </right>
      <top/>
      <bottom/>
      <diagonal/>
    </border>
    <border>
      <left style="medium">
        <color indexed="64"/>
      </left>
      <right style="medium">
        <color theme="0" tint="-4.9989318521683403E-2"/>
      </right>
      <top style="thin">
        <color theme="0" tint="-0.14996795556505021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0.14996795556505021"/>
      </top>
      <bottom/>
      <diagonal/>
    </border>
    <border>
      <left style="medium">
        <color theme="0" tint="-4.9989318521683403E-2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theme="0" tint="-4.9989318521683403E-2"/>
      </left>
      <right style="medium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hair">
        <color theme="4" tint="0.79998168889431442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7999816888943144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4.9989318521683403E-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medium">
        <color theme="0" tint="-4.9989318521683403E-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6795556505021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4" tint="0.79998168889431442"/>
      </top>
      <bottom/>
      <diagonal/>
    </border>
    <border>
      <left/>
      <right/>
      <top/>
      <bottom style="hair">
        <color theme="4" tint="0.7999816888943144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4" tint="0.79998168889431442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4" tint="0.79998168889431442"/>
      </bottom>
      <diagonal/>
    </border>
    <border>
      <left style="medium">
        <color indexed="64"/>
      </left>
      <right/>
      <top/>
      <bottom style="hair">
        <color theme="4" tint="0.79998168889431442"/>
      </bottom>
      <diagonal/>
    </border>
    <border>
      <left/>
      <right style="thin">
        <color theme="4" tint="0.79998168889431442"/>
      </right>
      <top/>
      <bottom style="hair">
        <color theme="4" tint="0.7999816888943144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hair">
        <color theme="4" tint="0.79998168889431442"/>
      </bottom>
      <diagonal/>
    </border>
    <border>
      <left style="thin">
        <color theme="0" tint="-0.14996795556505021"/>
      </left>
      <right style="medium">
        <color indexed="64"/>
      </right>
      <top/>
      <bottom style="hair">
        <color theme="4" tint="0.7999816888943144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hair">
        <color theme="4" tint="0.79998168889431442"/>
      </bottom>
      <diagonal/>
    </border>
    <border>
      <left style="medium">
        <color theme="0" tint="-0.14996795556505021"/>
      </left>
      <right style="medium">
        <color indexed="64"/>
      </right>
      <top/>
      <bottom style="hair">
        <color theme="4" tint="0.7999816888943144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theme="0" tint="-0.14996795556505021"/>
      </right>
      <top style="thin">
        <color theme="0" tint="-0.14996795556505021"/>
      </top>
      <bottom/>
      <diagonal/>
    </border>
    <border>
      <left style="medium">
        <color theme="1"/>
      </left>
      <right/>
      <top/>
      <bottom style="thin">
        <color theme="0" tint="-0.14996795556505021"/>
      </bottom>
      <diagonal/>
    </border>
    <border>
      <left style="medium">
        <color theme="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hair">
        <color theme="4" tint="0.79998168889431442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hair">
        <color theme="4" tint="0.79998168889431442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indexed="64"/>
      </top>
      <bottom style="hair">
        <color theme="4" tint="0.79998168889431442"/>
      </bottom>
      <diagonal/>
    </border>
    <border>
      <left style="thin">
        <color theme="0" tint="-0.14996795556505021"/>
      </left>
      <right/>
      <top style="medium">
        <color indexed="64"/>
      </top>
      <bottom style="hair">
        <color theme="4" tint="0.79998168889431442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hair">
        <color theme="4" tint="0.79998168889431442"/>
      </bottom>
      <diagonal/>
    </border>
    <border>
      <left style="thin">
        <color theme="0" tint="-0.14996795556505021"/>
      </left>
      <right style="medium">
        <color theme="0" tint="-0.14996795556505021"/>
      </right>
      <top/>
      <bottom style="medium">
        <color indexed="64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hair">
        <color theme="4" tint="0.79998168889431442"/>
      </bottom>
      <diagonal/>
    </border>
    <border>
      <left/>
      <right style="thin">
        <color theme="0" tint="-0.14996795556505021"/>
      </right>
      <top/>
      <bottom style="hair">
        <color theme="4" tint="0.79998168889431442"/>
      </bottom>
      <diagonal/>
    </border>
    <border>
      <left/>
      <right style="thin">
        <color theme="0" tint="-0.14996795556505021"/>
      </right>
      <top style="hair">
        <color theme="4" tint="0.79998168889431442"/>
      </top>
      <bottom style="thin">
        <color theme="0" tint="-4.9989318521683403E-2"/>
      </bottom>
      <diagonal/>
    </border>
    <border>
      <left/>
      <right style="thin">
        <color theme="0" tint="-0.14996795556505021"/>
      </right>
      <top/>
      <bottom style="thin">
        <color theme="0" tint="-4.9989318521683403E-2"/>
      </bottom>
      <diagonal/>
    </border>
    <border>
      <left/>
      <right style="thin">
        <color theme="0" tint="-0.14996795556505021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0.14993743705557422"/>
      </bottom>
      <diagonal/>
    </border>
    <border>
      <left/>
      <right style="medium">
        <color indexed="64"/>
      </right>
      <top/>
      <bottom style="hair">
        <color theme="4" tint="0.79998168889431442"/>
      </bottom>
      <diagonal/>
    </border>
    <border>
      <left/>
      <right style="medium">
        <color indexed="64"/>
      </right>
      <top style="hair">
        <color theme="4" tint="0.79998168889431442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3743705557422"/>
      </top>
      <bottom style="medium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indexed="64"/>
      </top>
      <bottom/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theme="0" tint="-4.9989318521683403E-2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medium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theme="0" tint="-4.9989318521683403E-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medium">
        <color theme="0" tint="-4.9989318521683403E-2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hair">
        <color theme="4" tint="0.79998168889431442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1"/>
      </right>
      <top/>
      <bottom/>
      <diagonal/>
    </border>
  </borders>
  <cellStyleXfs count="17">
    <xf numFmtId="179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179" fontId="8" fillId="0" borderId="0"/>
    <xf numFmtId="0" fontId="19" fillId="0" borderId="0"/>
    <xf numFmtId="0" fontId="20" fillId="0" borderId="0"/>
    <xf numFmtId="178" fontId="5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0" fontId="23" fillId="0" borderId="0"/>
    <xf numFmtId="0" fontId="23" fillId="0" borderId="0">
      <alignment vertical="center"/>
    </xf>
    <xf numFmtId="0" fontId="23" fillId="0" borderId="0"/>
    <xf numFmtId="44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5" fillId="0" borderId="0">
      <alignment vertical="center"/>
    </xf>
    <xf numFmtId="188" fontId="1" fillId="0" borderId="0" applyFont="0" applyFill="0" applyBorder="0" applyAlignment="0" applyProtection="0"/>
  </cellStyleXfs>
  <cellXfs count="1052">
    <xf numFmtId="179" fontId="0" fillId="0" borderId="0" xfId="0">
      <alignment vertical="center"/>
    </xf>
    <xf numFmtId="179" fontId="6" fillId="0" borderId="0" xfId="0" applyFont="1">
      <alignment vertical="center"/>
    </xf>
    <xf numFmtId="179" fontId="6" fillId="0" borderId="0" xfId="0" applyFont="1" applyAlignment="1">
      <alignment horizontal="center" vertical="center"/>
    </xf>
    <xf numFmtId="179" fontId="9" fillId="0" borderId="0" xfId="0" applyFont="1" applyAlignment="1">
      <alignment horizontal="center" vertical="center"/>
    </xf>
    <xf numFmtId="179" fontId="6" fillId="0" borderId="4" xfId="0" applyFont="1" applyBorder="1" applyAlignment="1">
      <alignment horizontal="center" vertical="center"/>
    </xf>
    <xf numFmtId="179" fontId="9" fillId="0" borderId="9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2" fontId="6" fillId="0" borderId="0" xfId="0" applyNumberFormat="1" applyFont="1">
      <alignment vertical="center"/>
    </xf>
    <xf numFmtId="17" fontId="12" fillId="8" borderId="15" xfId="0" applyNumberFormat="1" applyFont="1" applyFill="1" applyBorder="1" applyAlignment="1">
      <alignment horizontal="center" vertical="center"/>
    </xf>
    <xf numFmtId="179" fontId="6" fillId="0" borderId="13" xfId="0" applyFont="1" applyBorder="1">
      <alignment vertical="center"/>
    </xf>
    <xf numFmtId="179" fontId="6" fillId="0" borderId="14" xfId="0" applyFont="1" applyBorder="1">
      <alignment vertical="center"/>
    </xf>
    <xf numFmtId="179" fontId="13" fillId="0" borderId="0" xfId="0" applyFont="1" applyAlignment="1">
      <alignment horizontal="left" vertical="center" indent="1"/>
    </xf>
    <xf numFmtId="179" fontId="14" fillId="0" borderId="0" xfId="0" applyFont="1" applyAlignment="1">
      <alignment horizontal="left" vertical="center" indent="1"/>
    </xf>
    <xf numFmtId="179" fontId="15" fillId="0" borderId="11" xfId="0" applyFont="1" applyBorder="1" applyAlignment="1">
      <alignment horizontal="center" vertical="center"/>
    </xf>
    <xf numFmtId="179" fontId="10" fillId="0" borderId="10" xfId="0" applyFont="1" applyBorder="1" applyAlignment="1">
      <alignment horizontal="center" vertical="center"/>
    </xf>
    <xf numFmtId="179" fontId="10" fillId="0" borderId="10" xfId="0" applyFont="1" applyBorder="1" applyAlignment="1">
      <alignment horizontal="center" vertical="center" wrapText="1"/>
    </xf>
    <xf numFmtId="179" fontId="15" fillId="0" borderId="12" xfId="0" applyFont="1" applyBorder="1" applyAlignment="1">
      <alignment horizontal="center" vertical="center"/>
    </xf>
    <xf numFmtId="179" fontId="10" fillId="0" borderId="5" xfId="0" applyFont="1" applyBorder="1" applyAlignment="1">
      <alignment horizontal="center" vertical="center"/>
    </xf>
    <xf numFmtId="179" fontId="10" fillId="0" borderId="5" xfId="0" applyFont="1" applyBorder="1" applyAlignment="1">
      <alignment horizontal="center" vertical="center" wrapText="1"/>
    </xf>
    <xf numFmtId="179" fontId="15" fillId="2" borderId="11" xfId="0" applyFont="1" applyFill="1" applyBorder="1" applyAlignment="1">
      <alignment horizontal="center" vertical="center"/>
    </xf>
    <xf numFmtId="179" fontId="10" fillId="0" borderId="0" xfId="0" applyFont="1" applyAlignment="1">
      <alignment horizontal="center" vertical="center"/>
    </xf>
    <xf numFmtId="179" fontId="16" fillId="0" borderId="0" xfId="0" applyFont="1" applyAlignment="1">
      <alignment horizontal="left" vertical="center" indent="4"/>
    </xf>
    <xf numFmtId="179" fontId="6" fillId="0" borderId="12" xfId="0" applyFont="1" applyBorder="1">
      <alignment vertical="center"/>
    </xf>
    <xf numFmtId="179" fontId="18" fillId="0" borderId="0" xfId="0" applyFont="1">
      <alignment vertical="center"/>
    </xf>
    <xf numFmtId="179" fontId="9" fillId="2" borderId="0" xfId="0" applyFont="1" applyFill="1" applyAlignment="1"/>
    <xf numFmtId="179" fontId="6" fillId="2" borderId="0" xfId="0" applyFont="1" applyFill="1" applyAlignment="1"/>
    <xf numFmtId="179" fontId="6" fillId="0" borderId="0" xfId="0" applyFont="1" applyAlignment="1">
      <alignment horizontal="center"/>
    </xf>
    <xf numFmtId="179" fontId="6" fillId="0" borderId="0" xfId="0" applyFont="1" applyAlignment="1"/>
    <xf numFmtId="179" fontId="9" fillId="8" borderId="15" xfId="0" applyFont="1" applyFill="1" applyBorder="1" applyAlignment="1">
      <alignment horizontal="center" vertical="center" readingOrder="1"/>
    </xf>
    <xf numFmtId="179" fontId="12" fillId="8" borderId="15" xfId="0" applyFont="1" applyFill="1" applyBorder="1" applyAlignment="1">
      <alignment horizontal="center" vertical="center" readingOrder="1"/>
    </xf>
    <xf numFmtId="179" fontId="12" fillId="8" borderId="15" xfId="0" applyFont="1" applyFill="1" applyBorder="1" applyAlignment="1">
      <alignment horizontal="center" vertical="center" wrapText="1"/>
    </xf>
    <xf numFmtId="179" fontId="12" fillId="8" borderId="16" xfId="0" applyFont="1" applyFill="1" applyBorder="1" applyAlignment="1">
      <alignment horizontal="center" vertical="center" wrapText="1" readingOrder="1"/>
    </xf>
    <xf numFmtId="179" fontId="6" fillId="0" borderId="15" xfId="0" applyFont="1" applyBorder="1" applyAlignment="1">
      <alignment horizontal="center"/>
    </xf>
    <xf numFmtId="179" fontId="18" fillId="0" borderId="15" xfId="0" applyFont="1" applyBorder="1" applyAlignment="1"/>
    <xf numFmtId="179" fontId="21" fillId="0" borderId="15" xfId="0" applyFont="1" applyBorder="1" applyAlignment="1"/>
    <xf numFmtId="44" fontId="6" fillId="0" borderId="0" xfId="0" applyNumberFormat="1" applyFont="1" applyAlignment="1">
      <alignment horizontal="right"/>
    </xf>
    <xf numFmtId="179" fontId="22" fillId="0" borderId="0" xfId="0" applyFont="1" applyAlignment="1"/>
    <xf numFmtId="44" fontId="9" fillId="0" borderId="0" xfId="0" applyNumberFormat="1" applyFont="1" applyAlignment="1">
      <alignment horizontal="right"/>
    </xf>
    <xf numFmtId="179" fontId="18" fillId="0" borderId="0" xfId="0" applyFont="1" applyAlignment="1">
      <alignment horizontal="center"/>
    </xf>
    <xf numFmtId="179" fontId="9" fillId="0" borderId="0" xfId="0" applyFont="1" applyAlignment="1">
      <alignment horizontal="right"/>
    </xf>
    <xf numFmtId="179" fontId="18" fillId="0" borderId="0" xfId="0" applyFont="1" applyAlignment="1"/>
    <xf numFmtId="179" fontId="9" fillId="0" borderId="15" xfId="0" applyFont="1" applyBorder="1" applyAlignment="1"/>
    <xf numFmtId="179" fontId="18" fillId="0" borderId="15" xfId="0" applyFont="1" applyBorder="1" applyAlignment="1">
      <alignment horizontal="center" vertical="center"/>
    </xf>
    <xf numFmtId="179" fontId="11" fillId="8" borderId="15" xfId="0" applyFont="1" applyFill="1" applyBorder="1" applyAlignment="1">
      <alignment horizontal="center" vertical="center"/>
    </xf>
    <xf numFmtId="17" fontId="12" fillId="8" borderId="16" xfId="0" applyNumberFormat="1" applyFont="1" applyFill="1" applyBorder="1" applyAlignment="1">
      <alignment horizontal="center" vertical="center"/>
    </xf>
    <xf numFmtId="179" fontId="11" fillId="8" borderId="15" xfId="0" applyFont="1" applyFill="1" applyBorder="1" applyAlignment="1">
      <alignment horizontal="center" vertical="center" wrapText="1"/>
    </xf>
    <xf numFmtId="179" fontId="6" fillId="0" borderId="18" xfId="0" applyFont="1" applyBorder="1" applyAlignment="1">
      <alignment horizontal="center"/>
    </xf>
    <xf numFmtId="44" fontId="18" fillId="0" borderId="0" xfId="0" applyNumberFormat="1" applyFont="1" applyAlignment="1">
      <alignment horizontal="right"/>
    </xf>
    <xf numFmtId="182" fontId="18" fillId="0" borderId="15" xfId="5" applyNumberFormat="1" applyFont="1" applyFill="1" applyBorder="1" applyAlignment="1">
      <alignment horizontal="center" vertical="center"/>
    </xf>
    <xf numFmtId="182" fontId="18" fillId="0" borderId="18" xfId="5" applyNumberFormat="1" applyFont="1" applyFill="1" applyBorder="1" applyAlignment="1">
      <alignment horizontal="center" vertical="center"/>
    </xf>
    <xf numFmtId="182" fontId="18" fillId="0" borderId="15" xfId="5" applyNumberFormat="1" applyFont="1" applyBorder="1" applyAlignment="1">
      <alignment horizontal="center" vertical="center"/>
    </xf>
    <xf numFmtId="44" fontId="18" fillId="2" borderId="15" xfId="0" applyNumberFormat="1" applyFont="1" applyFill="1" applyBorder="1" applyAlignment="1">
      <alignment horizontal="center" vertical="center"/>
    </xf>
    <xf numFmtId="44" fontId="18" fillId="0" borderId="15" xfId="0" applyNumberFormat="1" applyFont="1" applyBorder="1" applyAlignment="1">
      <alignment horizontal="center"/>
    </xf>
    <xf numFmtId="44" fontId="18" fillId="0" borderId="18" xfId="0" applyNumberFormat="1" applyFont="1" applyBorder="1" applyAlignment="1">
      <alignment horizontal="center" vertical="center"/>
    </xf>
    <xf numFmtId="179" fontId="18" fillId="2" borderId="15" xfId="0" applyFont="1" applyFill="1" applyBorder="1" applyAlignment="1">
      <alignment horizontal="center" vertical="center"/>
    </xf>
    <xf numFmtId="44" fontId="18" fillId="2" borderId="16" xfId="0" applyNumberFormat="1" applyFont="1" applyFill="1" applyBorder="1" applyAlignment="1">
      <alignment horizontal="center" vertical="center"/>
    </xf>
    <xf numFmtId="1" fontId="6" fillId="12" borderId="20" xfId="0" applyNumberFormat="1" applyFont="1" applyFill="1" applyBorder="1" applyAlignment="1">
      <alignment horizontal="center" vertical="center"/>
    </xf>
    <xf numFmtId="179" fontId="6" fillId="12" borderId="20" xfId="0" applyFont="1" applyFill="1" applyBorder="1">
      <alignment vertical="center"/>
    </xf>
    <xf numFmtId="3" fontId="18" fillId="12" borderId="20" xfId="0" applyNumberFormat="1" applyFont="1" applyFill="1" applyBorder="1">
      <alignment vertical="center"/>
    </xf>
    <xf numFmtId="3" fontId="18" fillId="12" borderId="20" xfId="1" applyNumberFormat="1" applyFont="1" applyFill="1" applyBorder="1" applyAlignment="1"/>
    <xf numFmtId="179" fontId="6" fillId="0" borderId="20" xfId="0" applyFont="1" applyBorder="1">
      <alignment vertical="center"/>
    </xf>
    <xf numFmtId="2" fontId="6" fillId="0" borderId="20" xfId="0" applyNumberFormat="1" applyFont="1" applyBorder="1" applyAlignment="1">
      <alignment horizontal="center" vertical="center"/>
    </xf>
    <xf numFmtId="179" fontId="6" fillId="12" borderId="20" xfId="2" applyFont="1" applyFill="1" applyBorder="1"/>
    <xf numFmtId="1" fontId="6" fillId="12" borderId="20" xfId="2" applyNumberFormat="1" applyFont="1" applyFill="1" applyBorder="1" applyAlignment="1">
      <alignment horizontal="center"/>
    </xf>
    <xf numFmtId="3" fontId="18" fillId="12" borderId="20" xfId="2" applyNumberFormat="1" applyFont="1" applyFill="1" applyBorder="1"/>
    <xf numFmtId="179" fontId="6" fillId="12" borderId="22" xfId="0" applyFont="1" applyFill="1" applyBorder="1">
      <alignment vertical="center"/>
    </xf>
    <xf numFmtId="1" fontId="6" fillId="12" borderId="22" xfId="0" applyNumberFormat="1" applyFont="1" applyFill="1" applyBorder="1" applyAlignment="1">
      <alignment horizontal="center" vertical="center"/>
    </xf>
    <xf numFmtId="3" fontId="18" fillId="12" borderId="22" xfId="0" applyNumberFormat="1" applyFont="1" applyFill="1" applyBorder="1">
      <alignment vertical="center"/>
    </xf>
    <xf numFmtId="179" fontId="6" fillId="12" borderId="27" xfId="0" applyFont="1" applyFill="1" applyBorder="1">
      <alignment vertical="center"/>
    </xf>
    <xf numFmtId="3" fontId="18" fillId="12" borderId="27" xfId="0" applyNumberFormat="1" applyFont="1" applyFill="1" applyBorder="1">
      <alignment vertical="center"/>
    </xf>
    <xf numFmtId="179" fontId="6" fillId="0" borderId="22" xfId="0" applyFont="1" applyBorder="1">
      <alignment vertical="center"/>
    </xf>
    <xf numFmtId="2" fontId="6" fillId="0" borderId="22" xfId="0" applyNumberFormat="1" applyFont="1" applyBorder="1" applyAlignment="1">
      <alignment horizontal="center" vertical="center"/>
    </xf>
    <xf numFmtId="179" fontId="6" fillId="0" borderId="42" xfId="0" applyFont="1" applyBorder="1">
      <alignment vertical="center"/>
    </xf>
    <xf numFmtId="2" fontId="6" fillId="0" borderId="42" xfId="0" applyNumberFormat="1" applyFont="1" applyBorder="1" applyAlignment="1">
      <alignment horizontal="center" vertical="center"/>
    </xf>
    <xf numFmtId="179" fontId="6" fillId="12" borderId="39" xfId="0" applyFont="1" applyFill="1" applyBorder="1">
      <alignment vertical="center"/>
    </xf>
    <xf numFmtId="1" fontId="6" fillId="12" borderId="39" xfId="0" applyNumberFormat="1" applyFont="1" applyFill="1" applyBorder="1" applyAlignment="1">
      <alignment horizontal="center" vertical="center"/>
    </xf>
    <xf numFmtId="3" fontId="18" fillId="12" borderId="39" xfId="1" applyNumberFormat="1" applyFont="1" applyFill="1" applyBorder="1" applyAlignment="1"/>
    <xf numFmtId="179" fontId="6" fillId="0" borderId="5" xfId="0" applyFont="1" applyBorder="1">
      <alignment vertical="center"/>
    </xf>
    <xf numFmtId="179" fontId="6" fillId="0" borderId="60" xfId="0" applyFont="1" applyBorder="1">
      <alignment vertical="center"/>
    </xf>
    <xf numFmtId="179" fontId="6" fillId="0" borderId="61" xfId="0" applyFont="1" applyBorder="1">
      <alignment vertical="center"/>
    </xf>
    <xf numFmtId="176" fontId="6" fillId="0" borderId="54" xfId="0" applyNumberFormat="1" applyFont="1" applyBorder="1" applyAlignment="1">
      <alignment horizontal="center" vertical="center"/>
    </xf>
    <xf numFmtId="176" fontId="6" fillId="0" borderId="51" xfId="0" applyNumberFormat="1" applyFont="1" applyBorder="1" applyAlignment="1">
      <alignment horizontal="center" vertical="center"/>
    </xf>
    <xf numFmtId="176" fontId="6" fillId="0" borderId="55" xfId="0" applyNumberFormat="1" applyFont="1" applyBorder="1" applyAlignment="1">
      <alignment horizontal="center" vertical="center"/>
    </xf>
    <xf numFmtId="176" fontId="6" fillId="0" borderId="62" xfId="0" applyNumberFormat="1" applyFont="1" applyBorder="1" applyAlignment="1">
      <alignment horizontal="center" vertical="center"/>
    </xf>
    <xf numFmtId="176" fontId="6" fillId="0" borderId="56" xfId="0" applyNumberFormat="1" applyFont="1" applyBorder="1" applyAlignment="1">
      <alignment horizontal="center" vertical="center"/>
    </xf>
    <xf numFmtId="179" fontId="6" fillId="0" borderId="6" xfId="0" applyFont="1" applyBorder="1">
      <alignment vertical="center"/>
    </xf>
    <xf numFmtId="44" fontId="9" fillId="0" borderId="0" xfId="0" applyNumberFormat="1" applyFont="1" applyAlignment="1">
      <alignment horizontal="center" vertical="center"/>
    </xf>
    <xf numFmtId="1" fontId="6" fillId="12" borderId="66" xfId="0" applyNumberFormat="1" applyFont="1" applyFill="1" applyBorder="1" applyAlignment="1">
      <alignment horizontal="center" vertical="center"/>
    </xf>
    <xf numFmtId="1" fontId="6" fillId="12" borderId="65" xfId="0" applyNumberFormat="1" applyFont="1" applyFill="1" applyBorder="1" applyAlignment="1">
      <alignment horizontal="center" vertical="center"/>
    </xf>
    <xf numFmtId="179" fontId="6" fillId="12" borderId="66" xfId="0" applyFont="1" applyFill="1" applyBorder="1">
      <alignment vertical="center"/>
    </xf>
    <xf numFmtId="176" fontId="6" fillId="0" borderId="78" xfId="0" applyNumberFormat="1" applyFont="1" applyBorder="1" applyAlignment="1">
      <alignment horizontal="center" vertical="center"/>
    </xf>
    <xf numFmtId="179" fontId="6" fillId="0" borderId="22" xfId="0" applyFont="1" applyBorder="1" applyAlignment="1">
      <alignment horizontal="center" vertical="center"/>
    </xf>
    <xf numFmtId="179" fontId="6" fillId="0" borderId="20" xfId="0" applyFont="1" applyBorder="1" applyAlignment="1">
      <alignment horizontal="center" vertical="center"/>
    </xf>
    <xf numFmtId="179" fontId="6" fillId="12" borderId="42" xfId="0" applyFont="1" applyFill="1" applyBorder="1" applyAlignment="1">
      <alignment horizontal="center" vertical="center"/>
    </xf>
    <xf numFmtId="179" fontId="6" fillId="12" borderId="39" xfId="0" applyFont="1" applyFill="1" applyBorder="1" applyAlignment="1">
      <alignment horizontal="center" vertical="center"/>
    </xf>
    <xf numFmtId="179" fontId="6" fillId="0" borderId="29" xfId="0" applyFont="1" applyBorder="1" applyAlignment="1">
      <alignment horizontal="center" vertical="center"/>
    </xf>
    <xf numFmtId="179" fontId="6" fillId="0" borderId="30" xfId="0" applyFont="1" applyBorder="1" applyAlignment="1">
      <alignment horizontal="center" vertical="center"/>
    </xf>
    <xf numFmtId="179" fontId="6" fillId="12" borderId="41" xfId="0" applyFont="1" applyFill="1" applyBorder="1" applyAlignment="1">
      <alignment horizontal="center" vertical="center"/>
    </xf>
    <xf numFmtId="179" fontId="6" fillId="12" borderId="49" xfId="0" applyFont="1" applyFill="1" applyBorder="1" applyAlignment="1">
      <alignment horizontal="center" vertical="center"/>
    </xf>
    <xf numFmtId="179" fontId="6" fillId="0" borderId="0" xfId="0" applyFont="1" applyAlignment="1">
      <alignment horizontal="right"/>
    </xf>
    <xf numFmtId="176" fontId="6" fillId="12" borderId="39" xfId="0" applyNumberFormat="1" applyFont="1" applyFill="1" applyBorder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179" fontId="9" fillId="2" borderId="11" xfId="0" applyFont="1" applyFill="1" applyBorder="1" applyAlignment="1">
      <alignment horizontal="center" vertical="center" wrapText="1"/>
    </xf>
    <xf numFmtId="176" fontId="6" fillId="12" borderId="28" xfId="0" applyNumberFormat="1" applyFont="1" applyFill="1" applyBorder="1">
      <alignment vertical="center"/>
    </xf>
    <xf numFmtId="179" fontId="6" fillId="12" borderId="36" xfId="0" applyFont="1" applyFill="1" applyBorder="1">
      <alignment vertical="center"/>
    </xf>
    <xf numFmtId="38" fontId="6" fillId="0" borderId="0" xfId="0" applyNumberFormat="1" applyFont="1" applyAlignment="1">
      <alignment horizontal="right" vertical="center"/>
    </xf>
    <xf numFmtId="176" fontId="6" fillId="0" borderId="0" xfId="0" applyNumberFormat="1" applyFont="1">
      <alignment vertical="center"/>
    </xf>
    <xf numFmtId="179" fontId="6" fillId="12" borderId="42" xfId="0" applyFont="1" applyFill="1" applyBorder="1">
      <alignment vertical="center"/>
    </xf>
    <xf numFmtId="1" fontId="6" fillId="12" borderId="42" xfId="0" applyNumberFormat="1" applyFont="1" applyFill="1" applyBorder="1" applyAlignment="1">
      <alignment horizontal="center" vertical="center"/>
    </xf>
    <xf numFmtId="179" fontId="6" fillId="0" borderId="15" xfId="0" applyFont="1" applyBorder="1" applyAlignment="1"/>
    <xf numFmtId="2" fontId="6" fillId="0" borderId="81" xfId="0" applyNumberFormat="1" applyFont="1" applyBorder="1" applyAlignment="1">
      <alignment horizontal="center" vertical="center"/>
    </xf>
    <xf numFmtId="179" fontId="6" fillId="0" borderId="81" xfId="0" applyFont="1" applyBorder="1">
      <alignment vertical="center"/>
    </xf>
    <xf numFmtId="179" fontId="6" fillId="0" borderId="6" xfId="0" applyFont="1" applyBorder="1" applyAlignment="1">
      <alignment horizontal="center" vertical="center" wrapText="1"/>
    </xf>
    <xf numFmtId="38" fontId="18" fillId="0" borderId="22" xfId="0" applyNumberFormat="1" applyFont="1" applyBorder="1" applyAlignment="1">
      <alignment horizontal="right" vertical="center"/>
    </xf>
    <xf numFmtId="38" fontId="18" fillId="0" borderId="24" xfId="0" applyNumberFormat="1" applyFont="1" applyBorder="1" applyAlignment="1">
      <alignment horizontal="right" vertical="center"/>
    </xf>
    <xf numFmtId="38" fontId="18" fillId="0" borderId="20" xfId="0" applyNumberFormat="1" applyFont="1" applyBorder="1" applyAlignment="1">
      <alignment horizontal="right" vertical="center"/>
    </xf>
    <xf numFmtId="3" fontId="18" fillId="12" borderId="43" xfId="0" applyNumberFormat="1" applyFont="1" applyFill="1" applyBorder="1">
      <alignment vertical="center"/>
    </xf>
    <xf numFmtId="181" fontId="18" fillId="12" borderId="42" xfId="0" applyNumberFormat="1" applyFont="1" applyFill="1" applyBorder="1">
      <alignment vertical="center"/>
    </xf>
    <xf numFmtId="3" fontId="18" fillId="12" borderId="42" xfId="0" applyNumberFormat="1" applyFont="1" applyFill="1" applyBorder="1">
      <alignment vertical="center"/>
    </xf>
    <xf numFmtId="181" fontId="18" fillId="12" borderId="84" xfId="0" applyNumberFormat="1" applyFont="1" applyFill="1" applyBorder="1">
      <alignment vertical="center"/>
    </xf>
    <xf numFmtId="179" fontId="6" fillId="0" borderId="39" xfId="0" applyFont="1" applyBorder="1">
      <alignment vertical="center"/>
    </xf>
    <xf numFmtId="3" fontId="18" fillId="12" borderId="21" xfId="0" applyNumberFormat="1" applyFont="1" applyFill="1" applyBorder="1">
      <alignment vertical="center"/>
    </xf>
    <xf numFmtId="3" fontId="18" fillId="12" borderId="35" xfId="0" applyNumberFormat="1" applyFont="1" applyFill="1" applyBorder="1">
      <alignment vertical="center"/>
    </xf>
    <xf numFmtId="3" fontId="18" fillId="12" borderId="24" xfId="0" applyNumberFormat="1" applyFont="1" applyFill="1" applyBorder="1">
      <alignment vertical="center"/>
    </xf>
    <xf numFmtId="3" fontId="18" fillId="12" borderId="36" xfId="1" applyNumberFormat="1" applyFont="1" applyFill="1" applyBorder="1" applyAlignment="1"/>
    <xf numFmtId="3" fontId="18" fillId="12" borderId="36" xfId="0" applyNumberFormat="1" applyFont="1" applyFill="1" applyBorder="1">
      <alignment vertical="center"/>
    </xf>
    <xf numFmtId="3" fontId="18" fillId="12" borderId="74" xfId="0" applyNumberFormat="1" applyFont="1" applyFill="1" applyBorder="1">
      <alignment vertical="center"/>
    </xf>
    <xf numFmtId="181" fontId="18" fillId="12" borderId="72" xfId="0" applyNumberFormat="1" applyFont="1" applyFill="1" applyBorder="1">
      <alignment vertical="center"/>
    </xf>
    <xf numFmtId="3" fontId="18" fillId="12" borderId="72" xfId="0" applyNumberFormat="1" applyFont="1" applyFill="1" applyBorder="1">
      <alignment vertical="center"/>
    </xf>
    <xf numFmtId="3" fontId="18" fillId="12" borderId="73" xfId="0" applyNumberFormat="1" applyFont="1" applyFill="1" applyBorder="1">
      <alignment vertical="center"/>
    </xf>
    <xf numFmtId="3" fontId="18" fillId="12" borderId="68" xfId="0" applyNumberFormat="1" applyFont="1" applyFill="1" applyBorder="1">
      <alignment vertical="center"/>
    </xf>
    <xf numFmtId="181" fontId="18" fillId="12" borderId="66" xfId="0" applyNumberFormat="1" applyFont="1" applyFill="1" applyBorder="1">
      <alignment vertical="center"/>
    </xf>
    <xf numFmtId="3" fontId="18" fillId="12" borderId="66" xfId="0" applyNumberFormat="1" applyFont="1" applyFill="1" applyBorder="1">
      <alignment vertical="center"/>
    </xf>
    <xf numFmtId="3" fontId="18" fillId="12" borderId="67" xfId="0" applyNumberFormat="1" applyFont="1" applyFill="1" applyBorder="1">
      <alignment vertical="center"/>
    </xf>
    <xf numFmtId="3" fontId="18" fillId="12" borderId="38" xfId="0" applyNumberFormat="1" applyFont="1" applyFill="1" applyBorder="1">
      <alignment vertical="center"/>
    </xf>
    <xf numFmtId="3" fontId="18" fillId="12" borderId="39" xfId="0" applyNumberFormat="1" applyFont="1" applyFill="1" applyBorder="1">
      <alignment vertical="center"/>
    </xf>
    <xf numFmtId="3" fontId="18" fillId="12" borderId="47" xfId="0" applyNumberFormat="1" applyFont="1" applyFill="1" applyBorder="1">
      <alignment vertical="center"/>
    </xf>
    <xf numFmtId="3" fontId="18" fillId="12" borderId="26" xfId="0" applyNumberFormat="1" applyFont="1" applyFill="1" applyBorder="1">
      <alignment vertical="center"/>
    </xf>
    <xf numFmtId="181" fontId="18" fillId="12" borderId="27" xfId="0" applyNumberFormat="1" applyFont="1" applyFill="1" applyBorder="1">
      <alignment vertical="center"/>
    </xf>
    <xf numFmtId="3" fontId="18" fillId="12" borderId="37" xfId="0" applyNumberFormat="1" applyFont="1" applyFill="1" applyBorder="1">
      <alignment vertical="center"/>
    </xf>
    <xf numFmtId="3" fontId="18" fillId="12" borderId="24" xfId="1" applyNumberFormat="1" applyFont="1" applyFill="1" applyBorder="1" applyAlignment="1"/>
    <xf numFmtId="3" fontId="18" fillId="12" borderId="30" xfId="1" applyNumberFormat="1" applyFont="1" applyFill="1" applyBorder="1" applyAlignment="1"/>
    <xf numFmtId="3" fontId="18" fillId="12" borderId="51" xfId="1" applyNumberFormat="1" applyFont="1" applyFill="1" applyBorder="1" applyAlignment="1"/>
    <xf numFmtId="3" fontId="18" fillId="12" borderId="38" xfId="1" applyNumberFormat="1" applyFont="1" applyFill="1" applyBorder="1" applyAlignment="1"/>
    <xf numFmtId="3" fontId="18" fillId="12" borderId="47" xfId="1" applyNumberFormat="1" applyFont="1" applyFill="1" applyBorder="1" applyAlignment="1"/>
    <xf numFmtId="3" fontId="18" fillId="12" borderId="36" xfId="2" applyNumberFormat="1" applyFont="1" applyFill="1" applyBorder="1"/>
    <xf numFmtId="179" fontId="6" fillId="12" borderId="86" xfId="0" applyFont="1" applyFill="1" applyBorder="1">
      <alignment vertical="center"/>
    </xf>
    <xf numFmtId="1" fontId="6" fillId="12" borderId="84" xfId="0" applyNumberFormat="1" applyFont="1" applyFill="1" applyBorder="1" applyAlignment="1">
      <alignment horizontal="center" vertical="center"/>
    </xf>
    <xf numFmtId="1" fontId="6" fillId="12" borderId="84" xfId="0" applyNumberFormat="1" applyFont="1" applyFill="1" applyBorder="1">
      <alignment vertical="center"/>
    </xf>
    <xf numFmtId="3" fontId="18" fillId="12" borderId="84" xfId="0" applyNumberFormat="1" applyFont="1" applyFill="1" applyBorder="1">
      <alignment vertical="center"/>
    </xf>
    <xf numFmtId="3" fontId="18" fillId="12" borderId="87" xfId="0" applyNumberFormat="1" applyFont="1" applyFill="1" applyBorder="1">
      <alignment vertical="center"/>
    </xf>
    <xf numFmtId="3" fontId="18" fillId="12" borderId="88" xfId="0" applyNumberFormat="1" applyFont="1" applyFill="1" applyBorder="1">
      <alignment vertical="center"/>
    </xf>
    <xf numFmtId="179" fontId="6" fillId="12" borderId="89" xfId="0" applyFont="1" applyFill="1" applyBorder="1">
      <alignment vertical="center"/>
    </xf>
    <xf numFmtId="1" fontId="6" fillId="12" borderId="42" xfId="0" applyNumberFormat="1" applyFont="1" applyFill="1" applyBorder="1">
      <alignment vertical="center"/>
    </xf>
    <xf numFmtId="3" fontId="18" fillId="12" borderId="42" xfId="2" applyNumberFormat="1" applyFont="1" applyFill="1" applyBorder="1"/>
    <xf numFmtId="3" fontId="18" fillId="12" borderId="45" xfId="2" applyNumberFormat="1" applyFont="1" applyFill="1" applyBorder="1"/>
    <xf numFmtId="179" fontId="6" fillId="0" borderId="6" xfId="0" applyFont="1" applyBorder="1" applyAlignment="1">
      <alignment horizontal="center" vertical="center"/>
    </xf>
    <xf numFmtId="179" fontId="6" fillId="12" borderId="84" xfId="0" applyFont="1" applyFill="1" applyBorder="1">
      <alignment vertical="center"/>
    </xf>
    <xf numFmtId="181" fontId="6" fillId="0" borderId="56" xfId="0" applyNumberFormat="1" applyFont="1" applyBorder="1" applyAlignment="1" applyProtection="1">
      <alignment horizontal="center" vertical="center"/>
      <protection locked="0"/>
    </xf>
    <xf numFmtId="181" fontId="6" fillId="0" borderId="39" xfId="0" applyNumberFormat="1" applyFont="1" applyBorder="1" applyAlignment="1" applyProtection="1">
      <alignment horizontal="center" vertical="center"/>
      <protection locked="0"/>
    </xf>
    <xf numFmtId="1" fontId="6" fillId="12" borderId="90" xfId="0" applyNumberFormat="1" applyFont="1" applyFill="1" applyBorder="1" applyAlignment="1">
      <alignment horizontal="center" vertical="center"/>
    </xf>
    <xf numFmtId="176" fontId="6" fillId="12" borderId="85" xfId="0" applyNumberFormat="1" applyFont="1" applyFill="1" applyBorder="1">
      <alignment vertical="center"/>
    </xf>
    <xf numFmtId="1" fontId="6" fillId="12" borderId="67" xfId="0" applyNumberFormat="1" applyFont="1" applyFill="1" applyBorder="1" applyAlignment="1">
      <alignment horizontal="center" vertical="center"/>
    </xf>
    <xf numFmtId="176" fontId="6" fillId="12" borderId="69" xfId="0" applyNumberFormat="1" applyFont="1" applyFill="1" applyBorder="1">
      <alignment vertical="center"/>
    </xf>
    <xf numFmtId="176" fontId="18" fillId="12" borderId="37" xfId="0" applyNumberFormat="1" applyFont="1" applyFill="1" applyBorder="1">
      <alignment vertical="center"/>
    </xf>
    <xf numFmtId="176" fontId="9" fillId="10" borderId="93" xfId="0" applyNumberFormat="1" applyFont="1" applyFill="1" applyBorder="1" applyAlignment="1">
      <alignment horizontal="center" vertical="center" wrapText="1"/>
    </xf>
    <xf numFmtId="179" fontId="9" fillId="13" borderId="10" xfId="0" applyFont="1" applyFill="1" applyBorder="1" applyAlignment="1">
      <alignment horizontal="center" vertical="center"/>
    </xf>
    <xf numFmtId="176" fontId="6" fillId="12" borderId="44" xfId="0" applyNumberFormat="1" applyFont="1" applyFill="1" applyBorder="1">
      <alignment vertical="center"/>
    </xf>
    <xf numFmtId="1" fontId="6" fillId="12" borderId="39" xfId="0" applyNumberFormat="1" applyFont="1" applyFill="1" applyBorder="1">
      <alignment vertical="center"/>
    </xf>
    <xf numFmtId="176" fontId="6" fillId="12" borderId="25" xfId="0" applyNumberFormat="1" applyFont="1" applyFill="1" applyBorder="1">
      <alignment vertical="center"/>
    </xf>
    <xf numFmtId="179" fontId="6" fillId="12" borderId="0" xfId="0" applyFont="1" applyFill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6" fillId="0" borderId="80" xfId="0" applyNumberFormat="1" applyFont="1" applyBorder="1" applyAlignment="1">
      <alignment horizontal="center" vertical="center"/>
    </xf>
    <xf numFmtId="179" fontId="6" fillId="0" borderId="95" xfId="0" applyFont="1" applyBorder="1">
      <alignment vertical="center"/>
    </xf>
    <xf numFmtId="179" fontId="6" fillId="12" borderId="51" xfId="0" applyFont="1" applyFill="1" applyBorder="1" applyAlignment="1">
      <alignment horizontal="center" vertical="center"/>
    </xf>
    <xf numFmtId="38" fontId="9" fillId="10" borderId="98" xfId="0" applyNumberFormat="1" applyFont="1" applyFill="1" applyBorder="1" applyAlignment="1">
      <alignment horizontal="center" vertical="center" wrapText="1"/>
    </xf>
    <xf numFmtId="179" fontId="6" fillId="0" borderId="1" xfId="0" applyFont="1" applyBorder="1">
      <alignment vertical="center"/>
    </xf>
    <xf numFmtId="0" fontId="6" fillId="0" borderId="1" xfId="0" applyNumberFormat="1" applyFont="1" applyBorder="1" applyAlignment="1">
      <alignment horizontal="left"/>
    </xf>
    <xf numFmtId="179" fontId="9" fillId="13" borderId="9" xfId="0" applyFont="1" applyFill="1" applyBorder="1" applyAlignment="1">
      <alignment horizontal="center" vertical="center"/>
    </xf>
    <xf numFmtId="179" fontId="6" fillId="12" borderId="84" xfId="2" applyFont="1" applyFill="1" applyBorder="1"/>
    <xf numFmtId="179" fontId="6" fillId="12" borderId="101" xfId="0" applyFont="1" applyFill="1" applyBorder="1">
      <alignment vertical="center"/>
    </xf>
    <xf numFmtId="176" fontId="6" fillId="0" borderId="102" xfId="0" applyNumberFormat="1" applyFont="1" applyBorder="1" applyAlignment="1">
      <alignment horizontal="center" vertical="center"/>
    </xf>
    <xf numFmtId="179" fontId="6" fillId="12" borderId="66" xfId="2" applyFont="1" applyFill="1" applyBorder="1"/>
    <xf numFmtId="38" fontId="18" fillId="0" borderId="21" xfId="0" applyNumberFormat="1" applyFont="1" applyBorder="1" applyAlignment="1">
      <alignment horizontal="right" vertical="center"/>
    </xf>
    <xf numFmtId="3" fontId="18" fillId="12" borderId="90" xfId="0" applyNumberFormat="1" applyFont="1" applyFill="1" applyBorder="1">
      <alignment vertical="center"/>
    </xf>
    <xf numFmtId="3" fontId="18" fillId="12" borderId="99" xfId="0" applyNumberFormat="1" applyFont="1" applyFill="1" applyBorder="1">
      <alignment vertical="center"/>
    </xf>
    <xf numFmtId="3" fontId="18" fillId="12" borderId="97" xfId="0" applyNumberFormat="1" applyFont="1" applyFill="1" applyBorder="1">
      <alignment vertical="center"/>
    </xf>
    <xf numFmtId="179" fontId="6" fillId="0" borderId="20" xfId="2" applyFont="1" applyBorder="1"/>
    <xf numFmtId="1" fontId="6" fillId="0" borderId="20" xfId="2" applyNumberFormat="1" applyFont="1" applyBorder="1" applyAlignment="1">
      <alignment horizontal="center"/>
    </xf>
    <xf numFmtId="3" fontId="18" fillId="0" borderId="24" xfId="1" applyNumberFormat="1" applyFont="1" applyFill="1" applyBorder="1" applyAlignment="1"/>
    <xf numFmtId="3" fontId="18" fillId="0" borderId="30" xfId="1" applyNumberFormat="1" applyFont="1" applyFill="1" applyBorder="1" applyAlignment="1"/>
    <xf numFmtId="3" fontId="18" fillId="0" borderId="51" xfId="1" applyNumberFormat="1" applyFont="1" applyFill="1" applyBorder="1" applyAlignment="1"/>
    <xf numFmtId="176" fontId="6" fillId="0" borderId="57" xfId="0" applyNumberFormat="1" applyFont="1" applyBorder="1" applyAlignment="1">
      <alignment horizontal="center" vertical="center"/>
    </xf>
    <xf numFmtId="179" fontId="6" fillId="0" borderId="0" xfId="0" applyFont="1" applyAlignment="1">
      <alignment horizontal="left" vertical="center"/>
    </xf>
    <xf numFmtId="179" fontId="6" fillId="0" borderId="1" xfId="0" applyFont="1" applyBorder="1" applyAlignment="1">
      <alignment horizontal="center" vertical="center"/>
    </xf>
    <xf numFmtId="179" fontId="9" fillId="0" borderId="10" xfId="0" applyFont="1" applyBorder="1" applyAlignment="1">
      <alignment horizontal="center" vertical="center" wrapText="1"/>
    </xf>
    <xf numFmtId="179" fontId="6" fillId="0" borderId="13" xfId="0" applyFont="1" applyBorder="1" applyAlignment="1">
      <alignment horizontal="center" vertical="center"/>
    </xf>
    <xf numFmtId="179" fontId="9" fillId="11" borderId="11" xfId="0" applyFont="1" applyFill="1" applyBorder="1" applyAlignment="1">
      <alignment horizontal="center" vertical="center" wrapText="1"/>
    </xf>
    <xf numFmtId="1" fontId="6" fillId="12" borderId="58" xfId="0" applyNumberFormat="1" applyFont="1" applyFill="1" applyBorder="1" applyAlignment="1">
      <alignment horizontal="center" vertical="center"/>
    </xf>
    <xf numFmtId="1" fontId="6" fillId="12" borderId="59" xfId="0" applyNumberFormat="1" applyFont="1" applyFill="1" applyBorder="1" applyAlignment="1">
      <alignment horizontal="center" vertical="center"/>
    </xf>
    <xf numFmtId="1" fontId="6" fillId="12" borderId="108" xfId="0" applyNumberFormat="1" applyFont="1" applyFill="1" applyBorder="1" applyAlignment="1">
      <alignment horizontal="center" vertical="center"/>
    </xf>
    <xf numFmtId="1" fontId="6" fillId="12" borderId="105" xfId="0" applyNumberFormat="1" applyFont="1" applyFill="1" applyBorder="1" applyAlignment="1">
      <alignment horizontal="center" vertical="center"/>
    </xf>
    <xf numFmtId="1" fontId="6" fillId="12" borderId="61" xfId="0" applyNumberFormat="1" applyFont="1" applyFill="1" applyBorder="1" applyAlignment="1">
      <alignment horizontal="center" vertical="center"/>
    </xf>
    <xf numFmtId="1" fontId="6" fillId="12" borderId="60" xfId="0" applyNumberFormat="1" applyFont="1" applyFill="1" applyBorder="1" applyAlignment="1">
      <alignment horizontal="center" vertical="center"/>
    </xf>
    <xf numFmtId="1" fontId="6" fillId="12" borderId="109" xfId="0" applyNumberFormat="1" applyFont="1" applyFill="1" applyBorder="1" applyAlignment="1">
      <alignment horizontal="center" vertical="center"/>
    </xf>
    <xf numFmtId="179" fontId="9" fillId="0" borderId="11" xfId="0" applyFont="1" applyBorder="1" applyAlignment="1">
      <alignment horizontal="center" vertical="center"/>
    </xf>
    <xf numFmtId="179" fontId="6" fillId="12" borderId="39" xfId="2" applyFont="1" applyFill="1" applyBorder="1"/>
    <xf numFmtId="179" fontId="6" fillId="12" borderId="55" xfId="0" applyFont="1" applyFill="1" applyBorder="1" applyAlignment="1">
      <alignment horizontal="center" vertical="center"/>
    </xf>
    <xf numFmtId="0" fontId="24" fillId="14" borderId="0" xfId="0" applyNumberFormat="1" applyFont="1" applyFill="1" applyAlignment="1">
      <alignment horizontal="center" vertical="center"/>
    </xf>
    <xf numFmtId="179" fontId="24" fillId="14" borderId="0" xfId="0" applyFont="1" applyFill="1" applyAlignment="1">
      <alignment horizontal="center" vertical="center"/>
    </xf>
    <xf numFmtId="179" fontId="24" fillId="14" borderId="11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9" fontId="0" fillId="0" borderId="0" xfId="0" applyAlignment="1">
      <alignment horizontal="left" vertical="center"/>
    </xf>
    <xf numFmtId="0" fontId="0" fillId="0" borderId="113" xfId="0" applyNumberFormat="1" applyBorder="1" applyAlignment="1">
      <alignment horizontal="center" vertical="center"/>
    </xf>
    <xf numFmtId="179" fontId="0" fillId="0" borderId="16" xfId="0" applyBorder="1">
      <alignment vertical="center"/>
    </xf>
    <xf numFmtId="0" fontId="0" fillId="0" borderId="116" xfId="0" applyNumberFormat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179" fontId="6" fillId="0" borderId="15" xfId="0" applyFont="1" applyBorder="1" applyAlignment="1">
      <alignment horizontal="center" vertical="center"/>
    </xf>
    <xf numFmtId="179" fontId="25" fillId="0" borderId="4" xfId="0" applyFont="1" applyBorder="1" applyAlignment="1">
      <alignment horizontal="center" vertical="center" wrapText="1"/>
    </xf>
    <xf numFmtId="179" fontId="25" fillId="0" borderId="2" xfId="0" applyFont="1" applyBorder="1" applyAlignment="1">
      <alignment horizontal="center" vertical="center" wrapText="1"/>
    </xf>
    <xf numFmtId="1" fontId="6" fillId="12" borderId="42" xfId="2" applyNumberFormat="1" applyFont="1" applyFill="1" applyBorder="1" applyAlignment="1">
      <alignment horizontal="center"/>
    </xf>
    <xf numFmtId="179" fontId="6" fillId="12" borderId="42" xfId="2" applyFont="1" applyFill="1" applyBorder="1"/>
    <xf numFmtId="179" fontId="6" fillId="12" borderId="54" xfId="0" applyFont="1" applyFill="1" applyBorder="1" applyAlignment="1">
      <alignment horizontal="center" vertical="center"/>
    </xf>
    <xf numFmtId="179" fontId="6" fillId="12" borderId="1" xfId="0" applyFont="1" applyFill="1" applyBorder="1" applyAlignment="1">
      <alignment horizontal="center" vertical="center"/>
    </xf>
    <xf numFmtId="179" fontId="6" fillId="0" borderId="80" xfId="0" applyFont="1" applyBorder="1" applyAlignment="1">
      <alignment horizontal="center" vertical="center"/>
    </xf>
    <xf numFmtId="1" fontId="6" fillId="12" borderId="13" xfId="0" applyNumberFormat="1" applyFont="1" applyFill="1" applyBorder="1" applyAlignment="1">
      <alignment horizontal="center" vertical="center"/>
    </xf>
    <xf numFmtId="1" fontId="6" fillId="12" borderId="12" xfId="0" applyNumberFormat="1" applyFont="1" applyFill="1" applyBorder="1" applyAlignment="1">
      <alignment horizontal="center" vertical="center"/>
    </xf>
    <xf numFmtId="179" fontId="6" fillId="12" borderId="90" xfId="0" applyFont="1" applyFill="1" applyBorder="1">
      <alignment vertical="center"/>
    </xf>
    <xf numFmtId="179" fontId="6" fillId="12" borderId="120" xfId="2" applyFont="1" applyFill="1" applyBorder="1"/>
    <xf numFmtId="3" fontId="18" fillId="12" borderId="42" xfId="1" applyNumberFormat="1" applyFont="1" applyFill="1" applyBorder="1" applyAlignment="1"/>
    <xf numFmtId="1" fontId="6" fillId="12" borderId="129" xfId="0" applyNumberFormat="1" applyFont="1" applyFill="1" applyBorder="1" applyAlignment="1">
      <alignment horizontal="center" vertical="center"/>
    </xf>
    <xf numFmtId="3" fontId="18" fillId="12" borderId="84" xfId="2" applyNumberFormat="1" applyFont="1" applyFill="1" applyBorder="1"/>
    <xf numFmtId="1" fontId="6" fillId="12" borderId="84" xfId="2" applyNumberFormat="1" applyFont="1" applyFill="1" applyBorder="1" applyAlignment="1">
      <alignment horizontal="center"/>
    </xf>
    <xf numFmtId="3" fontId="18" fillId="12" borderId="88" xfId="2" applyNumberFormat="1" applyFont="1" applyFill="1" applyBorder="1"/>
    <xf numFmtId="3" fontId="18" fillId="12" borderId="43" xfId="1" applyNumberFormat="1" applyFont="1" applyFill="1" applyBorder="1" applyAlignment="1"/>
    <xf numFmtId="3" fontId="18" fillId="12" borderId="45" xfId="1" applyNumberFormat="1" applyFont="1" applyFill="1" applyBorder="1" applyAlignment="1"/>
    <xf numFmtId="1" fontId="6" fillId="12" borderId="66" xfId="2" applyNumberFormat="1" applyFont="1" applyFill="1" applyBorder="1" applyAlignment="1">
      <alignment horizontal="center"/>
    </xf>
    <xf numFmtId="1" fontId="6" fillId="12" borderId="40" xfId="0" applyNumberFormat="1" applyFont="1" applyFill="1" applyBorder="1" applyAlignment="1">
      <alignment horizontal="center" vertical="center"/>
    </xf>
    <xf numFmtId="1" fontId="6" fillId="12" borderId="120" xfId="0" applyNumberFormat="1" applyFont="1" applyFill="1" applyBorder="1" applyAlignment="1">
      <alignment horizontal="center" vertical="center"/>
    </xf>
    <xf numFmtId="3" fontId="18" fillId="12" borderId="101" xfId="1" applyNumberFormat="1" applyFont="1" applyFill="1" applyBorder="1" applyAlignment="1"/>
    <xf numFmtId="3" fontId="18" fillId="12" borderId="103" xfId="1" applyNumberFormat="1" applyFont="1" applyFill="1" applyBorder="1" applyAlignment="1"/>
    <xf numFmtId="3" fontId="18" fillId="12" borderId="100" xfId="1" applyNumberFormat="1" applyFont="1" applyFill="1" applyBorder="1" applyAlignment="1"/>
    <xf numFmtId="1" fontId="6" fillId="12" borderId="14" xfId="0" applyNumberFormat="1" applyFont="1" applyFill="1" applyBorder="1" applyAlignment="1">
      <alignment horizontal="center" vertical="center"/>
    </xf>
    <xf numFmtId="179" fontId="6" fillId="0" borderId="1" xfId="0" applyFont="1" applyBorder="1" applyAlignment="1">
      <alignment horizontal="left"/>
    </xf>
    <xf numFmtId="0" fontId="6" fillId="0" borderId="1" xfId="0" applyNumberFormat="1" applyFont="1" applyBorder="1" applyAlignment="1"/>
    <xf numFmtId="184" fontId="6" fillId="0" borderId="1" xfId="0" applyNumberFormat="1" applyFont="1" applyBorder="1" applyAlignment="1">
      <alignment horizontal="left"/>
    </xf>
    <xf numFmtId="179" fontId="6" fillId="0" borderId="104" xfId="0" applyFont="1" applyBorder="1" applyAlignment="1">
      <alignment horizontal="left"/>
    </xf>
    <xf numFmtId="185" fontId="6" fillId="0" borderId="1" xfId="0" applyNumberFormat="1" applyFont="1" applyBorder="1" applyAlignment="1">
      <alignment horizontal="left" vertical="center"/>
    </xf>
    <xf numFmtId="1" fontId="6" fillId="12" borderId="88" xfId="0" applyNumberFormat="1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9" fontId="6" fillId="0" borderId="62" xfId="0" applyFont="1" applyBorder="1">
      <alignment vertical="center"/>
    </xf>
    <xf numFmtId="3" fontId="18" fillId="12" borderId="49" xfId="1" applyNumberFormat="1" applyFont="1" applyFill="1" applyBorder="1" applyAlignment="1"/>
    <xf numFmtId="179" fontId="6" fillId="0" borderId="8" xfId="0" applyFont="1" applyBorder="1" applyAlignment="1">
      <alignment horizontal="center" vertical="center"/>
    </xf>
    <xf numFmtId="179" fontId="6" fillId="0" borderId="62" xfId="0" applyFont="1" applyBorder="1" applyAlignment="1">
      <alignment horizontal="center" vertical="center"/>
    </xf>
    <xf numFmtId="179" fontId="6" fillId="12" borderId="21" xfId="0" applyFont="1" applyFill="1" applyBorder="1" applyAlignment="1">
      <alignment horizontal="left" vertical="center"/>
    </xf>
    <xf numFmtId="179" fontId="6" fillId="12" borderId="38" xfId="0" applyFont="1" applyFill="1" applyBorder="1" applyAlignment="1">
      <alignment horizontal="left" vertical="center"/>
    </xf>
    <xf numFmtId="179" fontId="6" fillId="12" borderId="24" xfId="0" applyFont="1" applyFill="1" applyBorder="1" applyAlignment="1">
      <alignment horizontal="left" vertical="center"/>
    </xf>
    <xf numFmtId="179" fontId="6" fillId="0" borderId="38" xfId="0" applyFont="1" applyBorder="1" applyAlignment="1">
      <alignment horizontal="left" vertical="center"/>
    </xf>
    <xf numFmtId="179" fontId="6" fillId="0" borderId="24" xfId="0" applyFont="1" applyBorder="1" applyAlignment="1">
      <alignment horizontal="left" vertical="center"/>
    </xf>
    <xf numFmtId="179" fontId="6" fillId="12" borderId="43" xfId="0" applyFont="1" applyFill="1" applyBorder="1" applyAlignment="1">
      <alignment horizontal="left" vertical="center"/>
    </xf>
    <xf numFmtId="179" fontId="6" fillId="12" borderId="0" xfId="0" applyFont="1" applyFill="1">
      <alignment vertical="center"/>
    </xf>
    <xf numFmtId="38" fontId="18" fillId="0" borderId="30" xfId="0" applyNumberFormat="1" applyFont="1" applyBorder="1" applyAlignment="1">
      <alignment horizontal="right" vertical="center"/>
    </xf>
    <xf numFmtId="179" fontId="6" fillId="12" borderId="62" xfId="0" applyFont="1" applyFill="1" applyBorder="1">
      <alignment vertical="center"/>
    </xf>
    <xf numFmtId="2" fontId="6" fillId="0" borderId="39" xfId="0" applyNumberFormat="1" applyFont="1" applyBorder="1" applyAlignment="1">
      <alignment horizontal="center" vertical="center"/>
    </xf>
    <xf numFmtId="179" fontId="6" fillId="12" borderId="138" xfId="0" applyFont="1" applyFill="1" applyBorder="1" applyAlignment="1">
      <alignment horizontal="left" vertical="center"/>
    </xf>
    <xf numFmtId="179" fontId="6" fillId="12" borderId="87" xfId="0" applyFont="1" applyFill="1" applyBorder="1" applyAlignment="1">
      <alignment horizontal="left" vertical="center"/>
    </xf>
    <xf numFmtId="179" fontId="6" fillId="12" borderId="68" xfId="0" applyFont="1" applyFill="1" applyBorder="1" applyAlignment="1">
      <alignment horizontal="left" vertical="center"/>
    </xf>
    <xf numFmtId="1" fontId="6" fillId="12" borderId="22" xfId="0" applyNumberFormat="1" applyFont="1" applyFill="1" applyBorder="1">
      <alignment vertical="center"/>
    </xf>
    <xf numFmtId="1" fontId="6" fillId="12" borderId="24" xfId="0" applyNumberFormat="1" applyFont="1" applyFill="1" applyBorder="1" applyAlignment="1">
      <alignment horizontal="left" vertical="center"/>
    </xf>
    <xf numFmtId="179" fontId="6" fillId="12" borderId="43" xfId="0" applyFont="1" applyFill="1" applyBorder="1" applyAlignment="1">
      <alignment horizontal="left" vertical="center" wrapText="1"/>
    </xf>
    <xf numFmtId="179" fontId="6" fillId="12" borderId="87" xfId="0" applyFont="1" applyFill="1" applyBorder="1" applyAlignment="1">
      <alignment horizontal="left" vertical="center" wrapText="1"/>
    </xf>
    <xf numFmtId="179" fontId="6" fillId="0" borderId="21" xfId="0" applyFont="1" applyBorder="1" applyAlignment="1">
      <alignment horizontal="left" vertical="center"/>
    </xf>
    <xf numFmtId="179" fontId="6" fillId="0" borderId="43" xfId="0" applyFont="1" applyBorder="1" applyAlignment="1">
      <alignment horizontal="left" vertical="center"/>
    </xf>
    <xf numFmtId="179" fontId="6" fillId="0" borderId="139" xfId="0" applyFont="1" applyBorder="1" applyAlignment="1">
      <alignment horizontal="left" vertical="center"/>
    </xf>
    <xf numFmtId="179" fontId="6" fillId="0" borderId="1" xfId="0" applyFont="1" applyBorder="1" applyAlignment="1">
      <alignment horizontal="left" vertical="center"/>
    </xf>
    <xf numFmtId="179" fontId="6" fillId="12" borderId="1" xfId="0" applyFont="1" applyFill="1" applyBorder="1" applyAlignment="1">
      <alignment horizontal="left" vertical="center"/>
    </xf>
    <xf numFmtId="179" fontId="6" fillId="12" borderId="21" xfId="2" applyFont="1" applyFill="1" applyBorder="1" applyAlignment="1">
      <alignment horizontal="left"/>
    </xf>
    <xf numFmtId="1" fontId="6" fillId="12" borderId="22" xfId="2" applyNumberFormat="1" applyFont="1" applyFill="1" applyBorder="1" applyAlignment="1">
      <alignment horizontal="center"/>
    </xf>
    <xf numFmtId="179" fontId="6" fillId="12" borderId="24" xfId="2" applyFont="1" applyFill="1" applyBorder="1" applyAlignment="1">
      <alignment horizontal="left"/>
    </xf>
    <xf numFmtId="179" fontId="6" fillId="0" borderId="24" xfId="2" applyFont="1" applyBorder="1" applyAlignment="1">
      <alignment horizontal="left"/>
    </xf>
    <xf numFmtId="179" fontId="6" fillId="12" borderId="133" xfId="0" applyFont="1" applyFill="1" applyBorder="1" applyAlignment="1">
      <alignment horizontal="left" vertical="center"/>
    </xf>
    <xf numFmtId="179" fontId="6" fillId="12" borderId="43" xfId="2" applyFont="1" applyFill="1" applyBorder="1" applyAlignment="1">
      <alignment horizontal="left"/>
    </xf>
    <xf numFmtId="179" fontId="6" fillId="12" borderId="68" xfId="2" applyFont="1" applyFill="1" applyBorder="1" applyAlignment="1">
      <alignment horizontal="left"/>
    </xf>
    <xf numFmtId="179" fontId="6" fillId="12" borderId="87" xfId="2" applyFont="1" applyFill="1" applyBorder="1" applyAlignment="1">
      <alignment horizontal="left"/>
    </xf>
    <xf numFmtId="179" fontId="6" fillId="12" borderId="38" xfId="2" applyFont="1" applyFill="1" applyBorder="1" applyAlignment="1">
      <alignment horizontal="left"/>
    </xf>
    <xf numFmtId="179" fontId="6" fillId="12" borderId="99" xfId="0" applyFont="1" applyFill="1" applyBorder="1" applyAlignment="1">
      <alignment horizontal="left" vertical="center" wrapText="1"/>
    </xf>
    <xf numFmtId="1" fontId="6" fillId="12" borderId="7" xfId="0" applyNumberFormat="1" applyFont="1" applyFill="1" applyBorder="1" applyAlignment="1">
      <alignment horizontal="center" vertical="center"/>
    </xf>
    <xf numFmtId="1" fontId="6" fillId="12" borderId="1" xfId="0" applyNumberFormat="1" applyFont="1" applyFill="1" applyBorder="1" applyAlignment="1">
      <alignment horizontal="center" vertical="center"/>
    </xf>
    <xf numFmtId="179" fontId="22" fillId="0" borderId="0" xfId="0" applyFont="1">
      <alignment vertical="center"/>
    </xf>
    <xf numFmtId="179" fontId="6" fillId="0" borderId="140" xfId="0" applyFont="1" applyBorder="1" applyAlignment="1">
      <alignment horizontal="left" vertical="center"/>
    </xf>
    <xf numFmtId="2" fontId="6" fillId="0" borderId="141" xfId="0" applyNumberFormat="1" applyFont="1" applyBorder="1" applyAlignment="1">
      <alignment horizontal="center" vertical="center"/>
    </xf>
    <xf numFmtId="2" fontId="6" fillId="0" borderId="120" xfId="0" applyNumberFormat="1" applyFont="1" applyBorder="1" applyAlignment="1">
      <alignment horizontal="center" vertical="center"/>
    </xf>
    <xf numFmtId="179" fontId="6" fillId="0" borderId="133" xfId="0" applyFont="1" applyBorder="1" applyAlignment="1">
      <alignment horizontal="left" vertical="center"/>
    </xf>
    <xf numFmtId="179" fontId="1" fillId="0" borderId="112" xfId="0" applyFont="1" applyBorder="1" applyAlignment="1">
      <alignment vertical="center" wrapText="1"/>
    </xf>
    <xf numFmtId="179" fontId="1" fillId="0" borderId="112" xfId="0" applyFont="1" applyBorder="1">
      <alignment vertical="center"/>
    </xf>
    <xf numFmtId="179" fontId="1" fillId="0" borderId="113" xfId="0" applyFont="1" applyBorder="1">
      <alignment vertical="center"/>
    </xf>
    <xf numFmtId="179" fontId="1" fillId="0" borderId="115" xfId="0" applyFont="1" applyBorder="1">
      <alignment vertical="center"/>
    </xf>
    <xf numFmtId="179" fontId="1" fillId="0" borderId="116" xfId="0" applyFont="1" applyBorder="1">
      <alignment vertical="center"/>
    </xf>
    <xf numFmtId="179" fontId="1" fillId="0" borderId="0" xfId="0" applyFont="1" applyAlignment="1">
      <alignment horizontal="left" vertical="center" indent="4"/>
    </xf>
    <xf numFmtId="1" fontId="6" fillId="12" borderId="66" xfId="0" applyNumberFormat="1" applyFont="1" applyFill="1" applyBorder="1">
      <alignment vertical="center"/>
    </xf>
    <xf numFmtId="179" fontId="6" fillId="0" borderId="3" xfId="0" applyFont="1" applyBorder="1" applyAlignment="1">
      <alignment horizontal="center" vertical="center" wrapText="1"/>
    </xf>
    <xf numFmtId="179" fontId="18" fillId="0" borderId="0" xfId="0" applyFont="1" applyAlignment="1">
      <alignment horizontal="center" vertical="center"/>
    </xf>
    <xf numFmtId="176" fontId="6" fillId="0" borderId="79" xfId="0" applyNumberFormat="1" applyFont="1" applyBorder="1" applyAlignment="1">
      <alignment horizontal="center" vertical="center"/>
    </xf>
    <xf numFmtId="176" fontId="6" fillId="0" borderId="145" xfId="0" applyNumberFormat="1" applyFont="1" applyBorder="1" applyAlignment="1">
      <alignment horizontal="center" vertical="center"/>
    </xf>
    <xf numFmtId="181" fontId="6" fillId="0" borderId="0" xfId="0" applyNumberFormat="1" applyFont="1" applyAlignment="1" applyProtection="1">
      <alignment horizontal="center" vertical="center"/>
      <protection locked="0"/>
    </xf>
    <xf numFmtId="181" fontId="6" fillId="0" borderId="62" xfId="0" applyNumberFormat="1" applyFont="1" applyBorder="1" applyAlignment="1" applyProtection="1">
      <alignment horizontal="center" vertical="center"/>
      <protection locked="0"/>
    </xf>
    <xf numFmtId="181" fontId="6" fillId="0" borderId="66" xfId="0" applyNumberFormat="1" applyFont="1" applyBorder="1" applyAlignment="1" applyProtection="1">
      <alignment horizontal="center" vertical="center"/>
      <protection locked="0"/>
    </xf>
    <xf numFmtId="179" fontId="6" fillId="12" borderId="92" xfId="0" applyFont="1" applyFill="1" applyBorder="1">
      <alignment vertical="center"/>
    </xf>
    <xf numFmtId="179" fontId="6" fillId="12" borderId="88" xfId="0" applyFont="1" applyFill="1" applyBorder="1">
      <alignment vertical="center"/>
    </xf>
    <xf numFmtId="179" fontId="6" fillId="12" borderId="37" xfId="0" applyFont="1" applyFill="1" applyBorder="1">
      <alignment vertical="center"/>
    </xf>
    <xf numFmtId="1" fontId="6" fillId="12" borderId="47" xfId="0" applyNumberFormat="1" applyFont="1" applyFill="1" applyBorder="1">
      <alignment vertical="center"/>
    </xf>
    <xf numFmtId="179" fontId="6" fillId="12" borderId="36" xfId="0" applyFont="1" applyFill="1" applyBorder="1" applyAlignment="1">
      <alignment vertical="center" wrapText="1"/>
    </xf>
    <xf numFmtId="1" fontId="6" fillId="12" borderId="45" xfId="0" applyNumberFormat="1" applyFont="1" applyFill="1" applyBorder="1">
      <alignment vertical="center"/>
    </xf>
    <xf numFmtId="1" fontId="6" fillId="12" borderId="88" xfId="0" applyNumberFormat="1" applyFont="1" applyFill="1" applyBorder="1">
      <alignment vertical="center"/>
    </xf>
    <xf numFmtId="176" fontId="6" fillId="12" borderId="5" xfId="0" applyNumberFormat="1" applyFont="1" applyFill="1" applyBorder="1">
      <alignment vertical="center"/>
    </xf>
    <xf numFmtId="176" fontId="6" fillId="12" borderId="60" xfId="0" applyNumberFormat="1" applyFont="1" applyFill="1" applyBorder="1">
      <alignment vertical="center"/>
    </xf>
    <xf numFmtId="176" fontId="6" fillId="12" borderId="61" xfId="0" applyNumberFormat="1" applyFont="1" applyFill="1" applyBorder="1">
      <alignment vertical="center"/>
    </xf>
    <xf numFmtId="179" fontId="6" fillId="12" borderId="45" xfId="0" applyFont="1" applyFill="1" applyBorder="1">
      <alignment vertical="center"/>
    </xf>
    <xf numFmtId="1" fontId="6" fillId="12" borderId="90" xfId="0" applyNumberFormat="1" applyFont="1" applyFill="1" applyBorder="1">
      <alignment vertical="center"/>
    </xf>
    <xf numFmtId="1" fontId="6" fillId="12" borderId="120" xfId="0" applyNumberFormat="1" applyFont="1" applyFill="1" applyBorder="1">
      <alignment vertical="center"/>
    </xf>
    <xf numFmtId="183" fontId="6" fillId="0" borderId="0" xfId="4" applyNumberFormat="1" applyFont="1" applyAlignment="1">
      <alignment vertical="center"/>
    </xf>
    <xf numFmtId="179" fontId="6" fillId="12" borderId="22" xfId="2" applyFont="1" applyFill="1" applyBorder="1"/>
    <xf numFmtId="183" fontId="6" fillId="0" borderId="0" xfId="0" applyNumberFormat="1" applyFont="1">
      <alignment vertical="center"/>
    </xf>
    <xf numFmtId="0" fontId="6" fillId="0" borderId="0" xfId="0" applyNumberFormat="1" applyFont="1" applyAlignment="1">
      <alignment horizontal="left"/>
    </xf>
    <xf numFmtId="179" fontId="6" fillId="12" borderId="90" xfId="2" applyFont="1" applyFill="1" applyBorder="1"/>
    <xf numFmtId="179" fontId="6" fillId="0" borderId="141" xfId="0" applyFont="1" applyBorder="1">
      <alignment vertical="center"/>
    </xf>
    <xf numFmtId="179" fontId="6" fillId="0" borderId="120" xfId="0" applyFont="1" applyBorder="1">
      <alignment vertical="center"/>
    </xf>
    <xf numFmtId="179" fontId="6" fillId="0" borderId="146" xfId="0" applyFont="1" applyBorder="1">
      <alignment vertical="center"/>
    </xf>
    <xf numFmtId="176" fontId="18" fillId="12" borderId="75" xfId="0" applyNumberFormat="1" applyFont="1" applyFill="1" applyBorder="1">
      <alignment vertical="center"/>
    </xf>
    <xf numFmtId="38" fontId="9" fillId="10" borderId="93" xfId="0" applyNumberFormat="1" applyFont="1" applyFill="1" applyBorder="1" applyAlignment="1">
      <alignment horizontal="center" vertical="center" wrapText="1"/>
    </xf>
    <xf numFmtId="179" fontId="25" fillId="0" borderId="13" xfId="0" applyFont="1" applyBorder="1">
      <alignment vertical="center"/>
    </xf>
    <xf numFmtId="179" fontId="26" fillId="0" borderId="0" xfId="0" applyFont="1">
      <alignment vertical="center"/>
    </xf>
    <xf numFmtId="179" fontId="25" fillId="0" borderId="0" xfId="0" applyFont="1">
      <alignment vertical="center"/>
    </xf>
    <xf numFmtId="179" fontId="25" fillId="0" borderId="60" xfId="0" applyFont="1" applyBorder="1">
      <alignment vertical="center"/>
    </xf>
    <xf numFmtId="176" fontId="6" fillId="0" borderId="137" xfId="0" applyNumberFormat="1" applyFont="1" applyBorder="1" applyAlignment="1">
      <alignment horizontal="center" vertical="center"/>
    </xf>
    <xf numFmtId="179" fontId="6" fillId="0" borderId="7" xfId="0" applyFont="1" applyBorder="1" applyAlignment="1">
      <alignment horizontal="center" vertical="center"/>
    </xf>
    <xf numFmtId="176" fontId="6" fillId="12" borderId="42" xfId="0" applyNumberFormat="1" applyFont="1" applyFill="1" applyBorder="1" applyAlignment="1">
      <alignment horizontal="center" vertical="center"/>
    </xf>
    <xf numFmtId="3" fontId="18" fillId="12" borderId="6" xfId="0" applyNumberFormat="1" applyFont="1" applyFill="1" applyBorder="1">
      <alignment vertical="center"/>
    </xf>
    <xf numFmtId="3" fontId="18" fillId="12" borderId="7" xfId="0" applyNumberFormat="1" applyFont="1" applyFill="1" applyBorder="1">
      <alignment vertical="center"/>
    </xf>
    <xf numFmtId="179" fontId="6" fillId="0" borderId="86" xfId="0" applyFont="1" applyBorder="1" applyAlignment="1">
      <alignment horizontal="center" vertical="center"/>
    </xf>
    <xf numFmtId="179" fontId="6" fillId="0" borderId="84" xfId="0" applyFont="1" applyBorder="1" applyAlignment="1">
      <alignment horizontal="center" vertical="center"/>
    </xf>
    <xf numFmtId="179" fontId="6" fillId="0" borderId="89" xfId="0" applyFont="1" applyBorder="1" applyAlignment="1">
      <alignment horizontal="center" vertical="center"/>
    </xf>
    <xf numFmtId="179" fontId="6" fillId="0" borderId="66" xfId="0" applyFont="1" applyBorder="1" applyAlignment="1">
      <alignment horizontal="center" vertical="center"/>
    </xf>
    <xf numFmtId="176" fontId="6" fillId="0" borderId="23" xfId="0" applyNumberFormat="1" applyFont="1" applyBorder="1">
      <alignment vertical="center"/>
    </xf>
    <xf numFmtId="176" fontId="6" fillId="0" borderId="25" xfId="0" applyNumberFormat="1" applyFont="1" applyBorder="1">
      <alignment vertical="center"/>
    </xf>
    <xf numFmtId="176" fontId="6" fillId="0" borderId="44" xfId="0" applyNumberFormat="1" applyFont="1" applyBorder="1">
      <alignment vertical="center"/>
    </xf>
    <xf numFmtId="176" fontId="6" fillId="0" borderId="50" xfId="0" applyNumberFormat="1" applyFont="1" applyBorder="1">
      <alignment vertical="center"/>
    </xf>
    <xf numFmtId="176" fontId="6" fillId="0" borderId="117" xfId="0" applyNumberFormat="1" applyFont="1" applyBorder="1">
      <alignment vertical="center"/>
    </xf>
    <xf numFmtId="176" fontId="6" fillId="0" borderId="143" xfId="0" applyNumberFormat="1" applyFont="1" applyBorder="1">
      <alignment vertical="center"/>
    </xf>
    <xf numFmtId="179" fontId="6" fillId="0" borderId="12" xfId="0" applyFont="1" applyBorder="1" applyAlignment="1">
      <alignment horizontal="center" vertical="center"/>
    </xf>
    <xf numFmtId="179" fontId="6" fillId="0" borderId="14" xfId="0" applyFont="1" applyBorder="1" applyAlignment="1">
      <alignment horizontal="center" vertical="center"/>
    </xf>
    <xf numFmtId="179" fontId="9" fillId="0" borderId="5" xfId="0" applyFont="1" applyBorder="1" applyAlignment="1">
      <alignment horizontal="center" vertical="center" wrapText="1"/>
    </xf>
    <xf numFmtId="44" fontId="18" fillId="12" borderId="15" xfId="0" applyNumberFormat="1" applyFont="1" applyFill="1" applyBorder="1" applyAlignment="1">
      <alignment horizontal="center" vertical="center"/>
    </xf>
    <xf numFmtId="3" fontId="18" fillId="12" borderId="30" xfId="0" applyNumberFormat="1" applyFont="1" applyFill="1" applyBorder="1">
      <alignment vertical="center"/>
    </xf>
    <xf numFmtId="181" fontId="18" fillId="12" borderId="75" xfId="0" applyNumberFormat="1" applyFont="1" applyFill="1" applyBorder="1">
      <alignment vertical="center"/>
    </xf>
    <xf numFmtId="181" fontId="18" fillId="12" borderId="76" xfId="0" applyNumberFormat="1" applyFont="1" applyFill="1" applyBorder="1">
      <alignment vertical="center"/>
    </xf>
    <xf numFmtId="3" fontId="18" fillId="12" borderId="86" xfId="0" applyNumberFormat="1" applyFont="1" applyFill="1" applyBorder="1">
      <alignment vertical="center"/>
    </xf>
    <xf numFmtId="3" fontId="18" fillId="12" borderId="124" xfId="0" applyNumberFormat="1" applyFont="1" applyFill="1" applyBorder="1">
      <alignment vertical="center"/>
    </xf>
    <xf numFmtId="181" fontId="18" fillId="12" borderId="69" xfId="0" applyNumberFormat="1" applyFont="1" applyFill="1" applyBorder="1">
      <alignment vertical="center"/>
    </xf>
    <xf numFmtId="181" fontId="18" fillId="12" borderId="28" xfId="0" applyNumberFormat="1" applyFont="1" applyFill="1" applyBorder="1">
      <alignment vertical="center"/>
    </xf>
    <xf numFmtId="181" fontId="18" fillId="12" borderId="52" xfId="0" applyNumberFormat="1" applyFont="1" applyFill="1" applyBorder="1">
      <alignment vertical="center"/>
    </xf>
    <xf numFmtId="181" fontId="18" fillId="12" borderId="44" xfId="0" applyNumberFormat="1" applyFont="1" applyFill="1" applyBorder="1">
      <alignment vertical="center"/>
    </xf>
    <xf numFmtId="3" fontId="18" fillId="12" borderId="45" xfId="0" applyNumberFormat="1" applyFont="1" applyFill="1" applyBorder="1">
      <alignment vertical="center"/>
    </xf>
    <xf numFmtId="181" fontId="18" fillId="12" borderId="53" xfId="0" applyNumberFormat="1" applyFont="1" applyFill="1" applyBorder="1">
      <alignment vertical="center"/>
    </xf>
    <xf numFmtId="181" fontId="18" fillId="12" borderId="63" xfId="0" applyNumberFormat="1" applyFont="1" applyFill="1" applyBorder="1">
      <alignment vertical="center"/>
    </xf>
    <xf numFmtId="1" fontId="18" fillId="0" borderId="0" xfId="1" applyNumberFormat="1" applyFont="1" applyFill="1" applyBorder="1" applyAlignment="1"/>
    <xf numFmtId="38" fontId="18" fillId="12" borderId="30" xfId="0" applyNumberFormat="1" applyFont="1" applyFill="1" applyBorder="1" applyAlignment="1">
      <alignment horizontal="right" vertical="center"/>
    </xf>
    <xf numFmtId="38" fontId="18" fillId="12" borderId="20" xfId="0" applyNumberFormat="1" applyFont="1" applyFill="1" applyBorder="1" applyAlignment="1">
      <alignment horizontal="right" vertical="center"/>
    </xf>
    <xf numFmtId="3" fontId="18" fillId="12" borderId="90" xfId="1" applyNumberFormat="1" applyFont="1" applyFill="1" applyBorder="1" applyAlignment="1"/>
    <xf numFmtId="3" fontId="18" fillId="12" borderId="46" xfId="1" applyNumberFormat="1" applyFont="1" applyFill="1" applyBorder="1" applyAlignment="1"/>
    <xf numFmtId="3" fontId="18" fillId="0" borderId="20" xfId="1" applyNumberFormat="1" applyFont="1" applyFill="1" applyBorder="1" applyAlignment="1"/>
    <xf numFmtId="3" fontId="18" fillId="0" borderId="46" xfId="1" applyNumberFormat="1" applyFont="1" applyFill="1" applyBorder="1" applyAlignment="1"/>
    <xf numFmtId="3" fontId="18" fillId="0" borderId="36" xfId="1" applyNumberFormat="1" applyFont="1" applyFill="1" applyBorder="1" applyAlignment="1"/>
    <xf numFmtId="176" fontId="6" fillId="0" borderId="20" xfId="0" applyNumberFormat="1" applyFont="1" applyBorder="1" applyAlignment="1">
      <alignment horizontal="center" vertical="center"/>
    </xf>
    <xf numFmtId="179" fontId="6" fillId="0" borderId="71" xfId="0" applyFont="1" applyBorder="1" applyAlignment="1">
      <alignment horizontal="center" vertical="center"/>
    </xf>
    <xf numFmtId="179" fontId="6" fillId="0" borderId="121" xfId="0" applyFont="1" applyBorder="1" applyAlignment="1">
      <alignment horizontal="center" vertical="center"/>
    </xf>
    <xf numFmtId="179" fontId="6" fillId="0" borderId="49" xfId="0" applyFont="1" applyBorder="1" applyAlignment="1">
      <alignment horizontal="center" vertical="center"/>
    </xf>
    <xf numFmtId="179" fontId="6" fillId="0" borderId="39" xfId="0" applyFont="1" applyBorder="1" applyAlignment="1">
      <alignment horizontal="center" vertical="center"/>
    </xf>
    <xf numFmtId="179" fontId="6" fillId="0" borderId="41" xfId="0" applyFont="1" applyBorder="1" applyAlignment="1">
      <alignment horizontal="center" vertical="center"/>
    </xf>
    <xf numFmtId="179" fontId="6" fillId="0" borderId="42" xfId="0" applyFont="1" applyBorder="1" applyAlignment="1">
      <alignment horizontal="center" vertical="center"/>
    </xf>
    <xf numFmtId="179" fontId="6" fillId="0" borderId="77" xfId="0" applyFont="1" applyBorder="1" applyAlignment="1">
      <alignment horizontal="center" vertical="center"/>
    </xf>
    <xf numFmtId="179" fontId="6" fillId="0" borderId="64" xfId="0" applyFont="1" applyBorder="1" applyAlignment="1">
      <alignment horizontal="center" vertical="center"/>
    </xf>
    <xf numFmtId="179" fontId="6" fillId="0" borderId="82" xfId="0" applyFont="1" applyBorder="1" applyAlignment="1">
      <alignment horizontal="center" vertical="center"/>
    </xf>
    <xf numFmtId="176" fontId="6" fillId="0" borderId="153" xfId="0" applyNumberFormat="1" applyFont="1" applyBorder="1" applyAlignment="1">
      <alignment horizontal="center" vertical="center"/>
    </xf>
    <xf numFmtId="1" fontId="6" fillId="12" borderId="156" xfId="0" applyNumberFormat="1" applyFont="1" applyFill="1" applyBorder="1" applyAlignment="1">
      <alignment horizontal="center" vertical="center"/>
    </xf>
    <xf numFmtId="179" fontId="6" fillId="12" borderId="157" xfId="0" applyFont="1" applyFill="1" applyBorder="1" applyAlignment="1">
      <alignment horizontal="left" vertical="center"/>
    </xf>
    <xf numFmtId="1" fontId="6" fillId="12" borderId="118" xfId="0" applyNumberFormat="1" applyFont="1" applyFill="1" applyBorder="1" applyAlignment="1">
      <alignment horizontal="center" vertical="center"/>
    </xf>
    <xf numFmtId="179" fontId="6" fillId="12" borderId="47" xfId="0" applyFont="1" applyFill="1" applyBorder="1">
      <alignment vertical="center"/>
    </xf>
    <xf numFmtId="181" fontId="18" fillId="12" borderId="160" xfId="0" applyNumberFormat="1" applyFont="1" applyFill="1" applyBorder="1">
      <alignment vertical="center"/>
    </xf>
    <xf numFmtId="181" fontId="18" fillId="12" borderId="161" xfId="0" applyNumberFormat="1" applyFont="1" applyFill="1" applyBorder="1">
      <alignment vertical="center"/>
    </xf>
    <xf numFmtId="181" fontId="18" fillId="12" borderId="163" xfId="0" applyNumberFormat="1" applyFont="1" applyFill="1" applyBorder="1">
      <alignment vertical="center"/>
    </xf>
    <xf numFmtId="176" fontId="18" fillId="12" borderId="161" xfId="0" applyNumberFormat="1" applyFont="1" applyFill="1" applyBorder="1">
      <alignment vertical="center"/>
    </xf>
    <xf numFmtId="179" fontId="9" fillId="0" borderId="164" xfId="0" applyFont="1" applyBorder="1" applyAlignment="1">
      <alignment horizontal="left" vertical="center"/>
    </xf>
    <xf numFmtId="2" fontId="9" fillId="0" borderId="93" xfId="0" applyNumberFormat="1" applyFont="1" applyBorder="1" applyAlignment="1">
      <alignment horizontal="center" vertical="center"/>
    </xf>
    <xf numFmtId="179" fontId="9" fillId="0" borderId="93" xfId="0" applyFont="1" applyBorder="1" applyAlignment="1">
      <alignment horizontal="center" vertical="center"/>
    </xf>
    <xf numFmtId="179" fontId="9" fillId="0" borderId="94" xfId="0" applyFont="1" applyBorder="1" applyAlignment="1">
      <alignment horizontal="center" vertical="center"/>
    </xf>
    <xf numFmtId="176" fontId="9" fillId="3" borderId="93" xfId="0" applyNumberFormat="1" applyFont="1" applyFill="1" applyBorder="1" applyAlignment="1">
      <alignment horizontal="center" vertical="center" wrapText="1"/>
    </xf>
    <xf numFmtId="38" fontId="9" fillId="3" borderId="93" xfId="0" applyNumberFormat="1" applyFont="1" applyFill="1" applyBorder="1" applyAlignment="1">
      <alignment horizontal="center" vertical="center" wrapText="1"/>
    </xf>
    <xf numFmtId="176" fontId="9" fillId="3" borderId="150" xfId="0" applyNumberFormat="1" applyFont="1" applyFill="1" applyBorder="1" applyAlignment="1">
      <alignment horizontal="center" vertical="center" wrapText="1"/>
    </xf>
    <xf numFmtId="176" fontId="9" fillId="9" borderId="93" xfId="0" applyNumberFormat="1" applyFont="1" applyFill="1" applyBorder="1" applyAlignment="1">
      <alignment horizontal="center" vertical="center" wrapText="1"/>
    </xf>
    <xf numFmtId="38" fontId="9" fillId="9" borderId="93" xfId="0" applyNumberFormat="1" applyFont="1" applyFill="1" applyBorder="1" applyAlignment="1">
      <alignment horizontal="center" vertical="center" wrapText="1"/>
    </xf>
    <xf numFmtId="176" fontId="9" fillId="9" borderId="150" xfId="0" applyNumberFormat="1" applyFont="1" applyFill="1" applyBorder="1" applyAlignment="1">
      <alignment horizontal="center" vertical="center" wrapText="1"/>
    </xf>
    <xf numFmtId="179" fontId="25" fillId="0" borderId="3" xfId="0" applyFont="1" applyBorder="1" applyAlignment="1">
      <alignment vertical="center" wrapText="1"/>
    </xf>
    <xf numFmtId="179" fontId="9" fillId="0" borderId="10" xfId="0" applyFont="1" applyBorder="1">
      <alignment vertical="center"/>
    </xf>
    <xf numFmtId="179" fontId="6" fillId="12" borderId="14" xfId="0" applyFont="1" applyFill="1" applyBorder="1">
      <alignment vertical="center"/>
    </xf>
    <xf numFmtId="3" fontId="18" fillId="12" borderId="165" xfId="0" applyNumberFormat="1" applyFont="1" applyFill="1" applyBorder="1">
      <alignment vertical="center"/>
    </xf>
    <xf numFmtId="3" fontId="18" fillId="12" borderId="84" xfId="1" applyNumberFormat="1" applyFont="1" applyFill="1" applyBorder="1" applyAlignment="1"/>
    <xf numFmtId="3" fontId="18" fillId="12" borderId="87" xfId="1" applyNumberFormat="1" applyFont="1" applyFill="1" applyBorder="1" applyAlignment="1"/>
    <xf numFmtId="3" fontId="18" fillId="12" borderId="88" xfId="1" applyNumberFormat="1" applyFont="1" applyFill="1" applyBorder="1" applyAlignment="1"/>
    <xf numFmtId="179" fontId="6" fillId="12" borderId="0" xfId="2" applyFont="1" applyFill="1"/>
    <xf numFmtId="186" fontId="6" fillId="0" borderId="0" xfId="0" applyNumberFormat="1" applyFont="1" applyAlignment="1">
      <alignment horizontal="center" vertical="center"/>
    </xf>
    <xf numFmtId="1" fontId="6" fillId="12" borderId="0" xfId="0" applyNumberFormat="1" applyFont="1" applyFill="1" applyAlignment="1">
      <alignment horizontal="center" vertical="center"/>
    </xf>
    <xf numFmtId="1" fontId="6" fillId="12" borderId="167" xfId="0" applyNumberFormat="1" applyFont="1" applyFill="1" applyBorder="1" applyAlignment="1">
      <alignment horizontal="center" vertical="center"/>
    </xf>
    <xf numFmtId="1" fontId="6" fillId="12" borderId="127" xfId="0" applyNumberFormat="1" applyFont="1" applyFill="1" applyBorder="1" applyAlignment="1">
      <alignment horizontal="center" vertical="center"/>
    </xf>
    <xf numFmtId="1" fontId="6" fillId="12" borderId="166" xfId="0" applyNumberFormat="1" applyFont="1" applyFill="1" applyBorder="1" applyAlignment="1">
      <alignment horizontal="center" vertical="center"/>
    </xf>
    <xf numFmtId="44" fontId="6" fillId="0" borderId="0" xfId="11" applyFont="1" applyAlignment="1">
      <alignment horizontal="center" vertical="center"/>
    </xf>
    <xf numFmtId="1" fontId="6" fillId="12" borderId="48" xfId="0" applyNumberFormat="1" applyFont="1" applyFill="1" applyBorder="1" applyAlignment="1">
      <alignment horizontal="center" vertical="center"/>
    </xf>
    <xf numFmtId="1" fontId="6" fillId="12" borderId="33" xfId="0" applyNumberFormat="1" applyFont="1" applyFill="1" applyBorder="1" applyAlignment="1">
      <alignment horizontal="center" vertical="center"/>
    </xf>
    <xf numFmtId="3" fontId="18" fillId="12" borderId="22" xfId="1" applyNumberFormat="1" applyFont="1" applyFill="1" applyBorder="1" applyAlignment="1"/>
    <xf numFmtId="3" fontId="18" fillId="12" borderId="35" xfId="1" applyNumberFormat="1" applyFont="1" applyFill="1" applyBorder="1" applyAlignment="1"/>
    <xf numFmtId="3" fontId="18" fillId="12" borderId="66" xfId="2" applyNumberFormat="1" applyFont="1" applyFill="1" applyBorder="1"/>
    <xf numFmtId="3" fontId="18" fillId="12" borderId="67" xfId="2" applyNumberFormat="1" applyFont="1" applyFill="1" applyBorder="1"/>
    <xf numFmtId="181" fontId="18" fillId="12" borderId="169" xfId="0" applyNumberFormat="1" applyFont="1" applyFill="1" applyBorder="1">
      <alignment vertical="center"/>
    </xf>
    <xf numFmtId="181" fontId="18" fillId="12" borderId="170" xfId="0" applyNumberFormat="1" applyFont="1" applyFill="1" applyBorder="1">
      <alignment vertical="center"/>
    </xf>
    <xf numFmtId="38" fontId="18" fillId="0" borderId="42" xfId="0" applyNumberFormat="1" applyFont="1" applyBorder="1" applyAlignment="1">
      <alignment horizontal="right" vertical="center"/>
    </xf>
    <xf numFmtId="181" fontId="18" fillId="12" borderId="173" xfId="0" applyNumberFormat="1" applyFont="1" applyFill="1" applyBorder="1">
      <alignment vertical="center"/>
    </xf>
    <xf numFmtId="3" fontId="18" fillId="12" borderId="174" xfId="0" applyNumberFormat="1" applyFont="1" applyFill="1" applyBorder="1">
      <alignment vertical="center"/>
    </xf>
    <xf numFmtId="38" fontId="18" fillId="12" borderId="22" xfId="0" applyNumberFormat="1" applyFont="1" applyFill="1" applyBorder="1">
      <alignment vertical="center"/>
    </xf>
    <xf numFmtId="3" fontId="18" fillId="12" borderId="21" xfId="1" applyNumberFormat="1" applyFont="1" applyFill="1" applyBorder="1" applyAlignment="1"/>
    <xf numFmtId="3" fontId="18" fillId="12" borderId="29" xfId="1" applyNumberFormat="1" applyFont="1" applyFill="1" applyBorder="1" applyAlignment="1"/>
    <xf numFmtId="3" fontId="18" fillId="12" borderId="54" xfId="1" applyNumberFormat="1" applyFont="1" applyFill="1" applyBorder="1" applyAlignment="1"/>
    <xf numFmtId="38" fontId="9" fillId="7" borderId="93" xfId="0" applyNumberFormat="1" applyFont="1" applyFill="1" applyBorder="1" applyAlignment="1">
      <alignment horizontal="center" vertical="center" wrapText="1"/>
    </xf>
    <xf numFmtId="176" fontId="9" fillId="7" borderId="93" xfId="0" applyNumberFormat="1" applyFont="1" applyFill="1" applyBorder="1" applyAlignment="1">
      <alignment horizontal="center" vertical="center" wrapText="1"/>
    </xf>
    <xf numFmtId="38" fontId="18" fillId="0" borderId="43" xfId="0" applyNumberFormat="1" applyFont="1" applyBorder="1" applyAlignment="1">
      <alignment horizontal="right" vertical="center"/>
    </xf>
    <xf numFmtId="187" fontId="18" fillId="0" borderId="0" xfId="1" applyNumberFormat="1" applyFont="1" applyBorder="1" applyAlignment="1"/>
    <xf numFmtId="187" fontId="18" fillId="0" borderId="62" xfId="1" applyNumberFormat="1" applyFont="1" applyBorder="1" applyAlignment="1"/>
    <xf numFmtId="181" fontId="18" fillId="12" borderId="85" xfId="0" applyNumberFormat="1" applyFont="1" applyFill="1" applyBorder="1">
      <alignment vertical="center"/>
    </xf>
    <xf numFmtId="181" fontId="18" fillId="12" borderId="83" xfId="0" applyNumberFormat="1" applyFont="1" applyFill="1" applyBorder="1">
      <alignment vertical="center"/>
    </xf>
    <xf numFmtId="3" fontId="18" fillId="12" borderId="175" xfId="0" applyNumberFormat="1" applyFont="1" applyFill="1" applyBorder="1">
      <alignment vertical="center"/>
    </xf>
    <xf numFmtId="176" fontId="9" fillId="7" borderId="94" xfId="0" applyNumberFormat="1" applyFont="1" applyFill="1" applyBorder="1" applyAlignment="1">
      <alignment horizontal="center" vertical="center" wrapText="1"/>
    </xf>
    <xf numFmtId="176" fontId="18" fillId="12" borderId="172" xfId="0" applyNumberFormat="1" applyFont="1" applyFill="1" applyBorder="1">
      <alignment vertical="center"/>
    </xf>
    <xf numFmtId="176" fontId="18" fillId="12" borderId="73" xfId="0" applyNumberFormat="1" applyFont="1" applyFill="1" applyBorder="1">
      <alignment vertical="center"/>
    </xf>
    <xf numFmtId="176" fontId="18" fillId="12" borderId="176" xfId="0" applyNumberFormat="1" applyFont="1" applyFill="1" applyBorder="1">
      <alignment vertical="center"/>
    </xf>
    <xf numFmtId="176" fontId="18" fillId="12" borderId="67" xfId="0" applyNumberFormat="1" applyFont="1" applyFill="1" applyBorder="1">
      <alignment vertical="center"/>
    </xf>
    <xf numFmtId="176" fontId="6" fillId="12" borderId="6" xfId="0" applyNumberFormat="1" applyFont="1" applyFill="1" applyBorder="1">
      <alignment vertical="center"/>
    </xf>
    <xf numFmtId="176" fontId="6" fillId="12" borderId="0" xfId="0" applyNumberFormat="1" applyFont="1" applyFill="1">
      <alignment vertical="center"/>
    </xf>
    <xf numFmtId="176" fontId="9" fillId="7" borderId="9" xfId="0" applyNumberFormat="1" applyFont="1" applyFill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9" fontId="25" fillId="12" borderId="0" xfId="0" applyFont="1" applyFill="1">
      <alignment vertical="center"/>
    </xf>
    <xf numFmtId="179" fontId="6" fillId="12" borderId="99" xfId="2" applyFont="1" applyFill="1" applyBorder="1" applyAlignment="1">
      <alignment horizontal="left"/>
    </xf>
    <xf numFmtId="1" fontId="6" fillId="12" borderId="90" xfId="2" applyNumberFormat="1" applyFont="1" applyFill="1" applyBorder="1" applyAlignment="1">
      <alignment horizontal="center"/>
    </xf>
    <xf numFmtId="0" fontId="6" fillId="0" borderId="0" xfId="0" applyNumberFormat="1" applyFont="1" applyAlignment="1"/>
    <xf numFmtId="3" fontId="18" fillId="12" borderId="22" xfId="2" applyNumberFormat="1" applyFont="1" applyFill="1" applyBorder="1"/>
    <xf numFmtId="1" fontId="6" fillId="12" borderId="32" xfId="0" applyNumberFormat="1" applyFont="1" applyFill="1" applyBorder="1" applyAlignment="1">
      <alignment horizontal="center" vertical="center"/>
    </xf>
    <xf numFmtId="176" fontId="18" fillId="12" borderId="85" xfId="0" applyNumberFormat="1" applyFont="1" applyFill="1" applyBorder="1">
      <alignment vertical="center"/>
    </xf>
    <xf numFmtId="176" fontId="6" fillId="0" borderId="22" xfId="0" applyNumberFormat="1" applyFont="1" applyBorder="1" applyAlignment="1">
      <alignment horizontal="center" vertical="center"/>
    </xf>
    <xf numFmtId="176" fontId="18" fillId="12" borderId="170" xfId="0" applyNumberFormat="1" applyFont="1" applyFill="1" applyBorder="1">
      <alignment vertical="center"/>
    </xf>
    <xf numFmtId="176" fontId="18" fillId="12" borderId="44" xfId="0" applyNumberFormat="1" applyFont="1" applyFill="1" applyBorder="1">
      <alignment vertical="center"/>
    </xf>
    <xf numFmtId="176" fontId="18" fillId="12" borderId="69" xfId="0" applyNumberFormat="1" applyFont="1" applyFill="1" applyBorder="1">
      <alignment vertical="center"/>
    </xf>
    <xf numFmtId="38" fontId="9" fillId="9" borderId="98" xfId="0" applyNumberFormat="1" applyFont="1" applyFill="1" applyBorder="1" applyAlignment="1">
      <alignment horizontal="center" vertical="center" wrapText="1"/>
    </xf>
    <xf numFmtId="181" fontId="18" fillId="12" borderId="90" xfId="0" applyNumberFormat="1" applyFont="1" applyFill="1" applyBorder="1">
      <alignment vertical="center"/>
    </xf>
    <xf numFmtId="181" fontId="18" fillId="12" borderId="91" xfId="0" applyNumberFormat="1" applyFont="1" applyFill="1" applyBorder="1">
      <alignment vertical="center"/>
    </xf>
    <xf numFmtId="176" fontId="18" fillId="12" borderId="28" xfId="0" applyNumberFormat="1" applyFont="1" applyFill="1" applyBorder="1">
      <alignment vertical="center"/>
    </xf>
    <xf numFmtId="3" fontId="18" fillId="12" borderId="181" xfId="0" applyNumberFormat="1" applyFont="1" applyFill="1" applyBorder="1">
      <alignment vertical="center"/>
    </xf>
    <xf numFmtId="3" fontId="18" fillId="12" borderId="106" xfId="0" applyNumberFormat="1" applyFont="1" applyFill="1" applyBorder="1">
      <alignment vertical="center"/>
    </xf>
    <xf numFmtId="3" fontId="18" fillId="12" borderId="183" xfId="0" applyNumberFormat="1" applyFont="1" applyFill="1" applyBorder="1">
      <alignment vertical="center"/>
    </xf>
    <xf numFmtId="3" fontId="18" fillId="12" borderId="184" xfId="0" applyNumberFormat="1" applyFont="1" applyFill="1" applyBorder="1">
      <alignment vertical="center"/>
    </xf>
    <xf numFmtId="176" fontId="6" fillId="0" borderId="158" xfId="0" applyNumberFormat="1" applyFont="1" applyBorder="1" applyAlignment="1">
      <alignment horizontal="center" vertical="center"/>
    </xf>
    <xf numFmtId="176" fontId="6" fillId="0" borderId="159" xfId="0" applyNumberFormat="1" applyFont="1" applyBorder="1" applyAlignment="1">
      <alignment horizontal="center" vertical="center"/>
    </xf>
    <xf numFmtId="179" fontId="6" fillId="0" borderId="177" xfId="0" applyFont="1" applyBorder="1" applyAlignment="1">
      <alignment horizontal="center" vertical="center"/>
    </xf>
    <xf numFmtId="179" fontId="6" fillId="0" borderId="160" xfId="0" applyFont="1" applyBorder="1" applyAlignment="1">
      <alignment horizontal="center" vertical="center"/>
    </xf>
    <xf numFmtId="179" fontId="6" fillId="0" borderId="96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9" fontId="6" fillId="0" borderId="24" xfId="0" applyFont="1" applyBorder="1" applyAlignment="1">
      <alignment horizontal="center" vertical="center"/>
    </xf>
    <xf numFmtId="179" fontId="6" fillId="0" borderId="5" xfId="0" applyFont="1" applyBorder="1" applyAlignment="1">
      <alignment horizontal="center" vertical="center"/>
    </xf>
    <xf numFmtId="3" fontId="18" fillId="12" borderId="149" xfId="0" applyNumberFormat="1" applyFont="1" applyFill="1" applyBorder="1">
      <alignment vertical="center"/>
    </xf>
    <xf numFmtId="179" fontId="25" fillId="0" borderId="1" xfId="0" applyFont="1" applyBorder="1">
      <alignment vertical="center"/>
    </xf>
    <xf numFmtId="179" fontId="6" fillId="0" borderId="60" xfId="0" applyFont="1" applyBorder="1" applyAlignment="1">
      <alignment horizontal="center" vertical="center"/>
    </xf>
    <xf numFmtId="179" fontId="6" fillId="0" borderId="61" xfId="0" applyFont="1" applyBorder="1" applyAlignment="1">
      <alignment horizontal="center" vertical="center"/>
    </xf>
    <xf numFmtId="0" fontId="6" fillId="12" borderId="0" xfId="0" applyNumberFormat="1" applyFont="1" applyFill="1" applyAlignment="1">
      <alignment horizontal="left"/>
    </xf>
    <xf numFmtId="3" fontId="18" fillId="12" borderId="187" xfId="0" applyNumberFormat="1" applyFont="1" applyFill="1" applyBorder="1">
      <alignment vertical="center"/>
    </xf>
    <xf numFmtId="1" fontId="6" fillId="0" borderId="58" xfId="0" applyNumberFormat="1" applyFont="1" applyBorder="1" applyAlignment="1">
      <alignment horizontal="center" vertical="center"/>
    </xf>
    <xf numFmtId="181" fontId="18" fillId="0" borderId="72" xfId="0" applyNumberFormat="1" applyFont="1" applyBorder="1">
      <alignment vertical="center"/>
    </xf>
    <xf numFmtId="181" fontId="18" fillId="0" borderId="75" xfId="0" applyNumberFormat="1" applyFont="1" applyBorder="1">
      <alignment vertical="center"/>
    </xf>
    <xf numFmtId="181" fontId="18" fillId="0" borderId="76" xfId="0" applyNumberFormat="1" applyFont="1" applyBorder="1">
      <alignment vertical="center"/>
    </xf>
    <xf numFmtId="176" fontId="18" fillId="0" borderId="75" xfId="0" applyNumberFormat="1" applyFont="1" applyBorder="1">
      <alignment vertical="center"/>
    </xf>
    <xf numFmtId="3" fontId="18" fillId="12" borderId="97" xfId="1" applyNumberFormat="1" applyFont="1" applyFill="1" applyBorder="1" applyAlignment="1"/>
    <xf numFmtId="181" fontId="18" fillId="12" borderId="189" xfId="0" applyNumberFormat="1" applyFont="1" applyFill="1" applyBorder="1">
      <alignment vertical="center"/>
    </xf>
    <xf numFmtId="176" fontId="18" fillId="12" borderId="91" xfId="0" applyNumberFormat="1" applyFont="1" applyFill="1" applyBorder="1">
      <alignment vertical="center"/>
    </xf>
    <xf numFmtId="181" fontId="6" fillId="12" borderId="169" xfId="0" applyNumberFormat="1" applyFont="1" applyFill="1" applyBorder="1">
      <alignment vertical="center"/>
    </xf>
    <xf numFmtId="3" fontId="6" fillId="12" borderId="71" xfId="0" applyNumberFormat="1" applyFont="1" applyFill="1" applyBorder="1">
      <alignment vertical="center"/>
    </xf>
    <xf numFmtId="181" fontId="6" fillId="12" borderId="72" xfId="0" applyNumberFormat="1" applyFont="1" applyFill="1" applyBorder="1">
      <alignment vertical="center"/>
    </xf>
    <xf numFmtId="3" fontId="6" fillId="12" borderId="86" xfId="0" applyNumberFormat="1" applyFont="1" applyFill="1" applyBorder="1">
      <alignment vertical="center"/>
    </xf>
    <xf numFmtId="181" fontId="6" fillId="12" borderId="160" xfId="0" applyNumberFormat="1" applyFont="1" applyFill="1" applyBorder="1">
      <alignment vertical="center"/>
    </xf>
    <xf numFmtId="3" fontId="6" fillId="12" borderId="148" xfId="0" applyNumberFormat="1" applyFont="1" applyFill="1" applyBorder="1">
      <alignment vertical="center"/>
    </xf>
    <xf numFmtId="3" fontId="6" fillId="12" borderId="149" xfId="0" applyNumberFormat="1" applyFont="1" applyFill="1" applyBorder="1">
      <alignment vertical="center"/>
    </xf>
    <xf numFmtId="3" fontId="6" fillId="12" borderId="179" xfId="0" applyNumberFormat="1" applyFont="1" applyFill="1" applyBorder="1">
      <alignment vertical="center"/>
    </xf>
    <xf numFmtId="3" fontId="6" fillId="12" borderId="89" xfId="0" applyNumberFormat="1" applyFont="1" applyFill="1" applyBorder="1">
      <alignment vertical="center"/>
    </xf>
    <xf numFmtId="181" fontId="6" fillId="12" borderId="27" xfId="0" applyNumberFormat="1" applyFont="1" applyFill="1" applyBorder="1">
      <alignment vertical="center"/>
    </xf>
    <xf numFmtId="3" fontId="6" fillId="0" borderId="7" xfId="1" applyNumberFormat="1" applyFont="1" applyBorder="1" applyAlignment="1">
      <alignment horizontal="right" vertical="center"/>
    </xf>
    <xf numFmtId="3" fontId="6" fillId="0" borderId="1" xfId="1" applyNumberFormat="1" applyFont="1" applyBorder="1" applyAlignment="1">
      <alignment horizontal="right" vertical="center"/>
    </xf>
    <xf numFmtId="3" fontId="6" fillId="12" borderId="152" xfId="0" applyNumberFormat="1" applyFont="1" applyFill="1" applyBorder="1">
      <alignment vertical="center"/>
    </xf>
    <xf numFmtId="3" fontId="6" fillId="12" borderId="87" xfId="0" applyNumberFormat="1" applyFont="1" applyFill="1" applyBorder="1">
      <alignment vertical="center"/>
    </xf>
    <xf numFmtId="3" fontId="6" fillId="12" borderId="68" xfId="0" applyNumberFormat="1" applyFont="1" applyFill="1" applyBorder="1">
      <alignment vertical="center"/>
    </xf>
    <xf numFmtId="181" fontId="6" fillId="12" borderId="66" xfId="0" applyNumberFormat="1" applyFont="1" applyFill="1" applyBorder="1">
      <alignment vertical="center"/>
    </xf>
    <xf numFmtId="3" fontId="6" fillId="12" borderId="29" xfId="0" applyNumberFormat="1" applyFont="1" applyFill="1" applyBorder="1">
      <alignment vertical="center"/>
    </xf>
    <xf numFmtId="3" fontId="6" fillId="12" borderId="49" xfId="0" applyNumberFormat="1" applyFont="1" applyFill="1" applyBorder="1">
      <alignment vertical="center"/>
    </xf>
    <xf numFmtId="3" fontId="6" fillId="12" borderId="30" xfId="0" applyNumberFormat="1" applyFont="1" applyFill="1" applyBorder="1">
      <alignment vertical="center"/>
    </xf>
    <xf numFmtId="3" fontId="6" fillId="12" borderId="41" xfId="0" applyNumberFormat="1" applyFont="1" applyFill="1" applyBorder="1">
      <alignment vertical="center"/>
    </xf>
    <xf numFmtId="181" fontId="6" fillId="12" borderId="84" xfId="0" applyNumberFormat="1" applyFont="1" applyFill="1" applyBorder="1">
      <alignment vertical="center"/>
    </xf>
    <xf numFmtId="3" fontId="6" fillId="12" borderId="31" xfId="0" applyNumberFormat="1" applyFont="1" applyFill="1" applyBorder="1">
      <alignment vertical="center"/>
    </xf>
    <xf numFmtId="3" fontId="6" fillId="12" borderId="99" xfId="0" applyNumberFormat="1" applyFont="1" applyFill="1" applyBorder="1">
      <alignment vertical="center"/>
    </xf>
    <xf numFmtId="3" fontId="6" fillId="12" borderId="43" xfId="0" applyNumberFormat="1" applyFont="1" applyFill="1" applyBorder="1">
      <alignment vertical="center"/>
    </xf>
    <xf numFmtId="3" fontId="6" fillId="12" borderId="26" xfId="0" applyNumberFormat="1" applyFont="1" applyFill="1" applyBorder="1">
      <alignment vertical="center"/>
    </xf>
    <xf numFmtId="3" fontId="6" fillId="12" borderId="21" xfId="0" applyNumberFormat="1" applyFont="1" applyFill="1" applyBorder="1">
      <alignment vertical="center"/>
    </xf>
    <xf numFmtId="3" fontId="6" fillId="12" borderId="24" xfId="0" applyNumberFormat="1" applyFont="1" applyFill="1" applyBorder="1">
      <alignment vertical="center"/>
    </xf>
    <xf numFmtId="181" fontId="6" fillId="12" borderId="42" xfId="0" applyNumberFormat="1" applyFont="1" applyFill="1" applyBorder="1">
      <alignment vertical="center"/>
    </xf>
    <xf numFmtId="181" fontId="6" fillId="12" borderId="90" xfId="0" applyNumberFormat="1" applyFont="1" applyFill="1" applyBorder="1">
      <alignment vertical="center"/>
    </xf>
    <xf numFmtId="3" fontId="6" fillId="12" borderId="24" xfId="1" applyNumberFormat="1" applyFont="1" applyFill="1" applyBorder="1" applyAlignment="1"/>
    <xf numFmtId="3" fontId="6" fillId="0" borderId="24" xfId="1" applyNumberFormat="1" applyFont="1" applyFill="1" applyBorder="1" applyAlignment="1"/>
    <xf numFmtId="3" fontId="6" fillId="12" borderId="38" xfId="1" applyNumberFormat="1" applyFont="1" applyFill="1" applyBorder="1" applyAlignment="1"/>
    <xf numFmtId="3" fontId="6" fillId="12" borderId="103" xfId="1" applyNumberFormat="1" applyFont="1" applyFill="1" applyBorder="1" applyAlignment="1"/>
    <xf numFmtId="3" fontId="6" fillId="12" borderId="87" xfId="1" applyNumberFormat="1" applyFont="1" applyFill="1" applyBorder="1" applyAlignment="1"/>
    <xf numFmtId="3" fontId="6" fillId="12" borderId="68" xfId="1" applyNumberFormat="1" applyFont="1" applyFill="1" applyBorder="1" applyAlignment="1"/>
    <xf numFmtId="3" fontId="6" fillId="0" borderId="1" xfId="1" applyNumberFormat="1" applyFont="1" applyFill="1" applyBorder="1" applyAlignment="1">
      <alignment horizontal="right" vertical="center"/>
    </xf>
    <xf numFmtId="181" fontId="6" fillId="0" borderId="160" xfId="0" applyNumberFormat="1" applyFont="1" applyBorder="1">
      <alignment vertical="center"/>
    </xf>
    <xf numFmtId="3" fontId="6" fillId="0" borderId="87" xfId="1" applyNumberFormat="1" applyFont="1" applyBorder="1" applyAlignment="1">
      <alignment horizontal="right" vertical="center"/>
    </xf>
    <xf numFmtId="3" fontId="6" fillId="0" borderId="68" xfId="1" applyNumberFormat="1" applyFont="1" applyBorder="1" applyAlignment="1">
      <alignment horizontal="right" vertical="center"/>
    </xf>
    <xf numFmtId="3" fontId="6" fillId="12" borderId="38" xfId="0" applyNumberFormat="1" applyFont="1" applyFill="1" applyBorder="1">
      <alignment vertical="center"/>
    </xf>
    <xf numFmtId="3" fontId="6" fillId="0" borderId="7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12" borderId="1" xfId="0" applyNumberFormat="1" applyFont="1" applyFill="1" applyBorder="1">
      <alignment vertical="center"/>
    </xf>
    <xf numFmtId="3" fontId="6" fillId="0" borderId="24" xfId="1" applyNumberFormat="1" applyFont="1" applyBorder="1" applyAlignment="1">
      <alignment horizontal="right" vertical="center"/>
    </xf>
    <xf numFmtId="3" fontId="6" fillId="0" borderId="26" xfId="1" applyNumberFormat="1" applyFont="1" applyBorder="1" applyAlignment="1">
      <alignment horizontal="right" vertical="center"/>
    </xf>
    <xf numFmtId="182" fontId="6" fillId="0" borderId="15" xfId="5" applyNumberFormat="1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179" fontId="6" fillId="0" borderId="7" xfId="0" applyFont="1" applyBorder="1">
      <alignment vertical="center"/>
    </xf>
    <xf numFmtId="3" fontId="18" fillId="12" borderId="56" xfId="1" applyNumberFormat="1" applyFont="1" applyFill="1" applyBorder="1" applyAlignment="1"/>
    <xf numFmtId="2" fontId="6" fillId="0" borderId="0" xfId="0" applyNumberFormat="1" applyFont="1" applyAlignment="1">
      <alignment horizontal="center" vertical="center"/>
    </xf>
    <xf numFmtId="179" fontId="6" fillId="12" borderId="0" xfId="0" quotePrefix="1" applyFont="1" applyFill="1" applyAlignment="1">
      <alignment horizontal="center" vertical="center"/>
    </xf>
    <xf numFmtId="38" fontId="6" fillId="0" borderId="21" xfId="0" applyNumberFormat="1" applyFont="1" applyBorder="1" applyAlignment="1">
      <alignment horizontal="right" vertical="center"/>
    </xf>
    <xf numFmtId="38" fontId="6" fillId="0" borderId="38" xfId="0" applyNumberFormat="1" applyFont="1" applyBorder="1" applyAlignment="1">
      <alignment horizontal="right" vertical="center"/>
    </xf>
    <xf numFmtId="38" fontId="6" fillId="0" borderId="24" xfId="0" applyNumberFormat="1" applyFont="1" applyBorder="1" applyAlignment="1">
      <alignment horizontal="right" vertical="center"/>
    </xf>
    <xf numFmtId="3" fontId="6" fillId="12" borderId="72" xfId="0" applyNumberFormat="1" applyFont="1" applyFill="1" applyBorder="1">
      <alignment vertical="center"/>
    </xf>
    <xf numFmtId="3" fontId="6" fillId="12" borderId="122" xfId="0" applyNumberFormat="1" applyFont="1" applyFill="1" applyBorder="1">
      <alignment vertical="center"/>
    </xf>
    <xf numFmtId="3" fontId="6" fillId="12" borderId="101" xfId="0" applyNumberFormat="1" applyFont="1" applyFill="1" applyBorder="1">
      <alignment vertical="center"/>
    </xf>
    <xf numFmtId="3" fontId="6" fillId="12" borderId="124" xfId="0" applyNumberFormat="1" applyFont="1" applyFill="1" applyBorder="1">
      <alignment vertical="center"/>
    </xf>
    <xf numFmtId="3" fontId="6" fillId="12" borderId="154" xfId="0" applyNumberFormat="1" applyFont="1" applyFill="1" applyBorder="1">
      <alignment vertical="center"/>
    </xf>
    <xf numFmtId="3" fontId="6" fillId="12" borderId="66" xfId="0" applyNumberFormat="1" applyFont="1" applyFill="1" applyBorder="1">
      <alignment vertical="center"/>
    </xf>
    <xf numFmtId="3" fontId="6" fillId="0" borderId="6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12" borderId="20" xfId="0" applyNumberFormat="1" applyFont="1" applyFill="1" applyBorder="1">
      <alignment vertical="center"/>
    </xf>
    <xf numFmtId="3" fontId="6" fillId="12" borderId="84" xfId="0" applyNumberFormat="1" applyFont="1" applyFill="1" applyBorder="1">
      <alignment vertical="center"/>
    </xf>
    <xf numFmtId="3" fontId="6" fillId="12" borderId="22" xfId="0" applyNumberFormat="1" applyFont="1" applyFill="1" applyBorder="1">
      <alignment vertical="center"/>
    </xf>
    <xf numFmtId="3" fontId="6" fillId="12" borderId="39" xfId="0" applyNumberFormat="1" applyFont="1" applyFill="1" applyBorder="1">
      <alignment vertical="center"/>
    </xf>
    <xf numFmtId="3" fontId="6" fillId="12" borderId="20" xfId="1" applyNumberFormat="1" applyFont="1" applyFill="1" applyBorder="1" applyAlignment="1"/>
    <xf numFmtId="3" fontId="6" fillId="12" borderId="42" xfId="1" applyNumberFormat="1" applyFont="1" applyFill="1" applyBorder="1" applyAlignment="1"/>
    <xf numFmtId="3" fontId="6" fillId="12" borderId="39" xfId="1" applyNumberFormat="1" applyFont="1" applyFill="1" applyBorder="1" applyAlignment="1"/>
    <xf numFmtId="3" fontId="6" fillId="12" borderId="27" xfId="1" applyNumberFormat="1" applyFont="1" applyFill="1" applyBorder="1" applyAlignment="1"/>
    <xf numFmtId="3" fontId="6" fillId="12" borderId="90" xfId="0" applyNumberFormat="1" applyFont="1" applyFill="1" applyBorder="1">
      <alignment vertical="center"/>
    </xf>
    <xf numFmtId="3" fontId="6" fillId="12" borderId="42" xfId="0" applyNumberFormat="1" applyFont="1" applyFill="1" applyBorder="1">
      <alignment vertical="center"/>
    </xf>
    <xf numFmtId="3" fontId="6" fillId="12" borderId="27" xfId="0" applyNumberFormat="1" applyFont="1" applyFill="1" applyBorder="1">
      <alignment vertical="center"/>
    </xf>
    <xf numFmtId="3" fontId="6" fillId="0" borderId="0" xfId="0" applyNumberFormat="1" applyFont="1">
      <alignment vertical="center"/>
    </xf>
    <xf numFmtId="3" fontId="6" fillId="0" borderId="62" xfId="0" applyNumberFormat="1" applyFont="1" applyBorder="1">
      <alignment vertical="center"/>
    </xf>
    <xf numFmtId="38" fontId="6" fillId="0" borderId="22" xfId="0" applyNumberFormat="1" applyFont="1" applyBorder="1" applyAlignment="1">
      <alignment horizontal="right" vertical="center"/>
    </xf>
    <xf numFmtId="38" fontId="6" fillId="0" borderId="20" xfId="0" applyNumberFormat="1" applyFont="1" applyBorder="1" applyAlignment="1">
      <alignment horizontal="right" vertical="center"/>
    </xf>
    <xf numFmtId="38" fontId="6" fillId="0" borderId="30" xfId="0" applyNumberFormat="1" applyFont="1" applyBorder="1" applyAlignment="1">
      <alignment horizontal="right" vertical="center"/>
    </xf>
    <xf numFmtId="38" fontId="6" fillId="12" borderId="30" xfId="0" applyNumberFormat="1" applyFont="1" applyFill="1" applyBorder="1" applyAlignment="1">
      <alignment horizontal="right" vertical="center"/>
    </xf>
    <xf numFmtId="38" fontId="6" fillId="12" borderId="20" xfId="0" applyNumberFormat="1" applyFont="1" applyFill="1" applyBorder="1" applyAlignment="1">
      <alignment horizontal="right" vertical="center"/>
    </xf>
    <xf numFmtId="38" fontId="6" fillId="0" borderId="42" xfId="0" applyNumberFormat="1" applyFont="1" applyBorder="1" applyAlignment="1">
      <alignment horizontal="right" vertical="center"/>
    </xf>
    <xf numFmtId="3" fontId="6" fillId="12" borderId="20" xfId="1" quotePrefix="1" applyNumberFormat="1" applyFont="1" applyFill="1" applyBorder="1" applyAlignment="1"/>
    <xf numFmtId="3" fontId="6" fillId="0" borderId="20" xfId="1" applyNumberFormat="1" applyFont="1" applyFill="1" applyBorder="1" applyAlignment="1"/>
    <xf numFmtId="3" fontId="6" fillId="0" borderId="101" xfId="0" applyNumberFormat="1" applyFont="1" applyBorder="1">
      <alignment vertical="center"/>
    </xf>
    <xf numFmtId="3" fontId="6" fillId="0" borderId="84" xfId="0" applyNumberFormat="1" applyFont="1" applyBorder="1">
      <alignment vertical="center"/>
    </xf>
    <xf numFmtId="3" fontId="6" fillId="0" borderId="66" xfId="0" applyNumberFormat="1" applyFont="1" applyBorder="1">
      <alignment vertical="center"/>
    </xf>
    <xf numFmtId="181" fontId="6" fillId="0" borderId="72" xfId="0" applyNumberFormat="1" applyFont="1" applyBorder="1">
      <alignment vertical="center"/>
    </xf>
    <xf numFmtId="3" fontId="6" fillId="12" borderId="84" xfId="1" applyNumberFormat="1" applyFont="1" applyFill="1" applyBorder="1" applyAlignment="1"/>
    <xf numFmtId="3" fontId="6" fillId="12" borderId="66" xfId="1" applyNumberFormat="1" applyFont="1" applyFill="1" applyBorder="1" applyAlignment="1"/>
    <xf numFmtId="3" fontId="6" fillId="0" borderId="6" xfId="0" applyNumberFormat="1" applyFont="1" applyBorder="1">
      <alignment vertical="center"/>
    </xf>
    <xf numFmtId="3" fontId="6" fillId="12" borderId="39" xfId="2" applyNumberFormat="1" applyFont="1" applyFill="1" applyBorder="1"/>
    <xf numFmtId="3" fontId="6" fillId="12" borderId="42" xfId="2" applyNumberFormat="1" applyFont="1" applyFill="1" applyBorder="1"/>
    <xf numFmtId="3" fontId="6" fillId="12" borderId="0" xfId="2" applyNumberFormat="1" applyFont="1" applyFill="1"/>
    <xf numFmtId="3" fontId="6" fillId="12" borderId="84" xfId="2" applyNumberFormat="1" applyFont="1" applyFill="1" applyBorder="1"/>
    <xf numFmtId="3" fontId="6" fillId="12" borderId="66" xfId="2" applyNumberFormat="1" applyFont="1" applyFill="1" applyBorder="1"/>
    <xf numFmtId="3" fontId="6" fillId="12" borderId="22" xfId="2" applyNumberFormat="1" applyFont="1" applyFill="1" applyBorder="1"/>
    <xf numFmtId="3" fontId="6" fillId="0" borderId="20" xfId="0" applyNumberFormat="1" applyFont="1" applyBorder="1" applyAlignment="1">
      <alignment horizontal="right" vertical="center"/>
    </xf>
    <xf numFmtId="3" fontId="6" fillId="0" borderId="27" xfId="0" applyNumberFormat="1" applyFont="1" applyBorder="1" applyAlignment="1">
      <alignment horizontal="right" vertical="center"/>
    </xf>
    <xf numFmtId="3" fontId="6" fillId="12" borderId="20" xfId="2" applyNumberFormat="1" applyFont="1" applyFill="1" applyBorder="1"/>
    <xf numFmtId="183" fontId="6" fillId="0" borderId="62" xfId="4" applyNumberFormat="1" applyFont="1" applyBorder="1" applyAlignment="1">
      <alignment vertical="center"/>
    </xf>
    <xf numFmtId="176" fontId="6" fillId="12" borderId="62" xfId="0" applyNumberFormat="1" applyFont="1" applyFill="1" applyBorder="1">
      <alignment vertical="center"/>
    </xf>
    <xf numFmtId="3" fontId="18" fillId="12" borderId="66" xfId="1" applyNumberFormat="1" applyFont="1" applyFill="1" applyBorder="1" applyAlignment="1"/>
    <xf numFmtId="3" fontId="18" fillId="0" borderId="45" xfId="1" applyNumberFormat="1" applyFont="1" applyFill="1" applyBorder="1" applyAlignment="1"/>
    <xf numFmtId="3" fontId="18" fillId="0" borderId="165" xfId="1" applyNumberFormat="1" applyFont="1" applyFill="1" applyBorder="1" applyAlignment="1"/>
    <xf numFmtId="3" fontId="18" fillId="12" borderId="68" xfId="1" applyNumberFormat="1" applyFont="1" applyFill="1" applyBorder="1" applyAlignment="1"/>
    <xf numFmtId="3" fontId="18" fillId="0" borderId="174" xfId="1" applyNumberFormat="1" applyFont="1" applyFill="1" applyBorder="1" applyAlignment="1"/>
    <xf numFmtId="3" fontId="18" fillId="12" borderId="27" xfId="1" applyNumberFormat="1" applyFont="1" applyFill="1" applyBorder="1" applyAlignment="1"/>
    <xf numFmtId="3" fontId="18" fillId="12" borderId="37" xfId="1" applyNumberFormat="1" applyFont="1" applyFill="1" applyBorder="1" applyAlignment="1"/>
    <xf numFmtId="3" fontId="18" fillId="12" borderId="67" xfId="1" applyNumberFormat="1" applyFont="1" applyFill="1" applyBorder="1" applyAlignment="1"/>
    <xf numFmtId="3" fontId="18" fillId="12" borderId="182" xfId="0" applyNumberFormat="1" applyFont="1" applyFill="1" applyBorder="1">
      <alignment vertical="center"/>
    </xf>
    <xf numFmtId="3" fontId="18" fillId="12" borderId="0" xfId="0" applyNumberFormat="1" applyFont="1" applyFill="1">
      <alignment vertical="center"/>
    </xf>
    <xf numFmtId="1" fontId="25" fillId="12" borderId="60" xfId="0" applyNumberFormat="1" applyFont="1" applyFill="1" applyBorder="1" applyAlignment="1">
      <alignment horizontal="center" vertical="center"/>
    </xf>
    <xf numFmtId="179" fontId="25" fillId="12" borderId="87" xfId="0" applyFont="1" applyFill="1" applyBorder="1" applyAlignment="1">
      <alignment horizontal="left" vertical="center" wrapText="1"/>
    </xf>
    <xf numFmtId="1" fontId="25" fillId="12" borderId="84" xfId="0" applyNumberFormat="1" applyFont="1" applyFill="1" applyBorder="1" applyAlignment="1">
      <alignment horizontal="center" vertical="center"/>
    </xf>
    <xf numFmtId="1" fontId="25" fillId="12" borderId="84" xfId="0" applyNumberFormat="1" applyFont="1" applyFill="1" applyBorder="1">
      <alignment vertical="center"/>
    </xf>
    <xf numFmtId="1" fontId="25" fillId="12" borderId="88" xfId="0" applyNumberFormat="1" applyFont="1" applyFill="1" applyBorder="1">
      <alignment vertical="center"/>
    </xf>
    <xf numFmtId="176" fontId="25" fillId="12" borderId="60" xfId="0" applyNumberFormat="1" applyFont="1" applyFill="1" applyBorder="1">
      <alignment vertical="center"/>
    </xf>
    <xf numFmtId="176" fontId="6" fillId="12" borderId="50" xfId="0" applyNumberFormat="1" applyFont="1" applyFill="1" applyBorder="1">
      <alignment vertical="center"/>
    </xf>
    <xf numFmtId="179" fontId="25" fillId="12" borderId="26" xfId="0" applyFont="1" applyFill="1" applyBorder="1" applyAlignment="1">
      <alignment horizontal="left" vertical="center"/>
    </xf>
    <xf numFmtId="1" fontId="25" fillId="12" borderId="27" xfId="0" applyNumberFormat="1" applyFont="1" applyFill="1" applyBorder="1" applyAlignment="1">
      <alignment horizontal="center" vertical="center"/>
    </xf>
    <xf numFmtId="179" fontId="25" fillId="12" borderId="27" xfId="2" applyFont="1" applyFill="1" applyBorder="1"/>
    <xf numFmtId="179" fontId="25" fillId="12" borderId="27" xfId="0" applyFont="1" applyFill="1" applyBorder="1">
      <alignment vertical="center"/>
    </xf>
    <xf numFmtId="176" fontId="25" fillId="12" borderId="69" xfId="0" applyNumberFormat="1" applyFont="1" applyFill="1" applyBorder="1">
      <alignment vertical="center"/>
    </xf>
    <xf numFmtId="179" fontId="25" fillId="12" borderId="43" xfId="0" applyFont="1" applyFill="1" applyBorder="1" applyAlignment="1">
      <alignment horizontal="left" vertical="center"/>
    </xf>
    <xf numFmtId="1" fontId="25" fillId="12" borderId="42" xfId="0" applyNumberFormat="1" applyFont="1" applyFill="1" applyBorder="1" applyAlignment="1">
      <alignment horizontal="center" vertical="center"/>
    </xf>
    <xf numFmtId="179" fontId="25" fillId="12" borderId="42" xfId="0" applyFont="1" applyFill="1" applyBorder="1">
      <alignment vertical="center"/>
    </xf>
    <xf numFmtId="181" fontId="6" fillId="12" borderId="28" xfId="0" applyNumberFormat="1" applyFont="1" applyFill="1" applyBorder="1">
      <alignment vertical="center"/>
    </xf>
    <xf numFmtId="181" fontId="6" fillId="12" borderId="69" xfId="0" applyNumberFormat="1" applyFont="1" applyFill="1" applyBorder="1">
      <alignment vertical="center"/>
    </xf>
    <xf numFmtId="181" fontId="6" fillId="12" borderId="75" xfId="0" applyNumberFormat="1" applyFont="1" applyFill="1" applyBorder="1">
      <alignment vertical="center"/>
    </xf>
    <xf numFmtId="181" fontId="6" fillId="12" borderId="161" xfId="0" applyNumberFormat="1" applyFont="1" applyFill="1" applyBorder="1">
      <alignment vertical="center"/>
    </xf>
    <xf numFmtId="181" fontId="6" fillId="12" borderId="44" xfId="0" applyNumberFormat="1" applyFont="1" applyFill="1" applyBorder="1">
      <alignment vertical="center"/>
    </xf>
    <xf numFmtId="179" fontId="25" fillId="12" borderId="87" xfId="0" applyFont="1" applyFill="1" applyBorder="1" applyAlignment="1">
      <alignment horizontal="left" vertical="center"/>
    </xf>
    <xf numFmtId="1" fontId="25" fillId="12" borderId="39" xfId="0" applyNumberFormat="1" applyFont="1" applyFill="1" applyBorder="1" applyAlignment="1">
      <alignment horizontal="center" vertical="center"/>
    </xf>
    <xf numFmtId="179" fontId="25" fillId="12" borderId="84" xfId="0" applyFont="1" applyFill="1" applyBorder="1">
      <alignment vertical="center"/>
    </xf>
    <xf numFmtId="1" fontId="25" fillId="12" borderId="131" xfId="0" applyNumberFormat="1" applyFont="1" applyFill="1" applyBorder="1" applyAlignment="1">
      <alignment horizontal="center" vertical="center"/>
    </xf>
    <xf numFmtId="179" fontId="25" fillId="12" borderId="87" xfId="2" applyFont="1" applyFill="1" applyBorder="1" applyAlignment="1">
      <alignment horizontal="left"/>
    </xf>
    <xf numFmtId="1" fontId="25" fillId="12" borderId="84" xfId="2" applyNumberFormat="1" applyFont="1" applyFill="1" applyBorder="1" applyAlignment="1">
      <alignment horizontal="center"/>
    </xf>
    <xf numFmtId="179" fontId="25" fillId="12" borderId="84" xfId="2" applyFont="1" applyFill="1" applyBorder="1"/>
    <xf numFmtId="176" fontId="25" fillId="12" borderId="44" xfId="0" applyNumberFormat="1" applyFont="1" applyFill="1" applyBorder="1">
      <alignment vertical="center"/>
    </xf>
    <xf numFmtId="1" fontId="25" fillId="12" borderId="130" xfId="0" applyNumberFormat="1" applyFont="1" applyFill="1" applyBorder="1" applyAlignment="1">
      <alignment horizontal="center" vertical="center"/>
    </xf>
    <xf numFmtId="179" fontId="25" fillId="12" borderId="68" xfId="2" applyFont="1" applyFill="1" applyBorder="1" applyAlignment="1">
      <alignment horizontal="left"/>
    </xf>
    <xf numFmtId="1" fontId="25" fillId="12" borderId="66" xfId="2" applyNumberFormat="1" applyFont="1" applyFill="1" applyBorder="1" applyAlignment="1">
      <alignment horizontal="center"/>
    </xf>
    <xf numFmtId="179" fontId="25" fillId="12" borderId="66" xfId="2" applyFont="1" applyFill="1" applyBorder="1"/>
    <xf numFmtId="179" fontId="25" fillId="12" borderId="66" xfId="0" applyFont="1" applyFill="1" applyBorder="1">
      <alignment vertical="center"/>
    </xf>
    <xf numFmtId="176" fontId="25" fillId="12" borderId="28" xfId="0" applyNumberFormat="1" applyFont="1" applyFill="1" applyBorder="1">
      <alignment vertical="center"/>
    </xf>
    <xf numFmtId="179" fontId="25" fillId="0" borderId="8" xfId="0" applyFont="1" applyBorder="1">
      <alignment vertical="center"/>
    </xf>
    <xf numFmtId="179" fontId="25" fillId="0" borderId="61" xfId="0" applyFont="1" applyBorder="1">
      <alignment vertical="center"/>
    </xf>
    <xf numFmtId="179" fontId="25" fillId="0" borderId="14" xfId="0" applyFont="1" applyBorder="1">
      <alignment vertical="center"/>
    </xf>
    <xf numFmtId="176" fontId="25" fillId="12" borderId="85" xfId="0" applyNumberFormat="1" applyFont="1" applyFill="1" applyBorder="1">
      <alignment vertical="center"/>
    </xf>
    <xf numFmtId="1" fontId="25" fillId="12" borderId="33" xfId="0" applyNumberFormat="1" applyFont="1" applyFill="1" applyBorder="1" applyAlignment="1">
      <alignment horizontal="center" vertical="center"/>
    </xf>
    <xf numFmtId="179" fontId="25" fillId="0" borderId="0" xfId="0" applyFont="1" applyAlignment="1">
      <alignment horizontal="left" vertical="center"/>
    </xf>
    <xf numFmtId="1" fontId="25" fillId="12" borderId="167" xfId="0" applyNumberFormat="1" applyFont="1" applyFill="1" applyBorder="1" applyAlignment="1">
      <alignment horizontal="center" vertical="center"/>
    </xf>
    <xf numFmtId="179" fontId="25" fillId="12" borderId="43" xfId="2" applyFont="1" applyFill="1" applyBorder="1" applyAlignment="1">
      <alignment horizontal="left"/>
    </xf>
    <xf numFmtId="1" fontId="25" fillId="12" borderId="42" xfId="2" applyNumberFormat="1" applyFont="1" applyFill="1" applyBorder="1" applyAlignment="1">
      <alignment horizontal="center"/>
    </xf>
    <xf numFmtId="179" fontId="25" fillId="12" borderId="42" xfId="2" applyFont="1" applyFill="1" applyBorder="1"/>
    <xf numFmtId="1" fontId="25" fillId="12" borderId="129" xfId="0" applyNumberFormat="1" applyFont="1" applyFill="1" applyBorder="1" applyAlignment="1">
      <alignment horizontal="center" vertical="center"/>
    </xf>
    <xf numFmtId="38" fontId="6" fillId="12" borderId="0" xfId="0" applyNumberFormat="1" applyFont="1" applyFill="1">
      <alignment vertical="center"/>
    </xf>
    <xf numFmtId="181" fontId="6" fillId="12" borderId="85" xfId="0" applyNumberFormat="1" applyFont="1" applyFill="1" applyBorder="1">
      <alignment vertical="center"/>
    </xf>
    <xf numFmtId="184" fontId="18" fillId="0" borderId="0" xfId="1" applyNumberFormat="1" applyFont="1" applyBorder="1" applyAlignment="1"/>
    <xf numFmtId="181" fontId="6" fillId="12" borderId="170" xfId="0" applyNumberFormat="1" applyFont="1" applyFill="1" applyBorder="1">
      <alignment vertical="center"/>
    </xf>
    <xf numFmtId="3" fontId="6" fillId="12" borderId="123" xfId="0" applyNumberFormat="1" applyFont="1" applyFill="1" applyBorder="1">
      <alignment vertical="center"/>
    </xf>
    <xf numFmtId="3" fontId="6" fillId="12" borderId="126" xfId="0" applyNumberFormat="1" applyFont="1" applyFill="1" applyBorder="1">
      <alignment vertical="center"/>
    </xf>
    <xf numFmtId="3" fontId="6" fillId="12" borderId="125" xfId="0" applyNumberFormat="1" applyFont="1" applyFill="1" applyBorder="1">
      <alignment vertical="center"/>
    </xf>
    <xf numFmtId="3" fontId="6" fillId="12" borderId="6" xfId="0" applyNumberFormat="1" applyFont="1" applyFill="1" applyBorder="1">
      <alignment vertical="center"/>
    </xf>
    <xf numFmtId="3" fontId="6" fillId="12" borderId="65" xfId="0" applyNumberFormat="1" applyFont="1" applyFill="1" applyBorder="1">
      <alignment vertical="center"/>
    </xf>
    <xf numFmtId="3" fontId="6" fillId="12" borderId="36" xfId="1" applyNumberFormat="1" applyFont="1" applyFill="1" applyBorder="1" applyAlignment="1"/>
    <xf numFmtId="3" fontId="6" fillId="12" borderId="101" xfId="1" applyNumberFormat="1" applyFont="1" applyFill="1" applyBorder="1" applyAlignment="1"/>
    <xf numFmtId="3" fontId="6" fillId="12" borderId="22" xfId="1" applyNumberFormat="1" applyFont="1" applyFill="1" applyBorder="1" applyAlignment="1"/>
    <xf numFmtId="181" fontId="6" fillId="12" borderId="91" xfId="0" applyNumberFormat="1" applyFont="1" applyFill="1" applyBorder="1">
      <alignment vertical="center"/>
    </xf>
    <xf numFmtId="181" fontId="6" fillId="0" borderId="161" xfId="0" applyNumberFormat="1" applyFont="1" applyBorder="1">
      <alignment vertical="center"/>
    </xf>
    <xf numFmtId="3" fontId="6" fillId="12" borderId="90" xfId="1" applyNumberFormat="1" applyFont="1" applyFill="1" applyBorder="1" applyAlignment="1"/>
    <xf numFmtId="3" fontId="6" fillId="12" borderId="106" xfId="0" applyNumberFormat="1" applyFont="1" applyFill="1" applyBorder="1">
      <alignment vertical="center"/>
    </xf>
    <xf numFmtId="1" fontId="25" fillId="12" borderId="13" xfId="0" applyNumberFormat="1" applyFont="1" applyFill="1" applyBorder="1" applyAlignment="1">
      <alignment horizontal="center" vertical="center"/>
    </xf>
    <xf numFmtId="1" fontId="25" fillId="12" borderId="40" xfId="0" applyNumberFormat="1" applyFont="1" applyFill="1" applyBorder="1" applyAlignment="1">
      <alignment horizontal="center" vertical="center"/>
    </xf>
    <xf numFmtId="1" fontId="25" fillId="12" borderId="34" xfId="0" applyNumberFormat="1" applyFont="1" applyFill="1" applyBorder="1" applyAlignment="1">
      <alignment horizontal="center" vertical="center"/>
    </xf>
    <xf numFmtId="181" fontId="18" fillId="12" borderId="20" xfId="0" applyNumberFormat="1" applyFont="1" applyFill="1" applyBorder="1">
      <alignment vertical="center"/>
    </xf>
    <xf numFmtId="181" fontId="18" fillId="12" borderId="25" xfId="0" applyNumberFormat="1" applyFont="1" applyFill="1" applyBorder="1">
      <alignment vertical="center"/>
    </xf>
    <xf numFmtId="176" fontId="18" fillId="12" borderId="25" xfId="0" applyNumberFormat="1" applyFont="1" applyFill="1" applyBorder="1">
      <alignment vertical="center"/>
    </xf>
    <xf numFmtId="179" fontId="6" fillId="0" borderId="191" xfId="0" applyFont="1" applyBorder="1">
      <alignment vertical="center"/>
    </xf>
    <xf numFmtId="179" fontId="6" fillId="0" borderId="192" xfId="0" applyFont="1" applyBorder="1">
      <alignment vertical="center"/>
    </xf>
    <xf numFmtId="176" fontId="6" fillId="0" borderId="38" xfId="0" applyNumberFormat="1" applyFont="1" applyBorder="1" applyAlignment="1">
      <alignment horizontal="center" vertical="center"/>
    </xf>
    <xf numFmtId="176" fontId="6" fillId="0" borderId="39" xfId="0" applyNumberFormat="1" applyFont="1" applyBorder="1" applyAlignment="1">
      <alignment horizontal="center" vertical="center"/>
    </xf>
    <xf numFmtId="179" fontId="6" fillId="0" borderId="25" xfId="0" applyFont="1" applyBorder="1" applyAlignment="1">
      <alignment horizontal="center" vertical="center"/>
    </xf>
    <xf numFmtId="38" fontId="6" fillId="0" borderId="43" xfId="0" applyNumberFormat="1" applyFont="1" applyBorder="1" applyAlignment="1">
      <alignment horizontal="right" vertical="center"/>
    </xf>
    <xf numFmtId="179" fontId="6" fillId="0" borderId="24" xfId="0" applyFont="1" applyBorder="1">
      <alignment vertical="center"/>
    </xf>
    <xf numFmtId="179" fontId="6" fillId="0" borderId="25" xfId="0" applyFont="1" applyBorder="1">
      <alignment vertical="center"/>
    </xf>
    <xf numFmtId="179" fontId="6" fillId="0" borderId="33" xfId="0" applyFont="1" applyBorder="1">
      <alignment vertical="center"/>
    </xf>
    <xf numFmtId="38" fontId="6" fillId="12" borderId="24" xfId="0" applyNumberFormat="1" applyFont="1" applyFill="1" applyBorder="1" applyAlignment="1">
      <alignment horizontal="right" vertical="center"/>
    </xf>
    <xf numFmtId="181" fontId="6" fillId="12" borderId="20" xfId="0" applyNumberFormat="1" applyFont="1" applyFill="1" applyBorder="1">
      <alignment vertical="center"/>
    </xf>
    <xf numFmtId="38" fontId="18" fillId="12" borderId="24" xfId="0" applyNumberFormat="1" applyFont="1" applyFill="1" applyBorder="1" applyAlignment="1">
      <alignment horizontal="right" vertical="center"/>
    </xf>
    <xf numFmtId="179" fontId="25" fillId="12" borderId="24" xfId="0" applyFont="1" applyFill="1" applyBorder="1">
      <alignment vertical="center"/>
    </xf>
    <xf numFmtId="179" fontId="25" fillId="12" borderId="25" xfId="0" applyFont="1" applyFill="1" applyBorder="1">
      <alignment vertical="center"/>
    </xf>
    <xf numFmtId="179" fontId="25" fillId="12" borderId="33" xfId="0" applyFont="1" applyFill="1" applyBorder="1">
      <alignment vertical="center"/>
    </xf>
    <xf numFmtId="38" fontId="6" fillId="12" borderId="26" xfId="0" applyNumberFormat="1" applyFont="1" applyFill="1" applyBorder="1" applyAlignment="1">
      <alignment horizontal="right" vertical="center"/>
    </xf>
    <xf numFmtId="38" fontId="6" fillId="12" borderId="27" xfId="0" applyNumberFormat="1" applyFont="1" applyFill="1" applyBorder="1" applyAlignment="1">
      <alignment horizontal="right" vertical="center"/>
    </xf>
    <xf numFmtId="38" fontId="18" fillId="12" borderId="26" xfId="0" applyNumberFormat="1" applyFont="1" applyFill="1" applyBorder="1" applyAlignment="1">
      <alignment horizontal="right" vertical="center"/>
    </xf>
    <xf numFmtId="38" fontId="18" fillId="12" borderId="27" xfId="0" applyNumberFormat="1" applyFont="1" applyFill="1" applyBorder="1" applyAlignment="1">
      <alignment horizontal="right" vertical="center"/>
    </xf>
    <xf numFmtId="179" fontId="25" fillId="12" borderId="26" xfId="0" applyFont="1" applyFill="1" applyBorder="1">
      <alignment vertical="center"/>
    </xf>
    <xf numFmtId="179" fontId="25" fillId="12" borderId="28" xfId="0" applyFont="1" applyFill="1" applyBorder="1">
      <alignment vertical="center"/>
    </xf>
    <xf numFmtId="179" fontId="25" fillId="12" borderId="34" xfId="0" applyFont="1" applyFill="1" applyBorder="1">
      <alignment vertical="center"/>
    </xf>
    <xf numFmtId="181" fontId="6" fillId="12" borderId="25" xfId="0" applyNumberFormat="1" applyFont="1" applyFill="1" applyBorder="1">
      <alignment vertical="center"/>
    </xf>
    <xf numFmtId="182" fontId="6" fillId="0" borderId="18" xfId="5" applyNumberFormat="1" applyFont="1" applyFill="1" applyBorder="1" applyAlignment="1">
      <alignment horizontal="center" vertical="center"/>
    </xf>
    <xf numFmtId="182" fontId="6" fillId="0" borderId="15" xfId="5" applyNumberFormat="1" applyFont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 vertical="center"/>
    </xf>
    <xf numFmtId="179" fontId="6" fillId="2" borderId="15" xfId="0" applyFont="1" applyFill="1" applyBorder="1" applyAlignment="1">
      <alignment horizontal="center" vertical="center"/>
    </xf>
    <xf numFmtId="44" fontId="6" fillId="2" borderId="16" xfId="0" applyNumberFormat="1" applyFont="1" applyFill="1" applyBorder="1" applyAlignment="1">
      <alignment horizontal="center" vertical="center"/>
    </xf>
    <xf numFmtId="176" fontId="6" fillId="0" borderId="70" xfId="0" applyNumberFormat="1" applyFont="1" applyBorder="1" applyAlignment="1">
      <alignment horizontal="center" vertical="center"/>
    </xf>
    <xf numFmtId="179" fontId="6" fillId="0" borderId="72" xfId="0" applyFont="1" applyBorder="1" applyAlignment="1">
      <alignment horizontal="center" vertical="center"/>
    </xf>
    <xf numFmtId="176" fontId="6" fillId="0" borderId="60" xfId="0" applyNumberFormat="1" applyFont="1" applyBorder="1" applyAlignment="1">
      <alignment horizontal="center" vertical="center"/>
    </xf>
    <xf numFmtId="179" fontId="6" fillId="0" borderId="109" xfId="0" applyFont="1" applyBorder="1" applyAlignment="1">
      <alignment horizontal="center" vertical="center"/>
    </xf>
    <xf numFmtId="176" fontId="6" fillId="12" borderId="20" xfId="0" applyNumberFormat="1" applyFont="1" applyFill="1" applyBorder="1" applyAlignment="1">
      <alignment horizontal="center" vertical="center"/>
    </xf>
    <xf numFmtId="179" fontId="6" fillId="12" borderId="20" xfId="0" applyFont="1" applyFill="1" applyBorder="1" applyAlignment="1">
      <alignment horizontal="center" vertical="center"/>
    </xf>
    <xf numFmtId="179" fontId="6" fillId="12" borderId="25" xfId="0" applyFont="1" applyFill="1" applyBorder="1" applyAlignment="1">
      <alignment horizontal="center" vertical="center"/>
    </xf>
    <xf numFmtId="176" fontId="6" fillId="12" borderId="27" xfId="0" applyNumberFormat="1" applyFont="1" applyFill="1" applyBorder="1" applyAlignment="1">
      <alignment horizontal="center" vertical="center"/>
    </xf>
    <xf numFmtId="179" fontId="6" fillId="12" borderId="27" xfId="0" applyFont="1" applyFill="1" applyBorder="1" applyAlignment="1">
      <alignment horizontal="center" vertical="center"/>
    </xf>
    <xf numFmtId="179" fontId="6" fillId="12" borderId="28" xfId="0" applyFont="1" applyFill="1" applyBorder="1" applyAlignment="1">
      <alignment horizontal="center" vertical="center"/>
    </xf>
    <xf numFmtId="179" fontId="6" fillId="0" borderId="90" xfId="0" applyFont="1" applyBorder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179" fontId="6" fillId="0" borderId="38" xfId="0" applyFont="1" applyBorder="1" applyAlignment="1">
      <alignment horizontal="center" vertical="center"/>
    </xf>
    <xf numFmtId="179" fontId="6" fillId="0" borderId="202" xfId="0" applyFont="1" applyBorder="1" applyAlignment="1">
      <alignment horizontal="center" vertical="center"/>
    </xf>
    <xf numFmtId="179" fontId="6" fillId="0" borderId="126" xfId="0" applyFont="1" applyBorder="1" applyAlignment="1">
      <alignment horizontal="center" vertical="center"/>
    </xf>
    <xf numFmtId="38" fontId="9" fillId="3" borderId="98" xfId="0" applyNumberFormat="1" applyFont="1" applyFill="1" applyBorder="1" applyAlignment="1">
      <alignment horizontal="center" vertical="center" wrapText="1"/>
    </xf>
    <xf numFmtId="179" fontId="6" fillId="0" borderId="50" xfId="0" applyFont="1" applyBorder="1" applyAlignment="1">
      <alignment horizontal="center" vertical="center"/>
    </xf>
    <xf numFmtId="179" fontId="6" fillId="0" borderId="44" xfId="0" applyFont="1" applyBorder="1" applyAlignment="1">
      <alignment horizontal="center" vertical="center"/>
    </xf>
    <xf numFmtId="179" fontId="6" fillId="0" borderId="69" xfId="0" applyFont="1" applyBorder="1" applyAlignment="1">
      <alignment horizontal="center" vertical="center"/>
    </xf>
    <xf numFmtId="179" fontId="6" fillId="0" borderId="23" xfId="0" applyFont="1" applyBorder="1" applyAlignment="1">
      <alignment horizontal="center" vertical="center"/>
    </xf>
    <xf numFmtId="179" fontId="6" fillId="0" borderId="58" xfId="0" applyFont="1" applyBorder="1" applyAlignment="1">
      <alignment horizontal="center" vertical="center"/>
    </xf>
    <xf numFmtId="179" fontId="6" fillId="0" borderId="85" xfId="0" applyFont="1" applyBorder="1" applyAlignment="1">
      <alignment horizontal="center" vertical="center"/>
    </xf>
    <xf numFmtId="179" fontId="6" fillId="12" borderId="50" xfId="0" applyFont="1" applyFill="1" applyBorder="1" applyAlignment="1">
      <alignment horizontal="center" vertical="center"/>
    </xf>
    <xf numFmtId="179" fontId="6" fillId="12" borderId="44" xfId="0" applyFont="1" applyFill="1" applyBorder="1" applyAlignment="1">
      <alignment horizontal="center" vertical="center"/>
    </xf>
    <xf numFmtId="179" fontId="25" fillId="12" borderId="0" xfId="0" applyFont="1" applyFill="1" applyAlignment="1">
      <alignment horizontal="center" vertical="center"/>
    </xf>
    <xf numFmtId="179" fontId="25" fillId="0" borderId="0" xfId="0" applyFont="1" applyAlignment="1">
      <alignment horizontal="center" vertical="center"/>
    </xf>
    <xf numFmtId="179" fontId="6" fillId="0" borderId="87" xfId="0" applyFont="1" applyBorder="1" applyAlignment="1">
      <alignment horizontal="center" vertical="center"/>
    </xf>
    <xf numFmtId="176" fontId="6" fillId="0" borderId="90" xfId="0" applyNumberFormat="1" applyFont="1" applyBorder="1" applyAlignment="1">
      <alignment horizontal="center" vertical="center"/>
    </xf>
    <xf numFmtId="179" fontId="6" fillId="0" borderId="91" xfId="0" applyFont="1" applyBorder="1" applyAlignment="1">
      <alignment horizontal="center" vertical="center"/>
    </xf>
    <xf numFmtId="179" fontId="27" fillId="0" borderId="13" xfId="0" applyFont="1" applyBorder="1">
      <alignment vertical="center"/>
    </xf>
    <xf numFmtId="187" fontId="6" fillId="0" borderId="0" xfId="1" applyNumberFormat="1" applyFont="1" applyAlignment="1">
      <alignment horizontal="center"/>
    </xf>
    <xf numFmtId="179" fontId="27" fillId="0" borderId="1" xfId="0" applyFont="1" applyBorder="1">
      <alignment vertical="center"/>
    </xf>
    <xf numFmtId="179" fontId="27" fillId="12" borderId="84" xfId="2" applyFont="1" applyFill="1" applyBorder="1"/>
    <xf numFmtId="1" fontId="27" fillId="12" borderId="109" xfId="0" applyNumberFormat="1" applyFont="1" applyFill="1" applyBorder="1" applyAlignment="1">
      <alignment horizontal="center" vertical="center"/>
    </xf>
    <xf numFmtId="185" fontId="27" fillId="0" borderId="1" xfId="0" applyNumberFormat="1" applyFont="1" applyBorder="1" applyAlignment="1">
      <alignment horizontal="left" vertical="center"/>
    </xf>
    <xf numFmtId="1" fontId="27" fillId="12" borderId="129" xfId="0" applyNumberFormat="1" applyFont="1" applyFill="1" applyBorder="1" applyAlignment="1">
      <alignment horizontal="center" vertical="center"/>
    </xf>
    <xf numFmtId="1" fontId="27" fillId="12" borderId="127" xfId="0" applyNumberFormat="1" applyFont="1" applyFill="1" applyBorder="1" applyAlignment="1">
      <alignment horizontal="center" vertical="center"/>
    </xf>
    <xf numFmtId="179" fontId="27" fillId="12" borderId="20" xfId="2" applyFont="1" applyFill="1" applyBorder="1"/>
    <xf numFmtId="176" fontId="27" fillId="12" borderId="24" xfId="0" applyNumberFormat="1" applyFont="1" applyFill="1" applyBorder="1" applyAlignment="1">
      <alignment horizontal="center" vertical="center"/>
    </xf>
    <xf numFmtId="176" fontId="27" fillId="12" borderId="26" xfId="0" applyNumberFormat="1" applyFont="1" applyFill="1" applyBorder="1" applyAlignment="1">
      <alignment horizontal="center" vertical="center"/>
    </xf>
    <xf numFmtId="179" fontId="27" fillId="12" borderId="20" xfId="0" applyFont="1" applyFill="1" applyBorder="1" applyAlignment="1">
      <alignment horizontal="center" vertical="center"/>
    </xf>
    <xf numFmtId="179" fontId="27" fillId="12" borderId="27" xfId="0" applyFont="1" applyFill="1" applyBorder="1" applyAlignment="1">
      <alignment horizontal="center" vertical="center"/>
    </xf>
    <xf numFmtId="176" fontId="27" fillId="12" borderId="79" xfId="0" applyNumberFormat="1" applyFont="1" applyFill="1" applyBorder="1" applyAlignment="1">
      <alignment horizontal="center" vertical="center"/>
    </xf>
    <xf numFmtId="176" fontId="27" fillId="12" borderId="201" xfId="0" applyNumberFormat="1" applyFont="1" applyFill="1" applyBorder="1" applyAlignment="1">
      <alignment horizontal="center" vertical="center"/>
    </xf>
    <xf numFmtId="176" fontId="27" fillId="12" borderId="208" xfId="0" applyNumberFormat="1" applyFont="1" applyFill="1" applyBorder="1" applyAlignment="1">
      <alignment horizontal="center" vertical="center"/>
    </xf>
    <xf numFmtId="176" fontId="27" fillId="12" borderId="207" xfId="0" applyNumberFormat="1" applyFont="1" applyFill="1" applyBorder="1" applyAlignment="1">
      <alignment horizontal="center" vertical="center"/>
    </xf>
    <xf numFmtId="181" fontId="6" fillId="12" borderId="176" xfId="0" applyNumberFormat="1" applyFont="1" applyFill="1" applyBorder="1">
      <alignment vertical="center"/>
    </xf>
    <xf numFmtId="179" fontId="25" fillId="0" borderId="1" xfId="0" applyFont="1" applyBorder="1" applyAlignment="1">
      <alignment horizontal="left" vertical="center"/>
    </xf>
    <xf numFmtId="2" fontId="25" fillId="0" borderId="0" xfId="0" applyNumberFormat="1" applyFont="1" applyAlignment="1">
      <alignment horizontal="center" vertical="center"/>
    </xf>
    <xf numFmtId="179" fontId="25" fillId="0" borderId="82" xfId="0" applyFont="1" applyBorder="1" applyAlignment="1">
      <alignment horizontal="center" vertical="center"/>
    </xf>
    <xf numFmtId="179" fontId="25" fillId="0" borderId="1" xfId="0" applyFont="1" applyBorder="1" applyAlignment="1">
      <alignment horizontal="center" vertical="center"/>
    </xf>
    <xf numFmtId="179" fontId="25" fillId="12" borderId="0" xfId="0" quotePrefix="1" applyFont="1" applyFill="1" applyAlignment="1">
      <alignment horizontal="center" vertical="center"/>
    </xf>
    <xf numFmtId="179" fontId="25" fillId="12" borderId="1" xfId="0" applyFont="1" applyFill="1" applyBorder="1" applyAlignment="1">
      <alignment horizontal="left" vertical="center"/>
    </xf>
    <xf numFmtId="179" fontId="25" fillId="0" borderId="81" xfId="0" applyFont="1" applyBorder="1">
      <alignment vertical="center"/>
    </xf>
    <xf numFmtId="176" fontId="6" fillId="12" borderId="199" xfId="0" applyNumberFormat="1" applyFont="1" applyFill="1" applyBorder="1">
      <alignment vertical="center"/>
    </xf>
    <xf numFmtId="179" fontId="6" fillId="12" borderId="197" xfId="0" applyFont="1" applyFill="1" applyBorder="1" applyAlignment="1">
      <alignment horizontal="left" vertical="center"/>
    </xf>
    <xf numFmtId="2" fontId="6" fillId="12" borderId="198" xfId="0" applyNumberFormat="1" applyFont="1" applyFill="1" applyBorder="1" applyAlignment="1">
      <alignment horizontal="center" vertical="center"/>
    </xf>
    <xf numFmtId="179" fontId="6" fillId="12" borderId="198" xfId="0" applyFont="1" applyFill="1" applyBorder="1">
      <alignment vertical="center"/>
    </xf>
    <xf numFmtId="2" fontId="6" fillId="12" borderId="20" xfId="0" applyNumberFormat="1" applyFont="1" applyFill="1" applyBorder="1" applyAlignment="1">
      <alignment horizontal="center" vertical="center"/>
    </xf>
    <xf numFmtId="179" fontId="6" fillId="12" borderId="26" xfId="0" applyFont="1" applyFill="1" applyBorder="1" applyAlignment="1">
      <alignment horizontal="left" vertical="center"/>
    </xf>
    <xf numFmtId="2" fontId="6" fillId="12" borderId="27" xfId="0" applyNumberFormat="1" applyFont="1" applyFill="1" applyBorder="1" applyAlignment="1">
      <alignment horizontal="center" vertical="center"/>
    </xf>
    <xf numFmtId="179" fontId="6" fillId="12" borderId="195" xfId="0" quotePrefix="1" applyFont="1" applyFill="1" applyBorder="1" applyAlignment="1">
      <alignment horizontal="center" vertical="center"/>
    </xf>
    <xf numFmtId="179" fontId="6" fillId="12" borderId="51" xfId="0" quotePrefix="1" applyFont="1" applyFill="1" applyBorder="1" applyAlignment="1">
      <alignment horizontal="center" vertical="center"/>
    </xf>
    <xf numFmtId="179" fontId="6" fillId="12" borderId="200" xfId="0" quotePrefix="1" applyFont="1" applyFill="1" applyBorder="1" applyAlignment="1">
      <alignment horizontal="center" vertical="center"/>
    </xf>
    <xf numFmtId="179" fontId="6" fillId="12" borderId="193" xfId="0" applyFont="1" applyFill="1" applyBorder="1" applyAlignment="1">
      <alignment horizontal="center" vertical="center"/>
    </xf>
    <xf numFmtId="179" fontId="6" fillId="12" borderId="193" xfId="0" applyFont="1" applyFill="1" applyBorder="1">
      <alignment vertical="center"/>
    </xf>
    <xf numFmtId="179" fontId="6" fillId="12" borderId="194" xfId="0" applyFont="1" applyFill="1" applyBorder="1">
      <alignment vertical="center"/>
    </xf>
    <xf numFmtId="179" fontId="6" fillId="12" borderId="13" xfId="0" applyFont="1" applyFill="1" applyBorder="1" applyAlignment="1">
      <alignment horizontal="center" vertical="center"/>
    </xf>
    <xf numFmtId="179" fontId="6" fillId="12" borderId="13" xfId="0" applyFont="1" applyFill="1" applyBorder="1">
      <alignment vertical="center"/>
    </xf>
    <xf numFmtId="179" fontId="6" fillId="12" borderId="14" xfId="0" applyFont="1" applyFill="1" applyBorder="1" applyAlignment="1">
      <alignment horizontal="center" vertical="center"/>
    </xf>
    <xf numFmtId="179" fontId="25" fillId="0" borderId="13" xfId="0" applyFont="1" applyBorder="1" applyAlignment="1">
      <alignment horizontal="center" vertical="center"/>
    </xf>
    <xf numFmtId="176" fontId="25" fillId="0" borderId="137" xfId="0" applyNumberFormat="1" applyFont="1" applyBorder="1" applyAlignment="1">
      <alignment horizontal="center" vertical="center"/>
    </xf>
    <xf numFmtId="179" fontId="27" fillId="0" borderId="20" xfId="0" applyFont="1" applyBorder="1" applyAlignment="1">
      <alignment horizontal="center" vertical="center"/>
    </xf>
    <xf numFmtId="179" fontId="27" fillId="0" borderId="82" xfId="0" applyFont="1" applyBorder="1" applyAlignment="1">
      <alignment horizontal="center" vertical="center"/>
    </xf>
    <xf numFmtId="179" fontId="27" fillId="0" borderId="0" xfId="0" applyFont="1" applyAlignment="1">
      <alignment horizontal="center" vertical="center"/>
    </xf>
    <xf numFmtId="179" fontId="6" fillId="0" borderId="190" xfId="0" applyFont="1" applyBorder="1">
      <alignment vertical="center"/>
    </xf>
    <xf numFmtId="181" fontId="6" fillId="12" borderId="171" xfId="0" applyNumberFormat="1" applyFont="1" applyFill="1" applyBorder="1">
      <alignment vertical="center"/>
    </xf>
    <xf numFmtId="181" fontId="6" fillId="12" borderId="134" xfId="0" applyNumberFormat="1" applyFont="1" applyFill="1" applyBorder="1">
      <alignment vertical="center"/>
    </xf>
    <xf numFmtId="3" fontId="6" fillId="12" borderId="178" xfId="0" applyNumberFormat="1" applyFont="1" applyFill="1" applyBorder="1">
      <alignment vertical="center"/>
    </xf>
    <xf numFmtId="181" fontId="6" fillId="12" borderId="162" xfId="0" applyNumberFormat="1" applyFont="1" applyFill="1" applyBorder="1">
      <alignment vertical="center"/>
    </xf>
    <xf numFmtId="3" fontId="6" fillId="12" borderId="121" xfId="0" applyNumberFormat="1" applyFont="1" applyFill="1" applyBorder="1">
      <alignment vertical="center"/>
    </xf>
    <xf numFmtId="3" fontId="6" fillId="12" borderId="180" xfId="0" applyNumberFormat="1" applyFont="1" applyFill="1" applyBorder="1">
      <alignment vertical="center"/>
    </xf>
    <xf numFmtId="181" fontId="6" fillId="12" borderId="168" xfId="0" applyNumberFormat="1" applyFont="1" applyFill="1" applyBorder="1">
      <alignment vertical="center"/>
    </xf>
    <xf numFmtId="181" fontId="6" fillId="12" borderId="155" xfId="0" applyNumberFormat="1" applyFont="1" applyFill="1" applyBorder="1">
      <alignment vertical="center"/>
    </xf>
    <xf numFmtId="181" fontId="6" fillId="12" borderId="135" xfId="0" applyNumberFormat="1" applyFont="1" applyFill="1" applyBorder="1">
      <alignment vertical="center"/>
    </xf>
    <xf numFmtId="3" fontId="6" fillId="12" borderId="77" xfId="0" applyNumberFormat="1" applyFont="1" applyFill="1" applyBorder="1">
      <alignment vertical="center"/>
    </xf>
    <xf numFmtId="38" fontId="6" fillId="0" borderId="77" xfId="0" applyNumberFormat="1" applyFont="1" applyBorder="1" applyAlignment="1">
      <alignment horizontal="right" vertical="center"/>
    </xf>
    <xf numFmtId="38" fontId="6" fillId="0" borderId="209" xfId="0" applyNumberFormat="1" applyFont="1" applyBorder="1" applyAlignment="1">
      <alignment horizontal="right" vertical="center"/>
    </xf>
    <xf numFmtId="38" fontId="6" fillId="0" borderId="41" xfId="0" applyNumberFormat="1" applyFont="1" applyBorder="1" applyAlignment="1">
      <alignment horizontal="right" vertical="center"/>
    </xf>
    <xf numFmtId="3" fontId="6" fillId="12" borderId="49" xfId="1" applyNumberFormat="1" applyFont="1" applyFill="1" applyBorder="1" applyAlignment="1"/>
    <xf numFmtId="3" fontId="6" fillId="12" borderId="30" xfId="1" applyNumberFormat="1" applyFont="1" applyFill="1" applyBorder="1" applyAlignment="1"/>
    <xf numFmtId="3" fontId="6" fillId="0" borderId="30" xfId="1" applyNumberFormat="1" applyFont="1" applyFill="1" applyBorder="1" applyAlignment="1"/>
    <xf numFmtId="3" fontId="6" fillId="12" borderId="121" xfId="1" applyNumberFormat="1" applyFont="1" applyFill="1" applyBorder="1" applyAlignment="1"/>
    <xf numFmtId="3" fontId="6" fillId="12" borderId="86" xfId="1" applyNumberFormat="1" applyFont="1" applyFill="1" applyBorder="1" applyAlignment="1"/>
    <xf numFmtId="3" fontId="6" fillId="12" borderId="29" xfId="1" applyNumberFormat="1" applyFont="1" applyFill="1" applyBorder="1" applyAlignment="1"/>
    <xf numFmtId="181" fontId="6" fillId="0" borderId="162" xfId="0" applyNumberFormat="1" applyFont="1" applyBorder="1">
      <alignment vertical="center"/>
    </xf>
    <xf numFmtId="3" fontId="6" fillId="12" borderId="41" xfId="1" applyNumberFormat="1" applyFont="1" applyFill="1" applyBorder="1" applyAlignment="1"/>
    <xf numFmtId="3" fontId="6" fillId="12" borderId="89" xfId="1" applyNumberFormat="1" applyFont="1" applyFill="1" applyBorder="1" applyAlignment="1"/>
    <xf numFmtId="181" fontId="6" fillId="12" borderId="64" xfId="0" applyNumberFormat="1" applyFont="1" applyFill="1" applyBorder="1">
      <alignment vertical="center"/>
    </xf>
    <xf numFmtId="181" fontId="6" fillId="12" borderId="188" xfId="0" applyNumberFormat="1" applyFont="1" applyFill="1" applyBorder="1">
      <alignment vertical="center"/>
    </xf>
    <xf numFmtId="3" fontId="6" fillId="12" borderId="151" xfId="0" applyNumberFormat="1" applyFont="1" applyFill="1" applyBorder="1">
      <alignment vertical="center"/>
    </xf>
    <xf numFmtId="3" fontId="6" fillId="0" borderId="0" xfId="1" applyNumberFormat="1" applyFont="1" applyBorder="1" applyAlignment="1">
      <alignment horizontal="right" vertical="center"/>
    </xf>
    <xf numFmtId="3" fontId="6" fillId="12" borderId="160" xfId="0" applyNumberFormat="1" applyFont="1" applyFill="1" applyBorder="1">
      <alignment vertical="center"/>
    </xf>
    <xf numFmtId="3" fontId="6" fillId="12" borderId="177" xfId="0" applyNumberFormat="1" applyFont="1" applyFill="1" applyBorder="1">
      <alignment vertical="center"/>
    </xf>
    <xf numFmtId="3" fontId="18" fillId="12" borderId="160" xfId="0" applyNumberFormat="1" applyFont="1" applyFill="1" applyBorder="1">
      <alignment vertical="center"/>
    </xf>
    <xf numFmtId="3" fontId="18" fillId="12" borderId="211" xfId="0" applyNumberFormat="1" applyFont="1" applyFill="1" applyBorder="1">
      <alignment vertical="center"/>
    </xf>
    <xf numFmtId="3" fontId="18" fillId="12" borderId="176" xfId="0" applyNumberFormat="1" applyFont="1" applyFill="1" applyBorder="1">
      <alignment vertical="center"/>
    </xf>
    <xf numFmtId="179" fontId="9" fillId="6" borderId="212" xfId="0" applyFont="1" applyFill="1" applyBorder="1" applyAlignment="1">
      <alignment horizontal="center" vertical="center" wrapText="1"/>
    </xf>
    <xf numFmtId="179" fontId="9" fillId="6" borderId="93" xfId="0" applyFont="1" applyFill="1" applyBorder="1" applyAlignment="1">
      <alignment horizontal="center" vertical="center" wrapText="1"/>
    </xf>
    <xf numFmtId="44" fontId="9" fillId="6" borderId="94" xfId="11" applyFont="1" applyFill="1" applyBorder="1" applyAlignment="1">
      <alignment horizontal="center" vertical="center" wrapText="1"/>
    </xf>
    <xf numFmtId="176" fontId="9" fillId="6" borderId="164" xfId="0" applyNumberFormat="1" applyFont="1" applyFill="1" applyBorder="1" applyAlignment="1">
      <alignment horizontal="center" vertical="center" wrapText="1"/>
    </xf>
    <xf numFmtId="176" fontId="9" fillId="6" borderId="93" xfId="0" applyNumberFormat="1" applyFont="1" applyFill="1" applyBorder="1" applyAlignment="1">
      <alignment horizontal="center" vertical="center" wrapText="1"/>
    </xf>
    <xf numFmtId="176" fontId="9" fillId="6" borderId="150" xfId="0" applyNumberFormat="1" applyFont="1" applyFill="1" applyBorder="1" applyAlignment="1">
      <alignment horizontal="center" vertical="center" wrapText="1"/>
    </xf>
    <xf numFmtId="176" fontId="6" fillId="2" borderId="54" xfId="0" applyNumberFormat="1" applyFont="1" applyFill="1" applyBorder="1" applyAlignment="1">
      <alignment horizontal="center" vertical="center"/>
    </xf>
    <xf numFmtId="176" fontId="6" fillId="2" borderId="51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6" fillId="15" borderId="25" xfId="0" applyNumberFormat="1" applyFont="1" applyFill="1" applyBorder="1">
      <alignment vertical="center"/>
    </xf>
    <xf numFmtId="179" fontId="27" fillId="15" borderId="20" xfId="0" applyFont="1" applyFill="1" applyBorder="1" applyAlignment="1">
      <alignment horizontal="center" vertical="center"/>
    </xf>
    <xf numFmtId="176" fontId="6" fillId="2" borderId="25" xfId="0" applyNumberFormat="1" applyFont="1" applyFill="1" applyBorder="1">
      <alignment vertical="center"/>
    </xf>
    <xf numFmtId="179" fontId="27" fillId="2" borderId="20" xfId="0" applyFont="1" applyFill="1" applyBorder="1" applyAlignment="1">
      <alignment horizontal="center" vertical="center"/>
    </xf>
    <xf numFmtId="176" fontId="6" fillId="15" borderId="25" xfId="0" applyNumberFormat="1" applyFont="1" applyFill="1" applyBorder="1" applyAlignment="1">
      <alignment horizontal="left" vertical="center"/>
    </xf>
    <xf numFmtId="176" fontId="6" fillId="15" borderId="142" xfId="0" applyNumberFormat="1" applyFont="1" applyFill="1" applyBorder="1">
      <alignment vertical="center"/>
    </xf>
    <xf numFmtId="176" fontId="25" fillId="15" borderId="60" xfId="0" applyNumberFormat="1" applyFont="1" applyFill="1" applyBorder="1">
      <alignment vertical="center"/>
    </xf>
    <xf numFmtId="176" fontId="6" fillId="2" borderId="147" xfId="0" applyNumberFormat="1" applyFont="1" applyFill="1" applyBorder="1" applyAlignment="1">
      <alignment horizontal="center" vertical="center"/>
    </xf>
    <xf numFmtId="176" fontId="6" fillId="15" borderId="117" xfId="0" applyNumberFormat="1" applyFont="1" applyFill="1" applyBorder="1">
      <alignment vertical="center"/>
    </xf>
    <xf numFmtId="179" fontId="27" fillId="15" borderId="0" xfId="0" applyFont="1" applyFill="1" applyAlignment="1">
      <alignment horizontal="center" vertical="center"/>
    </xf>
    <xf numFmtId="176" fontId="6" fillId="2" borderId="117" xfId="0" applyNumberFormat="1" applyFont="1" applyFill="1" applyBorder="1">
      <alignment vertical="center"/>
    </xf>
    <xf numFmtId="179" fontId="27" fillId="2" borderId="0" xfId="0" applyFont="1" applyFill="1" applyAlignment="1">
      <alignment horizontal="center" vertical="center"/>
    </xf>
    <xf numFmtId="176" fontId="25" fillId="2" borderId="117" xfId="0" applyNumberFormat="1" applyFont="1" applyFill="1" applyBorder="1">
      <alignment vertical="center"/>
    </xf>
    <xf numFmtId="176" fontId="6" fillId="2" borderId="39" xfId="0" applyNumberFormat="1" applyFont="1" applyFill="1" applyBorder="1" applyAlignment="1">
      <alignment horizontal="center" vertical="center"/>
    </xf>
    <xf numFmtId="176" fontId="6" fillId="2" borderId="20" xfId="0" applyNumberFormat="1" applyFont="1" applyFill="1" applyBorder="1" applyAlignment="1">
      <alignment horizontal="center" vertical="center"/>
    </xf>
    <xf numFmtId="176" fontId="6" fillId="2" borderId="36" xfId="0" applyNumberFormat="1" applyFont="1" applyFill="1" applyBorder="1" applyAlignment="1">
      <alignment horizontal="center" vertical="center"/>
    </xf>
    <xf numFmtId="176" fontId="6" fillId="2" borderId="27" xfId="0" applyNumberFormat="1" applyFont="1" applyFill="1" applyBorder="1" applyAlignment="1">
      <alignment horizontal="center" vertical="center"/>
    </xf>
    <xf numFmtId="176" fontId="6" fillId="2" borderId="37" xfId="0" applyNumberFormat="1" applyFont="1" applyFill="1" applyBorder="1" applyAlignment="1">
      <alignment horizontal="center" vertical="center"/>
    </xf>
    <xf numFmtId="179" fontId="9" fillId="0" borderId="11" xfId="0" applyFont="1" applyBorder="1" applyAlignment="1">
      <alignment horizontal="center" vertical="center" wrapText="1"/>
    </xf>
    <xf numFmtId="179" fontId="6" fillId="0" borderId="2" xfId="0" applyFont="1" applyBorder="1" applyAlignment="1" applyProtection="1">
      <alignment horizontal="center" vertical="center" wrapText="1"/>
      <protection locked="0"/>
    </xf>
    <xf numFmtId="179" fontId="9" fillId="0" borderId="9" xfId="0" applyFont="1" applyBorder="1" applyAlignment="1" applyProtection="1">
      <alignment horizontal="center" vertical="center"/>
      <protection locked="0"/>
    </xf>
    <xf numFmtId="179" fontId="6" fillId="12" borderId="1" xfId="0" applyFont="1" applyFill="1" applyBorder="1" applyProtection="1">
      <alignment vertical="center"/>
      <protection locked="0"/>
    </xf>
    <xf numFmtId="179" fontId="6" fillId="12" borderId="57" xfId="0" applyFont="1" applyFill="1" applyBorder="1" applyProtection="1">
      <alignment vertical="center"/>
      <protection locked="0"/>
    </xf>
    <xf numFmtId="179" fontId="6" fillId="12" borderId="136" xfId="0" applyFont="1" applyFill="1" applyBorder="1" applyProtection="1">
      <alignment vertical="center"/>
      <protection locked="0"/>
    </xf>
    <xf numFmtId="179" fontId="6" fillId="0" borderId="0" xfId="0" applyFont="1" applyAlignment="1" applyProtection="1">
      <protection locked="0"/>
    </xf>
    <xf numFmtId="179" fontId="6" fillId="0" borderId="1" xfId="0" applyFont="1" applyBorder="1" applyAlignment="1" applyProtection="1">
      <protection locked="0"/>
    </xf>
    <xf numFmtId="179" fontId="6" fillId="0" borderId="8" xfId="0" applyFont="1" applyBorder="1" applyAlignment="1" applyProtection="1">
      <protection locked="0"/>
    </xf>
    <xf numFmtId="179" fontId="6" fillId="12" borderId="56" xfId="0" applyFont="1" applyFill="1" applyBorder="1" applyProtection="1">
      <alignment vertical="center"/>
      <protection locked="0"/>
    </xf>
    <xf numFmtId="179" fontId="6" fillId="12" borderId="55" xfId="0" applyFont="1" applyFill="1" applyBorder="1" applyProtection="1">
      <alignment vertical="center"/>
      <protection locked="0"/>
    </xf>
    <xf numFmtId="0" fontId="6" fillId="0" borderId="0" xfId="9" applyFont="1" applyProtection="1">
      <alignment vertical="center"/>
      <protection locked="0"/>
    </xf>
    <xf numFmtId="0" fontId="25" fillId="0" borderId="0" xfId="10" applyFont="1" applyAlignment="1" applyProtection="1">
      <alignment horizontal="left" vertical="center"/>
      <protection locked="0"/>
    </xf>
    <xf numFmtId="0" fontId="25" fillId="0" borderId="0" xfId="9" applyFont="1" applyProtection="1">
      <alignment vertical="center"/>
      <protection locked="0"/>
    </xf>
    <xf numFmtId="179" fontId="6" fillId="12" borderId="119" xfId="0" applyFont="1" applyFill="1" applyBorder="1" applyProtection="1">
      <alignment vertical="center"/>
      <protection locked="0"/>
    </xf>
    <xf numFmtId="179" fontId="6" fillId="12" borderId="80" xfId="0" applyFont="1" applyFill="1" applyBorder="1" applyProtection="1">
      <alignment vertical="center"/>
      <protection locked="0"/>
    </xf>
    <xf numFmtId="179" fontId="6" fillId="12" borderId="8" xfId="0" applyFont="1" applyFill="1" applyBorder="1" applyProtection="1">
      <alignment vertical="center"/>
      <protection locked="0"/>
    </xf>
    <xf numFmtId="179" fontId="6" fillId="12" borderId="0" xfId="0" applyFont="1" applyFill="1" applyProtection="1">
      <alignment vertical="center"/>
      <protection locked="0"/>
    </xf>
    <xf numFmtId="179" fontId="6" fillId="12" borderId="62" xfId="0" applyFont="1" applyFill="1" applyBorder="1" applyProtection="1">
      <alignment vertical="center"/>
      <protection locked="0"/>
    </xf>
    <xf numFmtId="179" fontId="6" fillId="12" borderId="51" xfId="0" applyFont="1" applyFill="1" applyBorder="1" applyProtection="1">
      <alignment vertical="center"/>
      <protection locked="0"/>
    </xf>
    <xf numFmtId="179" fontId="6" fillId="12" borderId="40" xfId="0" applyFont="1" applyFill="1" applyBorder="1" applyProtection="1">
      <alignment vertical="center"/>
      <protection locked="0"/>
    </xf>
    <xf numFmtId="179" fontId="6" fillId="12" borderId="14" xfId="0" applyFont="1" applyFill="1" applyBorder="1" applyProtection="1">
      <alignment vertical="center"/>
      <protection locked="0"/>
    </xf>
    <xf numFmtId="179" fontId="6" fillId="0" borderId="119" xfId="0" applyFont="1" applyBorder="1" applyProtection="1">
      <alignment vertical="center"/>
      <protection locked="0"/>
    </xf>
    <xf numFmtId="179" fontId="6" fillId="0" borderId="79" xfId="0" applyFont="1" applyBorder="1" applyProtection="1">
      <alignment vertical="center"/>
      <protection locked="0"/>
    </xf>
    <xf numFmtId="179" fontId="6" fillId="0" borderId="57" xfId="0" applyFont="1" applyBorder="1" applyProtection="1">
      <alignment vertical="center"/>
      <protection locked="0"/>
    </xf>
    <xf numFmtId="179" fontId="6" fillId="0" borderId="1" xfId="0" applyFont="1" applyBorder="1" applyProtection="1">
      <alignment vertical="center"/>
      <protection locked="0"/>
    </xf>
    <xf numFmtId="179" fontId="6" fillId="12" borderId="79" xfId="0" applyFont="1" applyFill="1" applyBorder="1" applyProtection="1">
      <alignment vertical="center"/>
      <protection locked="0"/>
    </xf>
    <xf numFmtId="179" fontId="25" fillId="12" borderId="1" xfId="0" applyFont="1" applyFill="1" applyBorder="1" applyProtection="1">
      <alignment vertical="center"/>
      <protection locked="0"/>
    </xf>
    <xf numFmtId="179" fontId="6" fillId="12" borderId="196" xfId="0" applyFont="1" applyFill="1" applyBorder="1" applyProtection="1">
      <alignment vertical="center"/>
      <protection locked="0"/>
    </xf>
    <xf numFmtId="179" fontId="6" fillId="12" borderId="201" xfId="0" applyFont="1" applyFill="1" applyBorder="1" applyProtection="1">
      <alignment vertical="center"/>
      <protection locked="0"/>
    </xf>
    <xf numFmtId="179" fontId="6" fillId="12" borderId="109" xfId="2" applyFont="1" applyFill="1" applyBorder="1" applyProtection="1">
      <protection locked="0"/>
    </xf>
    <xf numFmtId="179" fontId="6" fillId="12" borderId="58" xfId="2" applyFont="1" applyFill="1" applyBorder="1" applyProtection="1">
      <protection locked="0"/>
    </xf>
    <xf numFmtId="179" fontId="6" fillId="0" borderId="58" xfId="2" applyFont="1" applyBorder="1" applyProtection="1">
      <protection locked="0"/>
    </xf>
    <xf numFmtId="179" fontId="6" fillId="12" borderId="59" xfId="2" applyFont="1" applyFill="1" applyBorder="1" applyProtection="1">
      <protection locked="0"/>
    </xf>
    <xf numFmtId="179" fontId="6" fillId="12" borderId="62" xfId="2" applyFont="1" applyFill="1" applyBorder="1" applyProtection="1">
      <protection locked="0"/>
    </xf>
    <xf numFmtId="179" fontId="6" fillId="12" borderId="51" xfId="2" applyFont="1" applyFill="1" applyBorder="1" applyProtection="1">
      <protection locked="0"/>
    </xf>
    <xf numFmtId="179" fontId="6" fillId="0" borderId="51" xfId="2" applyFont="1" applyBorder="1" applyProtection="1">
      <protection locked="0"/>
    </xf>
    <xf numFmtId="179" fontId="6" fillId="12" borderId="0" xfId="2" applyFont="1" applyFill="1" applyProtection="1">
      <protection locked="0"/>
    </xf>
    <xf numFmtId="179" fontId="6" fillId="12" borderId="107" xfId="0" applyFont="1" applyFill="1" applyBorder="1" applyProtection="1">
      <alignment vertical="center"/>
      <protection locked="0"/>
    </xf>
    <xf numFmtId="179" fontId="6" fillId="12" borderId="58" xfId="0" applyFont="1" applyFill="1" applyBorder="1" applyProtection="1">
      <alignment vertical="center"/>
      <protection locked="0"/>
    </xf>
    <xf numFmtId="179" fontId="25" fillId="12" borderId="55" xfId="0" applyFont="1" applyFill="1" applyBorder="1" applyProtection="1">
      <alignment vertical="center"/>
      <protection locked="0"/>
    </xf>
    <xf numFmtId="179" fontId="25" fillId="12" borderId="57" xfId="0" applyFont="1" applyFill="1" applyBorder="1" applyProtection="1">
      <alignment vertical="center"/>
      <protection locked="0"/>
    </xf>
    <xf numFmtId="179" fontId="25" fillId="12" borderId="48" xfId="0" applyFont="1" applyFill="1" applyBorder="1" applyProtection="1">
      <alignment vertical="center"/>
      <protection locked="0"/>
    </xf>
    <xf numFmtId="179" fontId="25" fillId="12" borderId="144" xfId="0" applyFont="1" applyFill="1" applyBorder="1" applyProtection="1">
      <alignment vertical="center"/>
      <protection locked="0"/>
    </xf>
    <xf numFmtId="179" fontId="6" fillId="12" borderId="12" xfId="2" applyFont="1" applyFill="1" applyBorder="1" applyProtection="1">
      <protection locked="0"/>
    </xf>
    <xf numFmtId="179" fontId="6" fillId="12" borderId="48" xfId="2" applyFont="1" applyFill="1" applyBorder="1" applyProtection="1">
      <protection locked="0"/>
    </xf>
    <xf numFmtId="179" fontId="6" fillId="12" borderId="13" xfId="2" applyFont="1" applyFill="1" applyBorder="1" applyProtection="1">
      <protection locked="0"/>
    </xf>
    <xf numFmtId="179" fontId="6" fillId="0" borderId="13" xfId="0" applyFont="1" applyBorder="1" applyAlignment="1" applyProtection="1">
      <protection locked="0"/>
    </xf>
    <xf numFmtId="179" fontId="25" fillId="0" borderId="13" xfId="0" applyFont="1" applyBorder="1" applyAlignment="1" applyProtection="1">
      <protection locked="0"/>
    </xf>
    <xf numFmtId="0" fontId="6" fillId="0" borderId="13" xfId="0" applyNumberFormat="1" applyFont="1" applyBorder="1" applyAlignment="1" applyProtection="1">
      <alignment horizontal="left"/>
      <protection locked="0"/>
    </xf>
    <xf numFmtId="179" fontId="6" fillId="0" borderId="14" xfId="0" applyFont="1" applyBorder="1" applyAlignment="1" applyProtection="1">
      <protection locked="0"/>
    </xf>
    <xf numFmtId="0" fontId="6" fillId="0" borderId="1" xfId="0" applyNumberFormat="1" applyFont="1" applyBorder="1" applyAlignment="1" applyProtection="1">
      <alignment horizontal="left"/>
      <protection locked="0"/>
    </xf>
    <xf numFmtId="179" fontId="25" fillId="0" borderId="127" xfId="0" applyFont="1" applyBorder="1" applyAlignment="1" applyProtection="1">
      <protection locked="0"/>
    </xf>
    <xf numFmtId="179" fontId="27" fillId="0" borderId="127" xfId="0" applyFont="1" applyBorder="1" applyAlignment="1" applyProtection="1">
      <protection locked="0"/>
    </xf>
    <xf numFmtId="179" fontId="6" fillId="0" borderId="190" xfId="0" applyFont="1" applyBorder="1" applyAlignment="1" applyProtection="1">
      <protection locked="0"/>
    </xf>
    <xf numFmtId="179" fontId="25" fillId="12" borderId="0" xfId="0" applyFont="1" applyFill="1" applyProtection="1">
      <alignment vertical="center"/>
      <protection locked="0"/>
    </xf>
    <xf numFmtId="179" fontId="25" fillId="0" borderId="128" xfId="0" applyFont="1" applyBorder="1" applyAlignment="1" applyProtection="1">
      <protection locked="0"/>
    </xf>
    <xf numFmtId="179" fontId="6" fillId="0" borderId="0" xfId="0" applyFont="1" applyProtection="1">
      <alignment vertical="center"/>
      <protection locked="0"/>
    </xf>
    <xf numFmtId="179" fontId="25" fillId="2" borderId="1" xfId="0" applyFont="1" applyFill="1" applyBorder="1">
      <alignment vertical="center"/>
    </xf>
    <xf numFmtId="3" fontId="18" fillId="0" borderId="6" xfId="1" applyNumberFormat="1" applyFont="1" applyFill="1" applyBorder="1" applyAlignment="1">
      <alignment vertical="center"/>
    </xf>
    <xf numFmtId="3" fontId="18" fillId="0" borderId="0" xfId="1" applyNumberFormat="1" applyFont="1" applyFill="1" applyBorder="1" applyAlignment="1">
      <alignment vertical="center"/>
    </xf>
    <xf numFmtId="179" fontId="25" fillId="12" borderId="59" xfId="0" applyFont="1" applyFill="1" applyBorder="1" applyProtection="1">
      <alignment vertical="center"/>
      <protection locked="0"/>
    </xf>
    <xf numFmtId="179" fontId="27" fillId="12" borderId="87" xfId="2" applyFont="1" applyFill="1" applyBorder="1" applyAlignment="1">
      <alignment horizontal="left"/>
    </xf>
    <xf numFmtId="1" fontId="27" fillId="12" borderId="84" xfId="2" applyNumberFormat="1" applyFont="1" applyFill="1" applyBorder="1" applyAlignment="1">
      <alignment horizontal="center"/>
    </xf>
    <xf numFmtId="179" fontId="27" fillId="12" borderId="84" xfId="0" applyFont="1" applyFill="1" applyBorder="1">
      <alignment vertical="center"/>
    </xf>
    <xf numFmtId="176" fontId="27" fillId="12" borderId="85" xfId="0" applyNumberFormat="1" applyFont="1" applyFill="1" applyBorder="1">
      <alignment vertical="center"/>
    </xf>
    <xf numFmtId="179" fontId="27" fillId="0" borderId="60" xfId="0" applyFont="1" applyBorder="1">
      <alignment vertical="center"/>
    </xf>
    <xf numFmtId="179" fontId="27" fillId="0" borderId="0" xfId="0" applyFont="1">
      <alignment vertical="center"/>
    </xf>
    <xf numFmtId="3" fontId="6" fillId="0" borderId="20" xfId="0" applyNumberFormat="1" applyFont="1" applyBorder="1">
      <alignment vertical="center"/>
    </xf>
    <xf numFmtId="38" fontId="6" fillId="12" borderId="0" xfId="0" applyNumberFormat="1" applyFont="1" applyFill="1" applyAlignment="1">
      <alignment vertical="top"/>
    </xf>
    <xf numFmtId="3" fontId="6" fillId="0" borderId="24" xfId="0" applyNumberFormat="1" applyFont="1" applyBorder="1">
      <alignment vertical="center"/>
    </xf>
    <xf numFmtId="3" fontId="6" fillId="0" borderId="30" xfId="0" applyNumberFormat="1" applyFont="1" applyBorder="1">
      <alignment vertical="center"/>
    </xf>
    <xf numFmtId="3" fontId="18" fillId="0" borderId="20" xfId="0" applyNumberFormat="1" applyFont="1" applyBorder="1">
      <alignment vertical="center"/>
    </xf>
    <xf numFmtId="181" fontId="18" fillId="0" borderId="161" xfId="0" applyNumberFormat="1" applyFont="1" applyBorder="1">
      <alignment vertical="center"/>
    </xf>
    <xf numFmtId="3" fontId="18" fillId="0" borderId="24" xfId="0" applyNumberFormat="1" applyFont="1" applyBorder="1">
      <alignment vertical="center"/>
    </xf>
    <xf numFmtId="181" fontId="18" fillId="0" borderId="160" xfId="0" applyNumberFormat="1" applyFont="1" applyBorder="1">
      <alignment vertical="center"/>
    </xf>
    <xf numFmtId="3" fontId="18" fillId="0" borderId="36" xfId="0" applyNumberFormat="1" applyFont="1" applyBorder="1">
      <alignment vertical="center"/>
    </xf>
    <xf numFmtId="181" fontId="18" fillId="0" borderId="163" xfId="0" applyNumberFormat="1" applyFont="1" applyBorder="1">
      <alignment vertical="center"/>
    </xf>
    <xf numFmtId="176" fontId="18" fillId="0" borderId="176" xfId="0" applyNumberFormat="1" applyFont="1" applyBorder="1">
      <alignment vertical="center"/>
    </xf>
    <xf numFmtId="1" fontId="27" fillId="0" borderId="58" xfId="0" applyNumberFormat="1" applyFont="1" applyBorder="1" applyAlignment="1">
      <alignment horizontal="center" vertical="center"/>
    </xf>
    <xf numFmtId="179" fontId="27" fillId="0" borderId="51" xfId="0" applyFont="1" applyBorder="1" applyProtection="1">
      <alignment vertical="center"/>
      <protection locked="0"/>
    </xf>
    <xf numFmtId="179" fontId="27" fillId="0" borderId="24" xfId="0" applyFont="1" applyBorder="1" applyAlignment="1">
      <alignment horizontal="left" vertical="center"/>
    </xf>
    <xf numFmtId="1" fontId="27" fillId="0" borderId="20" xfId="0" applyNumberFormat="1" applyFont="1" applyBorder="1" applyAlignment="1">
      <alignment horizontal="center" vertical="center"/>
    </xf>
    <xf numFmtId="179" fontId="27" fillId="0" borderId="20" xfId="0" applyFont="1" applyBorder="1">
      <alignment vertical="center"/>
    </xf>
    <xf numFmtId="176" fontId="27" fillId="0" borderId="60" xfId="0" applyNumberFormat="1" applyFont="1" applyBorder="1">
      <alignment vertical="center"/>
    </xf>
    <xf numFmtId="1" fontId="27" fillId="0" borderId="129" xfId="0" applyNumberFormat="1" applyFont="1" applyBorder="1" applyAlignment="1">
      <alignment horizontal="center" vertical="center"/>
    </xf>
    <xf numFmtId="179" fontId="27" fillId="0" borderId="87" xfId="2" applyFont="1" applyBorder="1" applyAlignment="1">
      <alignment horizontal="left"/>
    </xf>
    <xf numFmtId="1" fontId="27" fillId="0" borderId="84" xfId="2" applyNumberFormat="1" applyFont="1" applyBorder="1" applyAlignment="1">
      <alignment horizontal="center"/>
    </xf>
    <xf numFmtId="179" fontId="27" fillId="0" borderId="84" xfId="2" applyFont="1" applyBorder="1"/>
    <xf numFmtId="179" fontId="27" fillId="0" borderId="84" xfId="0" applyFont="1" applyBorder="1">
      <alignment vertical="center"/>
    </xf>
    <xf numFmtId="176" fontId="27" fillId="0" borderId="85" xfId="0" applyNumberFormat="1" applyFont="1" applyBorder="1">
      <alignment vertical="center"/>
    </xf>
    <xf numFmtId="3" fontId="6" fillId="0" borderId="87" xfId="0" applyNumberFormat="1" applyFont="1" applyBorder="1">
      <alignment vertical="center"/>
    </xf>
    <xf numFmtId="181" fontId="6" fillId="0" borderId="42" xfId="0" applyNumberFormat="1" applyFont="1" applyBorder="1">
      <alignment vertical="center"/>
    </xf>
    <xf numFmtId="3" fontId="6" fillId="0" borderId="84" xfId="2" applyNumberFormat="1" applyFont="1" applyBorder="1"/>
    <xf numFmtId="181" fontId="6" fillId="0" borderId="44" xfId="0" applyNumberFormat="1" applyFont="1" applyBorder="1">
      <alignment vertical="center"/>
    </xf>
    <xf numFmtId="3" fontId="6" fillId="0" borderId="41" xfId="0" applyNumberFormat="1" applyFont="1" applyBorder="1">
      <alignment vertical="center"/>
    </xf>
    <xf numFmtId="181" fontId="6" fillId="0" borderId="134" xfId="0" applyNumberFormat="1" applyFont="1" applyBorder="1">
      <alignment vertical="center"/>
    </xf>
    <xf numFmtId="3" fontId="6" fillId="0" borderId="42" xfId="2" applyNumberFormat="1" applyFont="1" applyBorder="1"/>
    <xf numFmtId="3" fontId="18" fillId="0" borderId="42" xfId="2" applyNumberFormat="1" applyFont="1" applyBorder="1"/>
    <xf numFmtId="3" fontId="18" fillId="0" borderId="43" xfId="0" applyNumberFormat="1" applyFont="1" applyBorder="1">
      <alignment vertical="center"/>
    </xf>
    <xf numFmtId="3" fontId="18" fillId="0" borderId="45" xfId="2" applyNumberFormat="1" applyFont="1" applyBorder="1"/>
    <xf numFmtId="187" fontId="18" fillId="0" borderId="0" xfId="1" applyNumberFormat="1" applyFont="1" applyFill="1" applyBorder="1" applyAlignment="1"/>
    <xf numFmtId="176" fontId="18" fillId="0" borderId="161" xfId="0" applyNumberFormat="1" applyFont="1" applyBorder="1">
      <alignment vertical="center"/>
    </xf>
    <xf numFmtId="184" fontId="18" fillId="0" borderId="0" xfId="1" applyNumberFormat="1" applyFont="1" applyFill="1" applyBorder="1" applyAlignment="1"/>
    <xf numFmtId="1" fontId="6" fillId="0" borderId="129" xfId="0" applyNumberFormat="1" applyFont="1" applyBorder="1" applyAlignment="1">
      <alignment horizontal="center" vertical="center"/>
    </xf>
    <xf numFmtId="179" fontId="6" fillId="0" borderId="127" xfId="0" applyFont="1" applyBorder="1" applyAlignment="1" applyProtection="1">
      <protection locked="0"/>
    </xf>
    <xf numFmtId="179" fontId="6" fillId="0" borderId="87" xfId="2" applyFont="1" applyBorder="1" applyAlignment="1">
      <alignment horizontal="left"/>
    </xf>
    <xf numFmtId="1" fontId="6" fillId="0" borderId="84" xfId="2" applyNumberFormat="1" applyFont="1" applyBorder="1" applyAlignment="1">
      <alignment horizontal="center"/>
    </xf>
    <xf numFmtId="179" fontId="6" fillId="0" borderId="84" xfId="2" applyFont="1" applyBorder="1"/>
    <xf numFmtId="179" fontId="6" fillId="0" borderId="84" xfId="0" applyFont="1" applyBorder="1">
      <alignment vertical="center"/>
    </xf>
    <xf numFmtId="176" fontId="6" fillId="0" borderId="85" xfId="0" applyNumberFormat="1" applyFont="1" applyBorder="1">
      <alignment vertical="center"/>
    </xf>
    <xf numFmtId="8" fontId="6" fillId="0" borderId="0" xfId="15" applyNumberFormat="1" applyFont="1" applyAlignment="1" applyProtection="1">
      <alignment horizontal="center"/>
      <protection locked="0"/>
    </xf>
    <xf numFmtId="179" fontId="6" fillId="0" borderId="185" xfId="0" applyFont="1" applyBorder="1" applyAlignment="1">
      <alignment horizontal="center" vertical="center"/>
    </xf>
    <xf numFmtId="179" fontId="6" fillId="0" borderId="186" xfId="0" applyFont="1" applyBorder="1" applyAlignment="1">
      <alignment horizontal="center" vertical="center"/>
    </xf>
    <xf numFmtId="179" fontId="6" fillId="0" borderId="75" xfId="0" applyFont="1" applyBorder="1" applyAlignment="1">
      <alignment horizontal="center" vertical="center"/>
    </xf>
    <xf numFmtId="176" fontId="6" fillId="0" borderId="109" xfId="0" applyNumberFormat="1" applyFont="1" applyBorder="1" applyAlignment="1">
      <alignment horizontal="center" vertical="center"/>
    </xf>
    <xf numFmtId="176" fontId="6" fillId="0" borderId="61" xfId="0" applyNumberFormat="1" applyFont="1" applyBorder="1" applyAlignment="1">
      <alignment horizontal="center" vertical="center"/>
    </xf>
    <xf numFmtId="176" fontId="6" fillId="0" borderId="91" xfId="0" applyNumberFormat="1" applyFont="1" applyBorder="1" applyAlignment="1">
      <alignment horizontal="center" vertical="center"/>
    </xf>
    <xf numFmtId="179" fontId="6" fillId="0" borderId="101" xfId="0" applyFont="1" applyBorder="1" applyAlignment="1">
      <alignment horizontal="center" vertical="center"/>
    </xf>
    <xf numFmtId="179" fontId="6" fillId="0" borderId="205" xfId="0" applyFont="1" applyBorder="1" applyAlignment="1">
      <alignment horizontal="center" vertical="center"/>
    </xf>
    <xf numFmtId="176" fontId="6" fillId="0" borderId="126" xfId="0" applyNumberFormat="1" applyFont="1" applyBorder="1" applyAlignment="1">
      <alignment horizontal="center" vertical="center"/>
    </xf>
    <xf numFmtId="176" fontId="6" fillId="0" borderId="206" xfId="0" applyNumberFormat="1" applyFont="1" applyBorder="1" applyAlignment="1">
      <alignment horizontal="center" vertical="center"/>
    </xf>
    <xf numFmtId="179" fontId="6" fillId="0" borderId="204" xfId="0" applyFont="1" applyBorder="1" applyAlignment="1">
      <alignment horizontal="center" vertical="center"/>
    </xf>
    <xf numFmtId="179" fontId="6" fillId="0" borderId="203" xfId="0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59" xfId="0" applyNumberFormat="1" applyFont="1" applyBorder="1" applyAlignment="1">
      <alignment horizontal="center" vertical="center"/>
    </xf>
    <xf numFmtId="179" fontId="6" fillId="12" borderId="60" xfId="0" applyFont="1" applyFill="1" applyBorder="1" applyAlignment="1">
      <alignment horizontal="center" vertical="center"/>
    </xf>
    <xf numFmtId="179" fontId="6" fillId="0" borderId="59" xfId="0" applyFont="1" applyBorder="1" applyAlignment="1">
      <alignment horizontal="center" vertical="center"/>
    </xf>
    <xf numFmtId="179" fontId="27" fillId="0" borderId="13" xfId="0" applyFont="1" applyBorder="1" applyAlignment="1" applyProtection="1">
      <protection locked="0"/>
    </xf>
    <xf numFmtId="176" fontId="27" fillId="12" borderId="44" xfId="0" applyNumberFormat="1" applyFont="1" applyFill="1" applyBorder="1">
      <alignment vertical="center"/>
    </xf>
    <xf numFmtId="0" fontId="27" fillId="0" borderId="1" xfId="0" applyNumberFormat="1" applyFont="1" applyBorder="1" applyAlignment="1" applyProtection="1">
      <alignment horizontal="left"/>
      <protection locked="0"/>
    </xf>
    <xf numFmtId="179" fontId="27" fillId="12" borderId="24" xfId="2" applyFont="1" applyFill="1" applyBorder="1" applyAlignment="1">
      <alignment horizontal="left"/>
    </xf>
    <xf numFmtId="1" fontId="27" fillId="12" borderId="20" xfId="2" applyNumberFormat="1" applyFont="1" applyFill="1" applyBorder="1" applyAlignment="1">
      <alignment horizontal="center"/>
    </xf>
    <xf numFmtId="179" fontId="27" fillId="12" borderId="39" xfId="0" applyFont="1" applyFill="1" applyBorder="1">
      <alignment vertical="center"/>
    </xf>
    <xf numFmtId="179" fontId="27" fillId="0" borderId="190" xfId="0" applyFont="1" applyBorder="1" applyAlignment="1" applyProtection="1">
      <protection locked="0"/>
    </xf>
    <xf numFmtId="38" fontId="25" fillId="12" borderId="20" xfId="0" applyNumberFormat="1" applyFont="1" applyFill="1" applyBorder="1" applyAlignment="1">
      <alignment horizontal="right" vertical="center"/>
    </xf>
    <xf numFmtId="179" fontId="6" fillId="0" borderId="213" xfId="0" applyFont="1" applyBorder="1">
      <alignment vertical="center"/>
    </xf>
    <xf numFmtId="179" fontId="25" fillId="0" borderId="20" xfId="0" applyFont="1" applyBorder="1">
      <alignment vertical="center"/>
    </xf>
    <xf numFmtId="181" fontId="25" fillId="12" borderId="20" xfId="0" applyNumberFormat="1" applyFont="1" applyFill="1" applyBorder="1">
      <alignment vertical="center"/>
    </xf>
    <xf numFmtId="179" fontId="25" fillId="12" borderId="198" xfId="0" applyFont="1" applyFill="1" applyBorder="1">
      <alignment vertical="center"/>
    </xf>
    <xf numFmtId="179" fontId="25" fillId="12" borderId="20" xfId="0" applyFont="1" applyFill="1" applyBorder="1">
      <alignment vertical="center"/>
    </xf>
    <xf numFmtId="181" fontId="29" fillId="12" borderId="25" xfId="0" applyNumberFormat="1" applyFont="1" applyFill="1" applyBorder="1">
      <alignment vertical="center"/>
    </xf>
    <xf numFmtId="179" fontId="25" fillId="12" borderId="13" xfId="0" applyFont="1" applyFill="1" applyBorder="1" applyAlignment="1">
      <alignment horizontal="center" vertical="center"/>
    </xf>
    <xf numFmtId="179" fontId="25" fillId="12" borderId="13" xfId="0" applyFont="1" applyFill="1" applyBorder="1">
      <alignment vertical="center"/>
    </xf>
    <xf numFmtId="179" fontId="25" fillId="12" borderId="51" xfId="0" quotePrefix="1" applyFont="1" applyFill="1" applyBorder="1" applyAlignment="1">
      <alignment horizontal="center" vertical="center"/>
    </xf>
    <xf numFmtId="179" fontId="25" fillId="12" borderId="79" xfId="0" applyFont="1" applyFill="1" applyBorder="1" applyProtection="1">
      <alignment vertical="center"/>
      <protection locked="0"/>
    </xf>
    <xf numFmtId="179" fontId="25" fillId="12" borderId="24" xfId="0" applyFont="1" applyFill="1" applyBorder="1" applyAlignment="1">
      <alignment horizontal="left" vertical="center"/>
    </xf>
    <xf numFmtId="2" fontId="25" fillId="12" borderId="20" xfId="0" applyNumberFormat="1" applyFont="1" applyFill="1" applyBorder="1" applyAlignment="1">
      <alignment horizontal="center" vertical="center"/>
    </xf>
    <xf numFmtId="176" fontId="25" fillId="12" borderId="25" xfId="0" applyNumberFormat="1" applyFont="1" applyFill="1" applyBorder="1">
      <alignment vertical="center"/>
    </xf>
    <xf numFmtId="176" fontId="25" fillId="12" borderId="79" xfId="0" applyNumberFormat="1" applyFont="1" applyFill="1" applyBorder="1" applyAlignment="1">
      <alignment horizontal="center" vertical="center"/>
    </xf>
    <xf numFmtId="176" fontId="25" fillId="12" borderId="208" xfId="0" applyNumberFormat="1" applyFont="1" applyFill="1" applyBorder="1" applyAlignment="1">
      <alignment horizontal="center" vertical="center"/>
    </xf>
    <xf numFmtId="176" fontId="25" fillId="12" borderId="20" xfId="0" applyNumberFormat="1" applyFont="1" applyFill="1" applyBorder="1" applyAlignment="1">
      <alignment horizontal="center" vertical="center"/>
    </xf>
    <xf numFmtId="176" fontId="25" fillId="2" borderId="20" xfId="0" applyNumberFormat="1" applyFont="1" applyFill="1" applyBorder="1" applyAlignment="1">
      <alignment horizontal="center" vertical="center"/>
    </xf>
    <xf numFmtId="176" fontId="25" fillId="12" borderId="24" xfId="0" applyNumberFormat="1" applyFont="1" applyFill="1" applyBorder="1" applyAlignment="1">
      <alignment horizontal="center" vertical="center"/>
    </xf>
    <xf numFmtId="179" fontId="25" fillId="12" borderId="20" xfId="0" applyFont="1" applyFill="1" applyBorder="1" applyAlignment="1">
      <alignment horizontal="center" vertical="center"/>
    </xf>
    <xf numFmtId="179" fontId="25" fillId="2" borderId="20" xfId="0" applyFont="1" applyFill="1" applyBorder="1" applyAlignment="1">
      <alignment horizontal="center" vertical="center"/>
    </xf>
    <xf numFmtId="38" fontId="25" fillId="12" borderId="24" xfId="0" applyNumberFormat="1" applyFont="1" applyFill="1" applyBorder="1" applyAlignment="1">
      <alignment horizontal="right" vertical="center"/>
    </xf>
    <xf numFmtId="181" fontId="25" fillId="12" borderId="25" xfId="0" applyNumberFormat="1" applyFont="1" applyFill="1" applyBorder="1">
      <alignment vertical="center"/>
    </xf>
    <xf numFmtId="38" fontId="6" fillId="12" borderId="22" xfId="0" applyNumberFormat="1" applyFont="1" applyFill="1" applyBorder="1" applyAlignment="1">
      <alignment horizontal="right" vertical="center"/>
    </xf>
    <xf numFmtId="38" fontId="6" fillId="12" borderId="42" xfId="0" applyNumberFormat="1" applyFont="1" applyFill="1" applyBorder="1" applyAlignment="1">
      <alignment horizontal="right" vertical="center"/>
    </xf>
    <xf numFmtId="3" fontId="25" fillId="12" borderId="42" xfId="0" applyNumberFormat="1" applyFont="1" applyFill="1" applyBorder="1">
      <alignment vertical="center"/>
    </xf>
    <xf numFmtId="3" fontId="25" fillId="12" borderId="84" xfId="0" applyNumberFormat="1" applyFont="1" applyFill="1" applyBorder="1">
      <alignment vertical="center"/>
    </xf>
    <xf numFmtId="3" fontId="25" fillId="12" borderId="42" xfId="2" applyNumberFormat="1" applyFont="1" applyFill="1" applyBorder="1"/>
    <xf numFmtId="1" fontId="6" fillId="12" borderId="8" xfId="0" applyNumberFormat="1" applyFont="1" applyFill="1" applyBorder="1" applyAlignment="1">
      <alignment horizontal="center" vertical="center"/>
    </xf>
    <xf numFmtId="181" fontId="18" fillId="12" borderId="73" xfId="0" applyNumberFormat="1" applyFont="1" applyFill="1" applyBorder="1">
      <alignment vertical="center"/>
    </xf>
    <xf numFmtId="179" fontId="6" fillId="4" borderId="13" xfId="0" applyFont="1" applyFill="1" applyBorder="1">
      <alignment vertical="center"/>
    </xf>
    <xf numFmtId="179" fontId="6" fillId="4" borderId="14" xfId="0" applyFont="1" applyFill="1" applyBorder="1">
      <alignment vertical="center"/>
    </xf>
    <xf numFmtId="179" fontId="6" fillId="4" borderId="13" xfId="0" applyFont="1" applyFill="1" applyBorder="1" applyAlignment="1">
      <alignment horizontal="center" vertical="center"/>
    </xf>
    <xf numFmtId="179" fontId="6" fillId="4" borderId="14" xfId="0" applyFont="1" applyFill="1" applyBorder="1" applyAlignment="1">
      <alignment horizontal="center" vertical="center"/>
    </xf>
    <xf numFmtId="179" fontId="6" fillId="0" borderId="13" xfId="0" applyFont="1" applyBorder="1" applyAlignment="1">
      <alignment horizontal="center" vertical="center"/>
    </xf>
    <xf numFmtId="179" fontId="6" fillId="0" borderId="14" xfId="0" applyFont="1" applyBorder="1" applyAlignment="1">
      <alignment horizontal="center" vertical="center"/>
    </xf>
    <xf numFmtId="179" fontId="6" fillId="4" borderId="12" xfId="0" applyFont="1" applyFill="1" applyBorder="1" applyAlignment="1">
      <alignment horizontal="left" vertical="center"/>
    </xf>
    <xf numFmtId="179" fontId="6" fillId="4" borderId="13" xfId="0" applyFont="1" applyFill="1" applyBorder="1" applyAlignment="1">
      <alignment horizontal="left" vertical="center"/>
    </xf>
    <xf numFmtId="179" fontId="6" fillId="4" borderId="14" xfId="0" applyFont="1" applyFill="1" applyBorder="1" applyAlignment="1">
      <alignment horizontal="left" vertical="center"/>
    </xf>
    <xf numFmtId="179" fontId="6" fillId="0" borderId="131" xfId="0" applyFont="1" applyBorder="1" applyAlignment="1">
      <alignment horizontal="center" vertical="center"/>
    </xf>
    <xf numFmtId="179" fontId="6" fillId="0" borderId="132" xfId="0" applyFont="1" applyBorder="1" applyAlignment="1">
      <alignment horizontal="center" vertical="center"/>
    </xf>
    <xf numFmtId="179" fontId="6" fillId="4" borderId="12" xfId="0" applyFont="1" applyFill="1" applyBorder="1" applyAlignment="1">
      <alignment horizontal="center" vertical="center"/>
    </xf>
    <xf numFmtId="179" fontId="6" fillId="0" borderId="12" xfId="0" applyFont="1" applyBorder="1" applyAlignment="1">
      <alignment horizontal="center" vertical="center"/>
    </xf>
    <xf numFmtId="179" fontId="6" fillId="0" borderId="13" xfId="0" applyFont="1" applyBorder="1">
      <alignment vertical="center"/>
    </xf>
    <xf numFmtId="179" fontId="6" fillId="4" borderId="60" xfId="0" applyFont="1" applyFill="1" applyBorder="1">
      <alignment vertical="center"/>
    </xf>
    <xf numFmtId="179" fontId="6" fillId="4" borderId="61" xfId="0" applyFont="1" applyFill="1" applyBorder="1">
      <alignment vertical="center"/>
    </xf>
    <xf numFmtId="179" fontId="6" fillId="4" borderId="11" xfId="0" applyFont="1" applyFill="1" applyBorder="1">
      <alignment vertical="center"/>
    </xf>
    <xf numFmtId="179" fontId="6" fillId="4" borderId="11" xfId="0" applyFont="1" applyFill="1" applyBorder="1" applyAlignment="1">
      <alignment horizontal="center" vertical="center"/>
    </xf>
    <xf numFmtId="179" fontId="6" fillId="0" borderId="11" xfId="0" applyFont="1" applyBorder="1" applyAlignment="1">
      <alignment horizontal="center" vertical="center"/>
    </xf>
    <xf numFmtId="179" fontId="6" fillId="5" borderId="12" xfId="0" applyFont="1" applyFill="1" applyBorder="1" applyAlignment="1">
      <alignment horizontal="center" vertical="center"/>
    </xf>
    <xf numFmtId="179" fontId="6" fillId="5" borderId="13" xfId="0" applyFont="1" applyFill="1" applyBorder="1" applyAlignment="1">
      <alignment horizontal="center" vertical="center"/>
    </xf>
    <xf numFmtId="179" fontId="6" fillId="5" borderId="14" xfId="0" applyFont="1" applyFill="1" applyBorder="1" applyAlignment="1">
      <alignment horizontal="center" vertical="center"/>
    </xf>
    <xf numFmtId="179" fontId="6" fillId="7" borderId="13" xfId="0" applyFont="1" applyFill="1" applyBorder="1">
      <alignment vertical="center"/>
    </xf>
    <xf numFmtId="179" fontId="6" fillId="7" borderId="14" xfId="0" applyFont="1" applyFill="1" applyBorder="1">
      <alignment vertical="center"/>
    </xf>
    <xf numFmtId="179" fontId="6" fillId="7" borderId="13" xfId="0" applyFont="1" applyFill="1" applyBorder="1" applyAlignment="1">
      <alignment horizontal="center" vertical="center" wrapText="1"/>
    </xf>
    <xf numFmtId="179" fontId="6" fillId="7" borderId="14" xfId="0" applyFont="1" applyFill="1" applyBorder="1" applyAlignment="1">
      <alignment horizontal="center" vertical="center" wrapText="1"/>
    </xf>
    <xf numFmtId="179" fontId="6" fillId="5" borderId="13" xfId="0" applyFont="1" applyFill="1" applyBorder="1">
      <alignment vertical="center"/>
    </xf>
    <xf numFmtId="179" fontId="6" fillId="0" borderId="13" xfId="0" applyFont="1" applyBorder="1" applyAlignment="1">
      <alignment horizontal="center" vertical="center" wrapText="1"/>
    </xf>
    <xf numFmtId="179" fontId="6" fillId="0" borderId="14" xfId="0" applyFont="1" applyBorder="1" applyAlignment="1">
      <alignment horizontal="center" vertical="center" wrapText="1"/>
    </xf>
    <xf numFmtId="179" fontId="6" fillId="5" borderId="12" xfId="0" applyFont="1" applyFill="1" applyBorder="1">
      <alignment vertical="center"/>
    </xf>
    <xf numFmtId="179" fontId="6" fillId="5" borderId="14" xfId="0" applyFont="1" applyFill="1" applyBorder="1">
      <alignment vertical="center"/>
    </xf>
    <xf numFmtId="180" fontId="6" fillId="0" borderId="12" xfId="0" applyNumberFormat="1" applyFont="1" applyBorder="1" applyAlignment="1">
      <alignment horizontal="center" vertical="center"/>
    </xf>
    <xf numFmtId="180" fontId="6" fillId="0" borderId="13" xfId="0" applyNumberFormat="1" applyFont="1" applyBorder="1" applyAlignment="1">
      <alignment horizontal="center" vertical="center"/>
    </xf>
    <xf numFmtId="180" fontId="6" fillId="0" borderId="14" xfId="0" applyNumberFormat="1" applyFont="1" applyBorder="1" applyAlignment="1">
      <alignment horizontal="center" vertical="center"/>
    </xf>
    <xf numFmtId="179" fontId="6" fillId="5" borderId="5" xfId="0" applyFont="1" applyFill="1" applyBorder="1">
      <alignment vertical="center"/>
    </xf>
    <xf numFmtId="179" fontId="6" fillId="5" borderId="60" xfId="0" applyFont="1" applyFill="1" applyBorder="1">
      <alignment vertical="center"/>
    </xf>
    <xf numFmtId="179" fontId="6" fillId="5" borderId="61" xfId="0" applyFont="1" applyFill="1" applyBorder="1">
      <alignment vertical="center"/>
    </xf>
    <xf numFmtId="180" fontId="6" fillId="0" borderId="210" xfId="0" quotePrefix="1" applyNumberFormat="1" applyFont="1" applyBorder="1" applyAlignment="1">
      <alignment horizontal="center" vertical="center"/>
    </xf>
    <xf numFmtId="180" fontId="6" fillId="0" borderId="110" xfId="0" applyNumberFormat="1" applyFont="1" applyBorder="1" applyAlignment="1">
      <alignment horizontal="center" vertical="center"/>
    </xf>
    <xf numFmtId="180" fontId="6" fillId="0" borderId="111" xfId="0" applyNumberFormat="1" applyFont="1" applyBorder="1" applyAlignment="1">
      <alignment horizontal="center" vertical="center"/>
    </xf>
    <xf numFmtId="0" fontId="0" fillId="0" borderId="11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9" fontId="0" fillId="0" borderId="114" xfId="0" applyBorder="1" applyAlignment="1">
      <alignment horizontal="left" vertical="center" wrapText="1"/>
    </xf>
    <xf numFmtId="179" fontId="0" fillId="0" borderId="0" xfId="0" applyAlignment="1">
      <alignment horizontal="left" vertical="center" wrapText="1"/>
    </xf>
    <xf numFmtId="179" fontId="1" fillId="0" borderId="113" xfId="0" applyFont="1" applyBorder="1" applyAlignment="1">
      <alignment horizontal="left" vertical="center" wrapText="1"/>
    </xf>
    <xf numFmtId="179" fontId="1" fillId="0" borderId="16" xfId="0" applyFont="1" applyBorder="1" applyAlignment="1">
      <alignment horizontal="left" vertical="center" wrapText="1"/>
    </xf>
    <xf numFmtId="179" fontId="6" fillId="0" borderId="15" xfId="0" applyFont="1" applyBorder="1" applyAlignment="1">
      <alignment horizontal="left" vertical="center"/>
    </xf>
    <xf numFmtId="179" fontId="6" fillId="0" borderId="17" xfId="0" applyFont="1" applyBorder="1" applyAlignment="1">
      <alignment horizontal="center" vertical="center" wrapText="1" readingOrder="1"/>
    </xf>
    <xf numFmtId="179" fontId="6" fillId="0" borderId="19" xfId="0" applyFont="1" applyBorder="1" applyAlignment="1">
      <alignment horizontal="center" vertical="center" wrapText="1" readingOrder="1"/>
    </xf>
    <xf numFmtId="179" fontId="6" fillId="0" borderId="18" xfId="0" applyFont="1" applyBorder="1" applyAlignment="1">
      <alignment horizontal="center" vertical="center" wrapText="1" readingOrder="1"/>
    </xf>
    <xf numFmtId="179" fontId="6" fillId="0" borderId="17" xfId="0" applyFont="1" applyBorder="1" applyAlignment="1">
      <alignment horizontal="center" vertical="center" wrapText="1"/>
    </xf>
    <xf numFmtId="179" fontId="6" fillId="0" borderId="19" xfId="0" applyFont="1" applyBorder="1" applyAlignment="1">
      <alignment horizontal="center" vertical="center" wrapText="1"/>
    </xf>
    <xf numFmtId="179" fontId="6" fillId="0" borderId="17" xfId="0" applyFont="1" applyBorder="1" applyAlignment="1">
      <alignment horizontal="center" vertical="center" readingOrder="1"/>
    </xf>
    <xf numFmtId="179" fontId="6" fillId="0" borderId="19" xfId="0" applyFont="1" applyBorder="1" applyAlignment="1">
      <alignment horizontal="center" vertical="center" readingOrder="1"/>
    </xf>
    <xf numFmtId="179" fontId="6" fillId="0" borderId="18" xfId="0" applyFont="1" applyBorder="1" applyAlignment="1">
      <alignment horizontal="center" vertical="center" readingOrder="1"/>
    </xf>
  </cellXfs>
  <cellStyles count="17">
    <cellStyle name="Currency 2" xfId="5" xr:uid="{00000000-0005-0000-0000-000000000000}"/>
    <cellStyle name="Normal 2" xfId="15" xr:uid="{39315577-8D18-4789-B177-26615EB16848}"/>
    <cellStyle name="Normal 2 3" xfId="10" xr:uid="{00000000-0005-0000-0000-000001000000}"/>
    <cellStyle name="Normal 3 4" xfId="8" xr:uid="{00000000-0005-0000-0000-000002000000}"/>
    <cellStyle name="Normal 4" xfId="9" xr:uid="{00000000-0005-0000-0000-000003000000}"/>
    <cellStyle name="一般" xfId="0" builtinId="0"/>
    <cellStyle name="一般 2" xfId="3" xr:uid="{00000000-0005-0000-0000-000005000000}"/>
    <cellStyle name="一般 2 4" xfId="4" xr:uid="{00000000-0005-0000-0000-000006000000}"/>
    <cellStyle name="一般 3" xfId="6" xr:uid="{00000000-0005-0000-0000-000007000000}"/>
    <cellStyle name="一般 3 2" xfId="13" xr:uid="{6455203D-E008-4F86-B49E-06CA96FAF8B4}"/>
    <cellStyle name="一般_Rebate summary - 20150318 工作檔" xfId="2" xr:uid="{00000000-0005-0000-0000-000008000000}"/>
    <cellStyle name="千分位" xfId="1" builtinId="3"/>
    <cellStyle name="千分位 2" xfId="12" xr:uid="{FD450A7B-81FA-4C6D-BA5E-A653554AB187}"/>
    <cellStyle name="千分位 3" xfId="7" xr:uid="{00000000-0005-0000-0000-00000A000000}"/>
    <cellStyle name="千分位 3 2" xfId="14" xr:uid="{E011D952-04B7-4256-988D-3EA88E62F1FA}"/>
    <cellStyle name="貨幣" xfId="11" builtinId="4"/>
    <cellStyle name="貨幣 2" xfId="16" xr:uid="{B4254240-31A9-43AB-876A-79E098FC994F}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33FF"/>
      <color rgb="FFFF0000"/>
      <color rgb="FFFFFF99"/>
      <color rgb="FFFFFFCC"/>
      <color rgb="FFCC66FF"/>
      <color rgb="FFCCFFFF"/>
      <color rgb="FFCCFFCC"/>
      <color rgb="FF00CC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4972051</xdr:colOff>
      <xdr:row>14</xdr:row>
      <xdr:rowOff>1673225</xdr:rowOff>
    </xdr:from>
    <xdr:to>
      <xdr:col>2</xdr:col>
      <xdr:colOff>7039395</xdr:colOff>
      <xdr:row>14</xdr:row>
      <xdr:rowOff>2057428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FA4BB9-F945-4C2D-B9DC-ADA0EC9A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1" y="5153025"/>
          <a:ext cx="2064804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7851392</xdr:colOff>
      <xdr:row>14</xdr:row>
      <xdr:rowOff>2733095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8F797-274B-414F-8A8D-C6D3DC43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2250" y="5529574"/>
          <a:ext cx="3137152" cy="69030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463550</xdr:colOff>
          <xdr:row>11</xdr:row>
          <xdr:rowOff>647700</xdr:rowOff>
        </xdr:from>
        <xdr:to>
          <xdr:col>1</xdr:col>
          <xdr:colOff>850900</xdr:colOff>
          <xdr:row>14</xdr:row>
          <xdr:rowOff>107950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1873250</xdr:colOff>
          <xdr:row>11</xdr:row>
          <xdr:rowOff>641350</xdr:rowOff>
        </xdr:from>
        <xdr:to>
          <xdr:col>1</xdr:col>
          <xdr:colOff>2241550</xdr:colOff>
          <xdr:row>14</xdr:row>
          <xdr:rowOff>101600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9</xdr:row>
          <xdr:rowOff>190500</xdr:rowOff>
        </xdr:from>
        <xdr:to>
          <xdr:col>1</xdr:col>
          <xdr:colOff>3422650</xdr:colOff>
          <xdr:row>11</xdr:row>
          <xdr:rowOff>304800</xdr:rowOff>
        </xdr:to>
        <xdr:sp macro="" textlink="">
          <xdr:nvSpPr>
            <xdr:cNvPr id="10244" name="Object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opLeftCell="A21" zoomScale="73" workbookViewId="0">
      <selection activeCell="F15" sqref="F15"/>
    </sheetView>
  </sheetViews>
  <sheetFormatPr defaultRowHeight="17"/>
  <cols>
    <col min="1" max="1" width="8.81640625" style="212"/>
    <col min="2" max="2" width="46.1796875" customWidth="1"/>
    <col min="3" max="3" width="114.36328125" customWidth="1"/>
    <col min="4" max="4" width="5.08984375" customWidth="1"/>
    <col min="6" max="6" width="22.1796875" bestFit="1" customWidth="1"/>
  </cols>
  <sheetData>
    <row r="1" spans="1:3">
      <c r="A1" s="209" t="s">
        <v>0</v>
      </c>
      <c r="B1" s="210" t="s">
        <v>1</v>
      </c>
      <c r="C1" s="211" t="s">
        <v>2</v>
      </c>
    </row>
    <row r="2" spans="1:3">
      <c r="A2" s="212">
        <v>1</v>
      </c>
      <c r="B2" s="213" t="s">
        <v>3</v>
      </c>
      <c r="C2" s="295"/>
    </row>
    <row r="3" spans="1:3">
      <c r="A3" s="212">
        <v>2</v>
      </c>
      <c r="B3" s="213" t="s">
        <v>4</v>
      </c>
      <c r="C3" s="295"/>
    </row>
    <row r="4" spans="1:3">
      <c r="A4" s="214">
        <v>3</v>
      </c>
      <c r="B4" s="296" t="s">
        <v>5</v>
      </c>
      <c r="C4" s="215"/>
    </row>
    <row r="5" spans="1:3">
      <c r="A5" s="1037">
        <v>4</v>
      </c>
      <c r="B5" s="1039" t="s">
        <v>6</v>
      </c>
      <c r="C5" s="297" t="s">
        <v>7</v>
      </c>
    </row>
    <row r="6" spans="1:3">
      <c r="A6" s="1038"/>
      <c r="B6" s="1040"/>
      <c r="C6" s="295" t="s">
        <v>8</v>
      </c>
    </row>
    <row r="7" spans="1:3">
      <c r="A7" s="1038"/>
      <c r="B7" s="1040"/>
      <c r="C7" s="295" t="s">
        <v>9</v>
      </c>
    </row>
    <row r="8" spans="1:3">
      <c r="A8" s="1038"/>
      <c r="B8" s="1040"/>
      <c r="C8" s="295" t="s">
        <v>10</v>
      </c>
    </row>
    <row r="9" spans="1:3">
      <c r="A9" s="1038"/>
      <c r="B9" s="1040"/>
      <c r="C9" s="295" t="s">
        <v>11</v>
      </c>
    </row>
    <row r="10" spans="1:3">
      <c r="A10" s="1038"/>
      <c r="B10" s="1040"/>
      <c r="C10" s="295" t="s">
        <v>12</v>
      </c>
    </row>
    <row r="11" spans="1:3">
      <c r="A11" s="1038"/>
      <c r="B11" s="1040"/>
      <c r="C11" s="295" t="s">
        <v>13</v>
      </c>
    </row>
    <row r="12" spans="1:3" ht="87">
      <c r="A12" s="1038"/>
      <c r="B12" s="1040"/>
      <c r="C12" s="294" t="s">
        <v>14</v>
      </c>
    </row>
    <row r="13" spans="1:3">
      <c r="A13" s="1038"/>
      <c r="B13" s="1040"/>
      <c r="C13" s="295" t="s">
        <v>15</v>
      </c>
    </row>
    <row r="14" spans="1:3">
      <c r="A14" s="1038"/>
      <c r="B14" s="1040"/>
      <c r="C14" s="295" t="s">
        <v>16</v>
      </c>
    </row>
    <row r="15" spans="1:3" ht="241.4" customHeight="1">
      <c r="A15" s="1038"/>
      <c r="B15" s="1040"/>
      <c r="C15" s="294" t="s">
        <v>17</v>
      </c>
    </row>
    <row r="16" spans="1:3">
      <c r="A16" s="1038"/>
      <c r="B16" s="1040"/>
      <c r="C16" s="295" t="s">
        <v>18</v>
      </c>
    </row>
    <row r="17" spans="1:3" ht="29">
      <c r="A17" s="1038"/>
      <c r="B17" s="1040"/>
      <c r="C17" s="294" t="s">
        <v>19</v>
      </c>
    </row>
    <row r="18" spans="1:3">
      <c r="A18" s="1038"/>
      <c r="B18" s="1040"/>
      <c r="C18" s="295" t="s">
        <v>20</v>
      </c>
    </row>
    <row r="19" spans="1:3">
      <c r="A19" s="1038"/>
      <c r="B19" s="1040"/>
      <c r="C19" s="295" t="s">
        <v>21</v>
      </c>
    </row>
    <row r="20" spans="1:3">
      <c r="A20" s="1038"/>
      <c r="B20" s="1040"/>
      <c r="C20" s="295" t="s">
        <v>22</v>
      </c>
    </row>
    <row r="21" spans="1:3">
      <c r="A21" s="1038"/>
      <c r="B21" s="1040"/>
      <c r="C21" s="295" t="s">
        <v>23</v>
      </c>
    </row>
    <row r="22" spans="1:3" ht="29">
      <c r="A22" s="1038"/>
      <c r="B22" s="1040"/>
      <c r="C22" s="294" t="s">
        <v>24</v>
      </c>
    </row>
    <row r="23" spans="1:3">
      <c r="A23" s="214">
        <v>5</v>
      </c>
      <c r="B23" s="296" t="s">
        <v>25</v>
      </c>
      <c r="C23" s="215"/>
    </row>
    <row r="24" spans="1:3" ht="20.149999999999999" customHeight="1">
      <c r="A24" s="214">
        <v>6</v>
      </c>
      <c r="B24" s="1041" t="s">
        <v>26</v>
      </c>
      <c r="C24" s="1042"/>
    </row>
    <row r="25" spans="1:3">
      <c r="A25" s="214">
        <v>7</v>
      </c>
      <c r="B25" s="296" t="s">
        <v>27</v>
      </c>
      <c r="C25" s="215"/>
    </row>
    <row r="26" spans="1:3">
      <c r="A26" s="214">
        <v>8</v>
      </c>
      <c r="B26" s="296" t="s">
        <v>28</v>
      </c>
      <c r="C26" s="215"/>
    </row>
    <row r="27" spans="1:3">
      <c r="A27" s="216">
        <v>9</v>
      </c>
      <c r="B27" s="298" t="s">
        <v>29</v>
      </c>
      <c r="C27" s="215"/>
    </row>
    <row r="28" spans="1:3">
      <c r="B28" s="299"/>
    </row>
    <row r="29" spans="1:3">
      <c r="B29" s="299"/>
    </row>
    <row r="30" spans="1:3">
      <c r="B30" s="299"/>
    </row>
    <row r="31" spans="1:3">
      <c r="B31" s="299"/>
    </row>
    <row r="32" spans="1:3">
      <c r="B32" s="299"/>
    </row>
    <row r="33" spans="2:2">
      <c r="B33" s="299"/>
    </row>
    <row r="34" spans="2:2">
      <c r="B34" s="299"/>
    </row>
    <row r="35" spans="2:2">
      <c r="B35" s="299"/>
    </row>
    <row r="36" spans="2:2">
      <c r="B36" s="299"/>
    </row>
    <row r="37" spans="2:2">
      <c r="B37" s="299"/>
    </row>
    <row r="39" spans="2:2">
      <c r="B39" s="21"/>
    </row>
    <row r="40" spans="2:2">
      <c r="B40" s="21"/>
    </row>
    <row r="41" spans="2:2">
      <c r="B41" s="21"/>
    </row>
    <row r="42" spans="2:2">
      <c r="B42" s="299"/>
    </row>
    <row r="47" spans="2:2">
      <c r="B47" s="299"/>
    </row>
    <row r="48" spans="2:2">
      <c r="B48" s="299"/>
    </row>
    <row r="49" spans="1:4">
      <c r="B49" s="299"/>
    </row>
    <row r="50" spans="1:4">
      <c r="B50" s="12"/>
    </row>
    <row r="51" spans="1:4">
      <c r="B51" s="11"/>
    </row>
    <row r="52" spans="1:4">
      <c r="B52" s="11"/>
    </row>
    <row r="53" spans="1:4">
      <c r="A53" s="217"/>
      <c r="B53" s="11"/>
      <c r="C53" s="11"/>
      <c r="D53" s="11"/>
    </row>
  </sheetData>
  <mergeCells count="3">
    <mergeCell ref="A5:A22"/>
    <mergeCell ref="B5:B22"/>
    <mergeCell ref="B24:C24"/>
  </mergeCells>
  <phoneticPr fontId="4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41" r:id="rId4">
          <objectPr defaultSize="0" r:id="rId5">
            <anchor moveWithCells="1">
              <from>
                <xdr:col>1</xdr:col>
                <xdr:colOff>463550</xdr:colOff>
                <xdr:row>11</xdr:row>
                <xdr:rowOff>647700</xdr:rowOff>
              </from>
              <to>
                <xdr:col>1</xdr:col>
                <xdr:colOff>850900</xdr:colOff>
                <xdr:row>14</xdr:row>
                <xdr:rowOff>107950</xdr:rowOff>
              </to>
            </anchor>
          </objectPr>
        </oleObject>
      </mc:Choice>
      <mc:Fallback>
        <oleObject progId="Worksheet" dvAspect="DVASPECT_ICON" shapeId="10241" r:id="rId4"/>
      </mc:Fallback>
    </mc:AlternateContent>
    <mc:AlternateContent xmlns:mc="http://schemas.openxmlformats.org/markup-compatibility/2006">
      <mc:Choice Requires="x14">
        <oleObject progId="Worksheet" dvAspect="DVASPECT_ICON" shapeId="10242" r:id="rId6">
          <objectPr defaultSize="0" r:id="rId7">
            <anchor moveWithCells="1">
              <from>
                <xdr:col>1</xdr:col>
                <xdr:colOff>1873250</xdr:colOff>
                <xdr:row>11</xdr:row>
                <xdr:rowOff>641350</xdr:rowOff>
              </from>
              <to>
                <xdr:col>1</xdr:col>
                <xdr:colOff>2241550</xdr:colOff>
                <xdr:row>14</xdr:row>
                <xdr:rowOff>101600</xdr:rowOff>
              </to>
            </anchor>
          </objectPr>
        </oleObject>
      </mc:Choice>
      <mc:Fallback>
        <oleObject progId="Worksheet" dvAspect="DVASPECT_ICON" shapeId="10242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44" r:id="rId8">
          <objectPr defaultSize="0" autoPict="0" r:id="rId9">
            <anchor moveWithCells="1">
              <from>
                <xdr:col>1</xdr:col>
                <xdr:colOff>165100</xdr:colOff>
                <xdr:row>9</xdr:row>
                <xdr:rowOff>190500</xdr:rowOff>
              </from>
              <to>
                <xdr:col>1</xdr:col>
                <xdr:colOff>3422650</xdr:colOff>
                <xdr:row>11</xdr:row>
                <xdr:rowOff>304800</xdr:rowOff>
              </to>
            </anchor>
          </objectPr>
        </oleObject>
      </mc:Choice>
      <mc:Fallback>
        <oleObject progId="Packager Shell Object" dvAspect="DVASPECT_ICON" shapeId="10244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7129-2690-4F33-81A5-2CAD734634B9}">
  <dimension ref="B2:H28"/>
  <sheetViews>
    <sheetView zoomScale="75" zoomScaleNormal="75" workbookViewId="0">
      <selection activeCell="G30" sqref="G30"/>
    </sheetView>
  </sheetViews>
  <sheetFormatPr defaultRowHeight="17"/>
  <cols>
    <col min="2" max="2" width="16.6328125" customWidth="1"/>
    <col min="3" max="5" width="15.1796875" customWidth="1"/>
    <col min="6" max="6" width="18.1796875" customWidth="1"/>
  </cols>
  <sheetData>
    <row r="2" spans="2:8" ht="17.5" thickBot="1"/>
    <row r="3" spans="2:8" ht="17.5" thickBot="1">
      <c r="B3" s="19" t="s">
        <v>30</v>
      </c>
      <c r="C3" s="14" t="s">
        <v>367</v>
      </c>
      <c r="D3" s="14" t="s">
        <v>368</v>
      </c>
      <c r="E3" s="15" t="s">
        <v>369</v>
      </c>
      <c r="F3" s="14" t="s">
        <v>31</v>
      </c>
      <c r="H3" s="20"/>
    </row>
    <row r="4" spans="2:8" ht="17.5" thickBot="1">
      <c r="B4" s="13" t="s">
        <v>32</v>
      </c>
      <c r="C4" s="14">
        <f>'FY26'!AM1</f>
        <v>382332.68000000011</v>
      </c>
      <c r="D4" s="14">
        <f>'FY26'!AO1</f>
        <v>353760.81000000006</v>
      </c>
      <c r="E4" s="15">
        <f>'FY26'!AQ1</f>
        <v>247777.10000000015</v>
      </c>
      <c r="F4" s="14">
        <f>SUM(C4:E4)</f>
        <v>983870.59000000032</v>
      </c>
    </row>
    <row r="5" spans="2:8" ht="17.5" thickBot="1">
      <c r="B5" s="13" t="s">
        <v>33</v>
      </c>
      <c r="C5" s="14">
        <v>0</v>
      </c>
      <c r="D5" s="14">
        <v>0</v>
      </c>
      <c r="E5" s="15">
        <v>0</v>
      </c>
      <c r="F5" s="14">
        <f t="shared" ref="F5:F6" si="0">SUM(C5:E5)</f>
        <v>0</v>
      </c>
    </row>
    <row r="6" spans="2:8" ht="17.5" thickBot="1">
      <c r="B6" s="16" t="s">
        <v>34</v>
      </c>
      <c r="C6" s="17">
        <v>0</v>
      </c>
      <c r="D6" s="17">
        <v>0</v>
      </c>
      <c r="E6" s="18">
        <v>0</v>
      </c>
      <c r="F6" s="14">
        <f t="shared" si="0"/>
        <v>0</v>
      </c>
      <c r="H6" t="s">
        <v>35</v>
      </c>
    </row>
    <row r="7" spans="2:8" ht="17.5" thickBot="1">
      <c r="B7" s="13" t="s">
        <v>36</v>
      </c>
      <c r="C7" s="14">
        <f>SUM(C4:C6)</f>
        <v>382332.68000000011</v>
      </c>
      <c r="D7" s="14">
        <f t="shared" ref="D7:F7" si="1">SUM(D4:D6)</f>
        <v>353760.81000000006</v>
      </c>
      <c r="E7" s="14">
        <f t="shared" si="1"/>
        <v>247777.10000000015</v>
      </c>
      <c r="F7" s="14">
        <f t="shared" si="1"/>
        <v>983870.59000000032</v>
      </c>
    </row>
    <row r="8" spans="2:8">
      <c r="H8" t="s">
        <v>37</v>
      </c>
    </row>
    <row r="9" spans="2:8" ht="17.5" thickBot="1"/>
    <row r="10" spans="2:8" ht="17.5" thickBot="1">
      <c r="B10" s="19" t="s">
        <v>30</v>
      </c>
      <c r="C10" s="14" t="s">
        <v>370</v>
      </c>
      <c r="D10" s="14" t="s">
        <v>371</v>
      </c>
      <c r="E10" s="15" t="s">
        <v>372</v>
      </c>
      <c r="F10" s="14" t="s">
        <v>38</v>
      </c>
      <c r="H10" t="s">
        <v>39</v>
      </c>
    </row>
    <row r="11" spans="2:8" ht="17.5" thickBot="1">
      <c r="B11" s="13" t="s">
        <v>32</v>
      </c>
      <c r="C11" s="14">
        <f>'FY26'!AS1</f>
        <v>35221.639999999992</v>
      </c>
      <c r="D11" s="14">
        <f>'FY26'!AU1</f>
        <v>552986.00640000007</v>
      </c>
      <c r="E11" s="15">
        <f>'FY26'!AW1</f>
        <v>354896.53999999992</v>
      </c>
      <c r="F11" s="14">
        <f>SUM(C11:E11)</f>
        <v>943104.18640000001</v>
      </c>
    </row>
    <row r="12" spans="2:8" ht="17.5" thickBot="1">
      <c r="B12" s="13" t="s">
        <v>33</v>
      </c>
      <c r="C12" s="14">
        <v>0</v>
      </c>
      <c r="D12" s="14">
        <v>0</v>
      </c>
      <c r="E12" s="15">
        <v>0</v>
      </c>
      <c r="F12" s="14">
        <f t="shared" ref="F12:F13" si="2">SUM(C12:E12)</f>
        <v>0</v>
      </c>
      <c r="H12" t="s">
        <v>40</v>
      </c>
    </row>
    <row r="13" spans="2:8" ht="17.5" thickBot="1">
      <c r="B13" s="16" t="s">
        <v>34</v>
      </c>
      <c r="C13" s="17">
        <v>0</v>
      </c>
      <c r="D13" s="17">
        <v>0</v>
      </c>
      <c r="E13" s="18">
        <v>0</v>
      </c>
      <c r="F13" s="14">
        <f t="shared" si="2"/>
        <v>0</v>
      </c>
    </row>
    <row r="14" spans="2:8" ht="17.5" thickBot="1">
      <c r="B14" s="13" t="s">
        <v>36</v>
      </c>
      <c r="C14" s="14">
        <f>SUM(C11:C13)</f>
        <v>35221.639999999992</v>
      </c>
      <c r="D14" s="14">
        <f t="shared" ref="D14:F14" si="3">SUM(D11:D13)</f>
        <v>552986.00640000007</v>
      </c>
      <c r="E14" s="14">
        <f t="shared" si="3"/>
        <v>354896.53999999992</v>
      </c>
      <c r="F14" s="14">
        <f t="shared" si="3"/>
        <v>943104.18640000001</v>
      </c>
      <c r="H14" t="s">
        <v>365</v>
      </c>
    </row>
    <row r="15" spans="2:8">
      <c r="H15" t="s">
        <v>41</v>
      </c>
    </row>
    <row r="16" spans="2:8" ht="17.5" thickBot="1"/>
    <row r="17" spans="2:8" ht="17.5" thickBot="1">
      <c r="B17" s="19" t="s">
        <v>30</v>
      </c>
      <c r="C17" s="14" t="s">
        <v>373</v>
      </c>
      <c r="D17" s="14" t="s">
        <v>374</v>
      </c>
      <c r="E17" s="15" t="s">
        <v>375</v>
      </c>
      <c r="F17" s="14" t="s">
        <v>42</v>
      </c>
      <c r="H17" t="s">
        <v>43</v>
      </c>
    </row>
    <row r="18" spans="2:8" ht="17.5" thickBot="1">
      <c r="B18" s="13" t="s">
        <v>32</v>
      </c>
      <c r="C18" s="14">
        <f>'FY26'!AY1</f>
        <v>358883.55000000016</v>
      </c>
      <c r="D18" s="14">
        <f>'FY26'!BA1</f>
        <v>357298.5500000001</v>
      </c>
      <c r="E18" s="15">
        <f>'FY26'!BC1</f>
        <v>312037.98050113383</v>
      </c>
      <c r="F18" s="14">
        <f>SUM(C18:E18)</f>
        <v>1028220.0805011342</v>
      </c>
    </row>
    <row r="19" spans="2:8" ht="17.5" thickBot="1">
      <c r="B19" s="13" t="s">
        <v>33</v>
      </c>
      <c r="C19" s="14">
        <v>0</v>
      </c>
      <c r="D19" s="14">
        <v>0</v>
      </c>
      <c r="E19" s="15">
        <v>0</v>
      </c>
      <c r="F19" s="14">
        <f t="shared" ref="F19:F20" si="4">SUM(C19:E19)</f>
        <v>0</v>
      </c>
    </row>
    <row r="20" spans="2:8" ht="17.5" thickBot="1">
      <c r="B20" s="16" t="s">
        <v>366</v>
      </c>
      <c r="C20" s="17">
        <v>0</v>
      </c>
      <c r="D20" s="17">
        <v>0</v>
      </c>
      <c r="E20" s="352">
        <v>0</v>
      </c>
      <c r="F20" s="14">
        <f t="shared" si="4"/>
        <v>0</v>
      </c>
    </row>
    <row r="21" spans="2:8" ht="17.5" thickBot="1">
      <c r="B21" s="13" t="s">
        <v>36</v>
      </c>
      <c r="C21" s="14">
        <f>SUM(C18:C20)</f>
        <v>358883.55000000016</v>
      </c>
      <c r="D21" s="14">
        <f t="shared" ref="D21:F21" si="5">SUM(D18:D20)</f>
        <v>357298.5500000001</v>
      </c>
      <c r="E21" s="14">
        <f t="shared" si="5"/>
        <v>312037.98050113383</v>
      </c>
      <c r="F21" s="14">
        <f t="shared" si="5"/>
        <v>1028220.0805011342</v>
      </c>
    </row>
    <row r="23" spans="2:8" ht="17.5" thickBot="1"/>
    <row r="24" spans="2:8" ht="17.5" thickBot="1">
      <c r="B24" s="19" t="s">
        <v>30</v>
      </c>
      <c r="C24" s="14" t="s">
        <v>376</v>
      </c>
      <c r="D24" s="14" t="s">
        <v>377</v>
      </c>
      <c r="E24" s="15" t="s">
        <v>378</v>
      </c>
      <c r="F24" s="14" t="s">
        <v>44</v>
      </c>
    </row>
    <row r="25" spans="2:8" ht="17.5" thickBot="1">
      <c r="B25" s="13" t="s">
        <v>32</v>
      </c>
      <c r="C25" s="14">
        <f>'FY26'!BE1</f>
        <v>324327.33557791717</v>
      </c>
      <c r="D25" s="14">
        <f>'FY26'!BG1</f>
        <v>382597.22419988347</v>
      </c>
      <c r="E25" s="15">
        <f>'FY26'!BI1</f>
        <v>316037.33973794623</v>
      </c>
      <c r="F25" s="14">
        <f>SUM(C25:E25)</f>
        <v>1022961.8995157469</v>
      </c>
    </row>
    <row r="26" spans="2:8" ht="17.5" thickBot="1">
      <c r="B26" s="13" t="s">
        <v>33</v>
      </c>
      <c r="C26" s="14">
        <v>0</v>
      </c>
      <c r="D26" s="14">
        <v>0</v>
      </c>
      <c r="E26" s="15">
        <v>0</v>
      </c>
      <c r="F26" s="14">
        <f t="shared" ref="F26:F27" si="6">SUM(C26:E26)</f>
        <v>0</v>
      </c>
    </row>
    <row r="27" spans="2:8" ht="17.5" thickBot="1">
      <c r="B27" s="16" t="s">
        <v>34</v>
      </c>
      <c r="C27" s="17">
        <v>0</v>
      </c>
      <c r="D27" s="17">
        <v>0</v>
      </c>
      <c r="E27" s="18">
        <v>0</v>
      </c>
      <c r="F27" s="14">
        <f t="shared" si="6"/>
        <v>0</v>
      </c>
    </row>
    <row r="28" spans="2:8" ht="17.5" thickBot="1">
      <c r="B28" s="13" t="s">
        <v>36</v>
      </c>
      <c r="C28" s="14">
        <f>SUM(C25:C27)</f>
        <v>324327.33557791717</v>
      </c>
      <c r="D28" s="14">
        <f t="shared" ref="D28:F28" si="7">SUM(D25:D27)</f>
        <v>382597.22419988347</v>
      </c>
      <c r="E28" s="14">
        <f t="shared" si="7"/>
        <v>316037.33973794623</v>
      </c>
      <c r="F28" s="14">
        <f t="shared" si="7"/>
        <v>1022961.8995157469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2732-D7B2-4A2B-A541-0B545AC86D04}">
  <dimension ref="A1:G121"/>
  <sheetViews>
    <sheetView topLeftCell="A20" zoomScale="75" zoomScaleNormal="75" workbookViewId="0">
      <selection activeCell="E42" sqref="E42"/>
    </sheetView>
  </sheetViews>
  <sheetFormatPr defaultColWidth="8.81640625" defaultRowHeight="14.5"/>
  <cols>
    <col min="1" max="1" width="30.81640625" style="1" bestFit="1" customWidth="1"/>
    <col min="2" max="7" width="20.6328125" style="1" customWidth="1"/>
    <col min="8" max="8" width="8.81640625" style="1"/>
    <col min="9" max="9" width="16.08984375" style="1" customWidth="1"/>
    <col min="10" max="10" width="12.81640625" style="1" customWidth="1"/>
    <col min="11" max="11" width="13.08984375" style="1" customWidth="1"/>
    <col min="12" max="12" width="12.1796875" style="1" customWidth="1"/>
    <col min="13" max="13" width="15.1796875" style="1" customWidth="1"/>
    <col min="14" max="14" width="25.81640625" style="1" customWidth="1"/>
    <col min="15" max="16384" width="8.81640625" style="1"/>
  </cols>
  <sheetData>
    <row r="1" spans="1:7">
      <c r="A1" s="24" t="s">
        <v>628</v>
      </c>
      <c r="B1" s="25"/>
      <c r="C1" s="26"/>
      <c r="D1" s="26"/>
      <c r="E1" s="26"/>
      <c r="F1" s="26"/>
      <c r="G1" s="27"/>
    </row>
    <row r="2" spans="1:7" ht="30.5" customHeight="1">
      <c r="A2" s="28"/>
      <c r="B2" s="29" t="s">
        <v>45</v>
      </c>
      <c r="C2" s="8">
        <v>45962</v>
      </c>
      <c r="D2" s="8">
        <v>45992</v>
      </c>
      <c r="E2" s="8">
        <v>46023</v>
      </c>
      <c r="F2" s="30" t="s">
        <v>379</v>
      </c>
      <c r="G2" s="31" t="s">
        <v>2</v>
      </c>
    </row>
    <row r="3" spans="1:7">
      <c r="A3" s="1044" t="s">
        <v>46</v>
      </c>
      <c r="B3" s="32" t="s">
        <v>47</v>
      </c>
      <c r="C3" s="537">
        <f>SUM('FY26'!AM$144:AM$215)*0.25</f>
        <v>21029.507500000007</v>
      </c>
      <c r="D3" s="537">
        <f>SUM('FY26'!AO$144:AO$215)*0.25</f>
        <v>10280.330000000002</v>
      </c>
      <c r="E3" s="537">
        <f>SUM('FY26'!AQ$144:AQ$215)*0.25</f>
        <v>11219.499999999996</v>
      </c>
      <c r="F3" s="693">
        <f>SUM(C3:E3)</f>
        <v>42529.337500000009</v>
      </c>
      <c r="G3" s="109"/>
    </row>
    <row r="4" spans="1:7">
      <c r="A4" s="1045"/>
      <c r="B4" s="32" t="s">
        <v>48</v>
      </c>
      <c r="C4" s="537">
        <f>SUM('FY26'!AM$3:AM$11)</f>
        <v>19319.600000000002</v>
      </c>
      <c r="D4" s="537">
        <f>SUM('FY26'!AO$3:AO$11)</f>
        <v>13987.69</v>
      </c>
      <c r="E4" s="537">
        <f>SUM('FY26'!AQ$3:AQ$11)</f>
        <v>11666.59</v>
      </c>
      <c r="F4" s="694">
        <f>SUM(C4:E4)</f>
        <v>44973.880000000005</v>
      </c>
      <c r="G4" s="109"/>
    </row>
    <row r="5" spans="1:7">
      <c r="A5" s="1045"/>
      <c r="B5" s="32" t="s">
        <v>49</v>
      </c>
      <c r="C5" s="537">
        <f>SUM('FY26'!AM$12:AM$33)</f>
        <v>46425.58</v>
      </c>
      <c r="D5" s="537">
        <f>SUM('FY26'!AO$12:AO$33)</f>
        <v>50429.13</v>
      </c>
      <c r="E5" s="537">
        <f>SUM('FY26'!AQ$12:AQ$33)</f>
        <v>22443.339999999997</v>
      </c>
      <c r="F5" s="694">
        <f t="shared" ref="F5:F20" si="0">SUM(C5:E5)</f>
        <v>119298.04999999999</v>
      </c>
      <c r="G5" s="109"/>
    </row>
    <row r="6" spans="1:7">
      <c r="A6" s="1045"/>
      <c r="B6" s="32" t="s">
        <v>50</v>
      </c>
      <c r="C6" s="537">
        <f>SUM('FY26'!AM$34:AM$41)</f>
        <v>36870.559999999998</v>
      </c>
      <c r="D6" s="537">
        <f>SUM('FY26'!AO$34:AO$41)</f>
        <v>52270.579999999994</v>
      </c>
      <c r="E6" s="537">
        <f>SUM('FY26'!AQ$34:AQ$41)</f>
        <v>28786.780000000002</v>
      </c>
      <c r="F6" s="693">
        <f t="shared" si="0"/>
        <v>117927.91999999998</v>
      </c>
      <c r="G6" s="109"/>
    </row>
    <row r="7" spans="1:7">
      <c r="A7" s="1045"/>
      <c r="B7" s="32" t="s">
        <v>51</v>
      </c>
      <c r="C7" s="537">
        <f>SUM('FY26'!AM$42:AM$47)</f>
        <v>3998.4000000000005</v>
      </c>
      <c r="D7" s="537">
        <f>SUM('FY26'!AO$42:AO$47)</f>
        <v>5569.2</v>
      </c>
      <c r="E7" s="537">
        <f>SUM('FY26'!AQ$42:AQ$47)</f>
        <v>3931.2</v>
      </c>
      <c r="F7" s="694">
        <f t="shared" si="0"/>
        <v>13498.8</v>
      </c>
      <c r="G7" s="109"/>
    </row>
    <row r="8" spans="1:7">
      <c r="A8" s="1045"/>
      <c r="B8" s="32" t="s">
        <v>52</v>
      </c>
      <c r="C8" s="537">
        <f>SUM('FY26'!AM48:AM50)</f>
        <v>7003.62</v>
      </c>
      <c r="D8" s="537">
        <f>SUM('FY26'!AO48:AO50)</f>
        <v>6739.0499999999993</v>
      </c>
      <c r="E8" s="537">
        <f>SUM('FY26'!AQ48:AQ50)</f>
        <v>7364.88</v>
      </c>
      <c r="F8" s="694">
        <f t="shared" si="0"/>
        <v>21107.55</v>
      </c>
      <c r="G8" s="109"/>
    </row>
    <row r="9" spans="1:7">
      <c r="A9" s="1045"/>
      <c r="B9" s="32" t="s">
        <v>53</v>
      </c>
      <c r="C9" s="537">
        <v>0</v>
      </c>
      <c r="D9" s="537">
        <v>0</v>
      </c>
      <c r="E9" s="537">
        <v>0</v>
      </c>
      <c r="F9" s="694">
        <f t="shared" si="0"/>
        <v>0</v>
      </c>
      <c r="G9" s="109"/>
    </row>
    <row r="10" spans="1:7">
      <c r="A10" s="1045"/>
      <c r="B10" s="32" t="s">
        <v>54</v>
      </c>
      <c r="C10" s="537">
        <f>SUM('FY26'!AM$51:AM$61)*0.7+SUM('FY26'!AM$216:AM$223)*0.7</f>
        <v>10221.911</v>
      </c>
      <c r="D10" s="537">
        <f>SUM('FY26'!AO$51:AO$61)*0.7+SUM('FY26'!AO$216:AO$223)*0.7</f>
        <v>3977.9740000000002</v>
      </c>
      <c r="E10" s="537">
        <f>SUM('FY26'!AQ$51:AQ$61)*0.7+SUM('FY26'!AQ$216:AQ$223)*0.7</f>
        <v>6407.4919999999993</v>
      </c>
      <c r="F10" s="694">
        <f t="shared" si="0"/>
        <v>20607.377</v>
      </c>
      <c r="G10" s="109"/>
    </row>
    <row r="11" spans="1:7">
      <c r="A11" s="1046"/>
      <c r="B11" s="32" t="s">
        <v>55</v>
      </c>
      <c r="C11" s="537">
        <f>SUM('FY26'!AM$62:AM$143)</f>
        <v>60088.159999999967</v>
      </c>
      <c r="D11" s="537">
        <f>SUM('FY26'!AO$62:AO$143)</f>
        <v>90466.940000000017</v>
      </c>
      <c r="E11" s="537">
        <f>SUM('FY26'!AQ$62:AQ$143)</f>
        <v>67378.459999999963</v>
      </c>
      <c r="F11" s="693">
        <f t="shared" si="0"/>
        <v>217933.55999999994</v>
      </c>
      <c r="G11" s="41"/>
    </row>
    <row r="12" spans="1:7">
      <c r="A12" s="1047" t="s">
        <v>496</v>
      </c>
      <c r="B12" s="32" t="s">
        <v>56</v>
      </c>
      <c r="C12" s="537">
        <f>SUM('FY26'!AM$144:AM$215)*0.75</f>
        <v>63088.522500000021</v>
      </c>
      <c r="D12" s="537">
        <f>SUM('FY26'!AO$144:AO$215)*0.75</f>
        <v>30840.990000000005</v>
      </c>
      <c r="E12" s="537">
        <f>SUM('FY26'!AQ$144:AQ$215)*0.75</f>
        <v>33658.499999999985</v>
      </c>
      <c r="F12" s="694">
        <f t="shared" si="0"/>
        <v>127588.01250000001</v>
      </c>
      <c r="G12" s="109"/>
    </row>
    <row r="13" spans="1:7">
      <c r="A13" s="1048"/>
      <c r="B13" s="32" t="s">
        <v>54</v>
      </c>
      <c r="C13" s="537">
        <f>SUM('FY26'!AM$51:AM$61)*0.3+SUM('FY26'!AM$216:AM$223)*0.3</f>
        <v>4380.8190000000004</v>
      </c>
      <c r="D13" s="537">
        <f>SUM('FY26'!AO$51:AO$61)*0.3+SUM('FY26'!AO$216:AO$223)*0.3</f>
        <v>1704.846</v>
      </c>
      <c r="E13" s="537">
        <f>SUM('FY26'!AQ$51:AQ$61)*0.3+SUM('FY26'!AQ$216:AQ$223)*0.3</f>
        <v>2746.0679999999998</v>
      </c>
      <c r="F13" s="693">
        <f t="shared" si="0"/>
        <v>8831.7330000000002</v>
      </c>
      <c r="G13" s="109"/>
    </row>
    <row r="14" spans="1:7">
      <c r="A14" s="1048"/>
      <c r="B14" s="32" t="s">
        <v>57</v>
      </c>
      <c r="C14" s="537">
        <f>SUM('FY26'!AM$224:AM$239)</f>
        <v>61156.700000000004</v>
      </c>
      <c r="D14" s="537">
        <f>SUM('FY26'!AO$224:AO$239)</f>
        <v>46346.34</v>
      </c>
      <c r="E14" s="537">
        <f>SUM('FY26'!AQ$224:AQ$239)</f>
        <v>15556.050000000001</v>
      </c>
      <c r="F14" s="694">
        <f t="shared" si="0"/>
        <v>123059.09000000001</v>
      </c>
      <c r="G14" s="109"/>
    </row>
    <row r="15" spans="1:7">
      <c r="A15" s="1048"/>
      <c r="B15" s="32" t="s">
        <v>58</v>
      </c>
      <c r="C15" s="537">
        <f>SUM('FY26'!AM$240:AM$248)</f>
        <v>10564.579999999998</v>
      </c>
      <c r="D15" s="537">
        <f>SUM('FY26'!AO$240:AO$248)</f>
        <v>14850.34</v>
      </c>
      <c r="E15" s="537">
        <f>SUM('FY26'!AQ$240:AQ$248)</f>
        <v>19672.8</v>
      </c>
      <c r="F15" s="693">
        <f t="shared" si="0"/>
        <v>45087.72</v>
      </c>
      <c r="G15" s="109"/>
    </row>
    <row r="16" spans="1:7">
      <c r="A16" s="1048"/>
      <c r="B16" s="32" t="s">
        <v>59</v>
      </c>
      <c r="C16" s="537">
        <f>SUM('FY26'!AM$249:AM$262)</f>
        <v>38184.720000000008</v>
      </c>
      <c r="D16" s="537">
        <f>SUM('FY26'!AO$249:AO$262)</f>
        <v>26297.4</v>
      </c>
      <c r="E16" s="537">
        <f>SUM('FY26'!AQ$249:AQ$262)</f>
        <v>16945.439999999999</v>
      </c>
      <c r="F16" s="694">
        <f t="shared" si="0"/>
        <v>81427.560000000012</v>
      </c>
      <c r="G16" s="109"/>
    </row>
    <row r="17" spans="1:7">
      <c r="A17" s="1048"/>
      <c r="B17" s="32" t="s">
        <v>60</v>
      </c>
      <c r="C17" s="537">
        <v>0</v>
      </c>
      <c r="D17" s="537">
        <v>0</v>
      </c>
      <c r="E17" s="537">
        <v>0</v>
      </c>
      <c r="F17" s="694">
        <f t="shared" si="0"/>
        <v>0</v>
      </c>
      <c r="G17" s="109"/>
    </row>
    <row r="18" spans="1:7">
      <c r="A18" s="1048"/>
      <c r="B18" s="32" t="s">
        <v>61</v>
      </c>
      <c r="C18" s="537">
        <v>0</v>
      </c>
      <c r="D18" s="537">
        <v>0</v>
      </c>
      <c r="E18" s="537">
        <v>0</v>
      </c>
      <c r="F18" s="694">
        <f t="shared" si="0"/>
        <v>0</v>
      </c>
      <c r="G18" s="109"/>
    </row>
    <row r="19" spans="1:7">
      <c r="A19" s="1048"/>
      <c r="B19" s="32" t="s">
        <v>55</v>
      </c>
      <c r="C19" s="537">
        <v>0</v>
      </c>
      <c r="D19" s="537">
        <v>0</v>
      </c>
      <c r="E19" s="537">
        <v>0</v>
      </c>
      <c r="F19" s="694">
        <f t="shared" si="0"/>
        <v>0</v>
      </c>
      <c r="G19" s="109"/>
    </row>
    <row r="20" spans="1:7">
      <c r="A20" s="32" t="s">
        <v>62</v>
      </c>
      <c r="B20" s="32" t="s">
        <v>63</v>
      </c>
      <c r="C20" s="537">
        <v>0</v>
      </c>
      <c r="D20" s="537">
        <v>0</v>
      </c>
      <c r="E20" s="537">
        <v>0</v>
      </c>
      <c r="F20" s="694">
        <f t="shared" si="0"/>
        <v>0</v>
      </c>
      <c r="G20" s="41"/>
    </row>
    <row r="21" spans="1:7">
      <c r="A21" s="27"/>
      <c r="B21" s="99"/>
      <c r="C21" s="35"/>
      <c r="D21" s="35"/>
      <c r="E21" s="35"/>
      <c r="F21" s="693">
        <f>SUM(F3:F20)</f>
        <v>983870.59</v>
      </c>
      <c r="G21" s="27"/>
    </row>
    <row r="22" spans="1:7">
      <c r="A22" s="27"/>
      <c r="B22" s="35"/>
      <c r="C22" s="35"/>
      <c r="D22" s="35"/>
      <c r="E22" s="35"/>
      <c r="F22" s="101"/>
      <c r="G22" s="36"/>
    </row>
    <row r="23" spans="1:7">
      <c r="A23" s="24" t="s">
        <v>628</v>
      </c>
      <c r="B23" s="25"/>
      <c r="C23" s="26"/>
      <c r="D23" s="38"/>
      <c r="E23" s="39"/>
      <c r="F23" s="37"/>
      <c r="G23" s="40"/>
    </row>
    <row r="24" spans="1:7" ht="30.5" customHeight="1">
      <c r="A24" s="28"/>
      <c r="B24" s="29" t="s">
        <v>45</v>
      </c>
      <c r="C24" s="8">
        <v>45962</v>
      </c>
      <c r="D24" s="8">
        <v>45992</v>
      </c>
      <c r="E24" s="8">
        <v>46023</v>
      </c>
      <c r="F24" s="30" t="s">
        <v>379</v>
      </c>
      <c r="G24" s="31" t="s">
        <v>2</v>
      </c>
    </row>
    <row r="25" spans="1:7">
      <c r="A25" s="1043" t="s">
        <v>64</v>
      </c>
      <c r="B25" s="32" t="s">
        <v>497</v>
      </c>
      <c r="C25" s="538">
        <f>SUM(C3:C22)</f>
        <v>382332.68000000011</v>
      </c>
      <c r="D25" s="538">
        <f>SUM(D3:D22)</f>
        <v>353760.81</v>
      </c>
      <c r="E25" s="538">
        <f>SUM(E3:E22)</f>
        <v>247777.09999999995</v>
      </c>
      <c r="F25" s="695">
        <f>SUM(C25:E25)</f>
        <v>983870.59000000008</v>
      </c>
      <c r="G25" s="41"/>
    </row>
    <row r="26" spans="1:7">
      <c r="A26" s="1043"/>
      <c r="B26" s="32" t="s">
        <v>65</v>
      </c>
      <c r="C26" s="42"/>
      <c r="D26" s="42"/>
      <c r="E26" s="218"/>
      <c r="F26" s="218">
        <f>SUM(C26:E26)</f>
        <v>0</v>
      </c>
      <c r="G26" s="109"/>
    </row>
    <row r="27" spans="1:7">
      <c r="A27" s="1043"/>
      <c r="B27" s="32" t="s">
        <v>498</v>
      </c>
      <c r="C27" s="42"/>
      <c r="D27" s="42"/>
      <c r="E27" s="218"/>
      <c r="F27" s="218">
        <f>SUM(C27:E27)</f>
        <v>0</v>
      </c>
      <c r="G27" s="109"/>
    </row>
    <row r="28" spans="1:7">
      <c r="A28" s="1043"/>
      <c r="B28" s="32" t="s">
        <v>499</v>
      </c>
      <c r="C28" s="42"/>
      <c r="D28" s="42"/>
      <c r="E28" s="218"/>
      <c r="F28" s="218">
        <f>SUM(C28:E28)</f>
        <v>0</v>
      </c>
      <c r="G28" s="109"/>
    </row>
    <row r="29" spans="1:7">
      <c r="A29" s="1043"/>
      <c r="B29" s="32" t="s">
        <v>66</v>
      </c>
      <c r="C29" s="42"/>
      <c r="D29" s="42"/>
      <c r="E29" s="218"/>
      <c r="F29" s="218">
        <f>SUM(C29:E29)</f>
        <v>0</v>
      </c>
      <c r="G29" s="109"/>
    </row>
    <row r="30" spans="1:7">
      <c r="C30" s="23"/>
      <c r="D30" s="23"/>
      <c r="E30" s="696" t="s">
        <v>500</v>
      </c>
      <c r="F30" s="697">
        <f>SUM(F25:F29)</f>
        <v>983870.59000000008</v>
      </c>
    </row>
    <row r="31" spans="1:7">
      <c r="B31" s="37"/>
      <c r="C31" s="37"/>
      <c r="D31" s="37"/>
      <c r="E31" s="37"/>
      <c r="F31" s="86"/>
    </row>
    <row r="32" spans="1:7">
      <c r="A32" s="24" t="s">
        <v>410</v>
      </c>
      <c r="B32" s="25"/>
      <c r="C32" s="26"/>
      <c r="D32" s="26"/>
      <c r="E32" s="26"/>
      <c r="F32" s="26"/>
      <c r="G32" s="27"/>
    </row>
    <row r="33" spans="1:7" ht="30.5" customHeight="1">
      <c r="A33" s="28"/>
      <c r="B33" s="43" t="s">
        <v>45</v>
      </c>
      <c r="C33" s="44">
        <v>46054</v>
      </c>
      <c r="D33" s="8">
        <v>46082</v>
      </c>
      <c r="E33" s="8">
        <v>46113</v>
      </c>
      <c r="F33" s="45" t="s">
        <v>380</v>
      </c>
      <c r="G33" s="31" t="s">
        <v>2</v>
      </c>
    </row>
    <row r="34" spans="1:7">
      <c r="A34" s="1049" t="s">
        <v>501</v>
      </c>
      <c r="B34" s="32" t="s">
        <v>47</v>
      </c>
      <c r="C34" s="48">
        <f>SUM('FY26'!AS$144:AS$215)*0.25</f>
        <v>0</v>
      </c>
      <c r="D34" s="537">
        <f>SUM('FY26'!AU$144:AU$215)*0.25</f>
        <v>27410.570300000003</v>
      </c>
      <c r="E34" s="48">
        <f>SUM('FY26'!AW$144:AW$215)*0.25</f>
        <v>20556.864999999994</v>
      </c>
      <c r="F34" s="49">
        <f>SUM(C34:E34)</f>
        <v>47967.435299999997</v>
      </c>
      <c r="G34" s="33"/>
    </row>
    <row r="35" spans="1:7">
      <c r="A35" s="1050"/>
      <c r="B35" s="32" t="s">
        <v>48</v>
      </c>
      <c r="C35" s="48">
        <f>SUM('FY26'!AS$3:AS$11)</f>
        <v>0</v>
      </c>
      <c r="D35" s="537">
        <f>SUM('FY26'!AU$3:AU$11)</f>
        <v>22975.920000000002</v>
      </c>
      <c r="E35" s="48">
        <f>SUM('FY26'!AW$3:AW$11)</f>
        <v>16431.89</v>
      </c>
      <c r="F35" s="50">
        <f>SUM(C35:E35)</f>
        <v>39407.81</v>
      </c>
      <c r="G35" s="33"/>
    </row>
    <row r="36" spans="1:7">
      <c r="A36" s="1050"/>
      <c r="B36" s="32" t="s">
        <v>49</v>
      </c>
      <c r="C36" s="48">
        <f>SUM('FY26'!AS$12:AS$33)</f>
        <v>0</v>
      </c>
      <c r="D36" s="537">
        <f>SUM('FY26'!AU$12:AU$33)</f>
        <v>41495.660000000003</v>
      </c>
      <c r="E36" s="48">
        <f>SUM('FY26'!AW$12:AW$33)</f>
        <v>19142.13</v>
      </c>
      <c r="F36" s="50">
        <f t="shared" ref="F36:F51" si="1">SUM(C36:E36)</f>
        <v>60637.790000000008</v>
      </c>
      <c r="G36" s="33"/>
    </row>
    <row r="37" spans="1:7">
      <c r="A37" s="1050"/>
      <c r="B37" s="32" t="s">
        <v>50</v>
      </c>
      <c r="C37" s="48">
        <f>SUM('FY26'!AS$34:AS$41)</f>
        <v>0</v>
      </c>
      <c r="D37" s="537">
        <f>SUM('FY26'!AU$34:AU$41)</f>
        <v>49630.42</v>
      </c>
      <c r="E37" s="48">
        <f>SUM('FY26'!AW$34:AW$41)</f>
        <v>43495.4</v>
      </c>
      <c r="F37" s="49">
        <f t="shared" si="1"/>
        <v>93125.82</v>
      </c>
      <c r="G37" s="33"/>
    </row>
    <row r="38" spans="1:7">
      <c r="A38" s="1050"/>
      <c r="B38" s="32" t="s">
        <v>51</v>
      </c>
      <c r="C38" s="48">
        <f>SUM('FY26'!AS$42:AS$47)</f>
        <v>0</v>
      </c>
      <c r="D38" s="537">
        <f>SUM('FY26'!AU$42:AU$47)</f>
        <v>16329.6</v>
      </c>
      <c r="E38" s="48">
        <f>SUM('FY26'!AW$42:AW$47)</f>
        <v>7744.38</v>
      </c>
      <c r="F38" s="50">
        <f t="shared" si="1"/>
        <v>24073.98</v>
      </c>
      <c r="G38" s="33"/>
    </row>
    <row r="39" spans="1:7">
      <c r="A39" s="1050"/>
      <c r="B39" s="32" t="s">
        <v>52</v>
      </c>
      <c r="C39" s="48">
        <f>SUM('FY26'!AS48:AS50)</f>
        <v>0</v>
      </c>
      <c r="D39" s="537">
        <f>SUM('FY26'!AU48:AU50)</f>
        <v>4506.92</v>
      </c>
      <c r="E39" s="48">
        <f>SUM('FY26'!AW48:AW50)</f>
        <v>1845.0100000000002</v>
      </c>
      <c r="F39" s="50">
        <f t="shared" si="1"/>
        <v>6351.93</v>
      </c>
      <c r="G39" s="33"/>
    </row>
    <row r="40" spans="1:7">
      <c r="A40" s="1050"/>
      <c r="B40" s="32" t="s">
        <v>53</v>
      </c>
      <c r="C40" s="48">
        <v>0</v>
      </c>
      <c r="D40" s="537">
        <v>0</v>
      </c>
      <c r="E40" s="48">
        <v>0</v>
      </c>
      <c r="F40" s="50">
        <f t="shared" si="1"/>
        <v>0</v>
      </c>
      <c r="G40" s="33"/>
    </row>
    <row r="41" spans="1:7">
      <c r="A41" s="1050"/>
      <c r="B41" s="32" t="s">
        <v>54</v>
      </c>
      <c r="C41" s="48">
        <f>SUM('FY26'!AS$51:AS$61)*0.7+SUM('FY26'!AS$216:AS$223)*0.7</f>
        <v>0</v>
      </c>
      <c r="D41" s="537">
        <f>SUM('FY26'!AU$51:AU$61)*0.7+SUM('FY26'!AU$216:AU$223)*0.7</f>
        <v>28021.98</v>
      </c>
      <c r="E41" s="48">
        <f>SUM('FY26'!AW$51:AW$61)*0.7+SUM('FY26'!AW$216:AW$223)*0.7</f>
        <v>19642.91</v>
      </c>
      <c r="F41" s="50">
        <f t="shared" si="1"/>
        <v>47664.89</v>
      </c>
      <c r="G41" s="33"/>
    </row>
    <row r="42" spans="1:7">
      <c r="A42" s="1051"/>
      <c r="B42" s="32" t="s">
        <v>55</v>
      </c>
      <c r="C42" s="537">
        <f>SUM('FY26'!AS$62:AS$143)</f>
        <v>35221.639999999992</v>
      </c>
      <c r="D42" s="537">
        <f>SUM('FY26'!AU$62:AU$143)</f>
        <v>135161.32</v>
      </c>
      <c r="E42" s="48">
        <f>SUM('FY26'!AW$62:AW$143)</f>
        <v>53568.320000000051</v>
      </c>
      <c r="F42" s="49">
        <f t="shared" si="1"/>
        <v>223951.28000000003</v>
      </c>
      <c r="G42" s="33"/>
    </row>
    <row r="43" spans="1:7">
      <c r="A43" s="1047" t="s">
        <v>496</v>
      </c>
      <c r="B43" s="32" t="s">
        <v>56</v>
      </c>
      <c r="C43" s="48">
        <f>SUM('FY26'!AS$144:AS$215)*0.75</f>
        <v>0</v>
      </c>
      <c r="D43" s="537">
        <f>SUM('FY26'!AU$144:AU$215)*0.75</f>
        <v>82231.710900000005</v>
      </c>
      <c r="E43" s="48">
        <f>SUM('FY26'!AW$144:AW$215)*0.75</f>
        <v>61670.594999999987</v>
      </c>
      <c r="F43" s="50">
        <f t="shared" si="1"/>
        <v>143902.30589999998</v>
      </c>
      <c r="G43" s="33"/>
    </row>
    <row r="44" spans="1:7">
      <c r="A44" s="1048"/>
      <c r="B44" s="32" t="s">
        <v>54</v>
      </c>
      <c r="C44" s="48">
        <f>SUM('FY26'!AS$51:AS$61)*0.3+SUM('FY26'!AS$216:AS$223)*0.3</f>
        <v>0</v>
      </c>
      <c r="D44" s="537">
        <f>SUM('FY26'!AU$51:AU$61)*0.3+SUM('FY26'!AU$216:AU$223)*0.3</f>
        <v>12009.42</v>
      </c>
      <c r="E44" s="48">
        <f>SUM('FY26'!AW$51:AW$61)*0.3+SUM('FY26'!AW$216:AW$223)*0.3</f>
        <v>8418.39</v>
      </c>
      <c r="F44" s="49">
        <f t="shared" si="1"/>
        <v>20427.809999999998</v>
      </c>
      <c r="G44" s="33"/>
    </row>
    <row r="45" spans="1:7">
      <c r="A45" s="1048"/>
      <c r="B45" s="32" t="s">
        <v>57</v>
      </c>
      <c r="C45" s="48">
        <f>SUM('FY26'!AS$224:AS$239)</f>
        <v>0</v>
      </c>
      <c r="D45" s="537">
        <f>SUM('FY26'!AU$224:AU$239)</f>
        <v>33668.765200000002</v>
      </c>
      <c r="E45" s="48">
        <f>SUM('FY26'!AW$224:AW$239)</f>
        <v>18095.79</v>
      </c>
      <c r="F45" s="50">
        <f t="shared" si="1"/>
        <v>51764.555200000003</v>
      </c>
      <c r="G45" s="33"/>
    </row>
    <row r="46" spans="1:7">
      <c r="A46" s="1048"/>
      <c r="B46" s="32" t="s">
        <v>58</v>
      </c>
      <c r="C46" s="48">
        <f>SUM('FY26'!AS$240:AS$248)</f>
        <v>0</v>
      </c>
      <c r="D46" s="537">
        <f>SUM('FY26'!AU$240:AU$248)</f>
        <v>18306</v>
      </c>
      <c r="E46" s="48">
        <f>SUM('FY26'!AW$240:AW$248)</f>
        <v>14178.06</v>
      </c>
      <c r="F46" s="49">
        <f t="shared" si="1"/>
        <v>32484.059999999998</v>
      </c>
      <c r="G46" s="33"/>
    </row>
    <row r="47" spans="1:7">
      <c r="A47" s="1048"/>
      <c r="B47" s="32" t="s">
        <v>59</v>
      </c>
      <c r="C47" s="48">
        <f>SUM('FY26'!AS$249:AS$262)</f>
        <v>0</v>
      </c>
      <c r="D47" s="537">
        <f>SUM('FY26'!AU$249:AU$262)</f>
        <v>81237.72</v>
      </c>
      <c r="E47" s="48">
        <f>SUM('FY26'!AW$249:AW$262)</f>
        <v>70106.799999999988</v>
      </c>
      <c r="F47" s="50">
        <f t="shared" si="1"/>
        <v>151344.51999999999</v>
      </c>
      <c r="G47" s="33"/>
    </row>
    <row r="48" spans="1:7">
      <c r="A48" s="1048"/>
      <c r="B48" s="32" t="s">
        <v>60</v>
      </c>
      <c r="C48" s="48">
        <v>0</v>
      </c>
      <c r="D48" s="537">
        <v>0</v>
      </c>
      <c r="E48" s="48">
        <v>0</v>
      </c>
      <c r="F48" s="50">
        <f t="shared" si="1"/>
        <v>0</v>
      </c>
      <c r="G48" s="33"/>
    </row>
    <row r="49" spans="1:7">
      <c r="A49" s="1048"/>
      <c r="B49" s="32" t="s">
        <v>61</v>
      </c>
      <c r="C49" s="48">
        <v>0</v>
      </c>
      <c r="D49" s="537">
        <v>0</v>
      </c>
      <c r="E49" s="48">
        <v>0</v>
      </c>
      <c r="F49" s="50">
        <f t="shared" si="1"/>
        <v>0</v>
      </c>
      <c r="G49" s="33"/>
    </row>
    <row r="50" spans="1:7">
      <c r="A50" s="1048"/>
      <c r="B50" s="32" t="s">
        <v>55</v>
      </c>
      <c r="C50" s="48">
        <v>0</v>
      </c>
      <c r="D50" s="537">
        <v>0</v>
      </c>
      <c r="E50" s="48">
        <v>0</v>
      </c>
      <c r="F50" s="50">
        <f t="shared" si="1"/>
        <v>0</v>
      </c>
      <c r="G50" s="33"/>
    </row>
    <row r="51" spans="1:7">
      <c r="A51" s="32" t="s">
        <v>62</v>
      </c>
      <c r="B51" s="32" t="s">
        <v>63</v>
      </c>
      <c r="C51" s="48">
        <v>0</v>
      </c>
      <c r="D51" s="537">
        <v>0</v>
      </c>
      <c r="E51" s="48">
        <v>0</v>
      </c>
      <c r="F51" s="50">
        <f t="shared" si="1"/>
        <v>0</v>
      </c>
      <c r="G51" s="34"/>
    </row>
    <row r="52" spans="1:7">
      <c r="A52" s="27"/>
      <c r="B52" s="99"/>
      <c r="C52" s="47"/>
      <c r="D52" s="47"/>
      <c r="E52" s="47"/>
      <c r="F52" s="353">
        <f>SUM(F34:F51)</f>
        <v>943104.18640000024</v>
      </c>
      <c r="G52" s="40"/>
    </row>
    <row r="53" spans="1:7">
      <c r="A53" s="27"/>
      <c r="B53" s="35"/>
      <c r="C53" s="35"/>
      <c r="D53" s="35"/>
      <c r="E53" s="35"/>
      <c r="F53" s="101"/>
      <c r="G53" s="40"/>
    </row>
    <row r="54" spans="1:7">
      <c r="A54" s="24" t="s">
        <v>410</v>
      </c>
      <c r="B54" s="25"/>
      <c r="C54" s="26"/>
      <c r="D54" s="38"/>
      <c r="E54" s="39"/>
      <c r="F54" s="37"/>
      <c r="G54" s="40"/>
    </row>
    <row r="55" spans="1:7" ht="30.5" customHeight="1">
      <c r="A55" s="28"/>
      <c r="B55" s="43" t="s">
        <v>45</v>
      </c>
      <c r="C55" s="44">
        <v>46054</v>
      </c>
      <c r="D55" s="8">
        <v>46082</v>
      </c>
      <c r="E55" s="8">
        <v>46113</v>
      </c>
      <c r="F55" s="45" t="s">
        <v>380</v>
      </c>
      <c r="G55" s="31" t="s">
        <v>2</v>
      </c>
    </row>
    <row r="56" spans="1:7">
      <c r="A56" s="1043" t="s">
        <v>64</v>
      </c>
      <c r="B56" s="46" t="s">
        <v>497</v>
      </c>
      <c r="C56" s="538">
        <f>SUM(C34:C53)</f>
        <v>35221.639999999992</v>
      </c>
      <c r="D56" s="538">
        <f>SUM(D34:D53)</f>
        <v>552986.00640000007</v>
      </c>
      <c r="E56" s="52">
        <f>SUM(E34:E53)</f>
        <v>354896.54000000004</v>
      </c>
      <c r="F56" s="53">
        <f>SUM(C56:E56)</f>
        <v>943104.18640000012</v>
      </c>
      <c r="G56" s="41"/>
    </row>
    <row r="57" spans="1:7">
      <c r="A57" s="1043"/>
      <c r="B57" s="32" t="s">
        <v>65</v>
      </c>
      <c r="C57" s="42"/>
      <c r="D57" s="42"/>
      <c r="E57" s="42"/>
      <c r="F57" s="42">
        <f>SUM(C57:E57)</f>
        <v>0</v>
      </c>
      <c r="G57" s="33"/>
    </row>
    <row r="58" spans="1:7">
      <c r="A58" s="1043"/>
      <c r="B58" s="32" t="s">
        <v>498</v>
      </c>
      <c r="C58" s="42"/>
      <c r="D58" s="42"/>
      <c r="E58" s="42"/>
      <c r="F58" s="42">
        <f>SUM(C58:E58)</f>
        <v>0</v>
      </c>
      <c r="G58" s="33"/>
    </row>
    <row r="59" spans="1:7">
      <c r="A59" s="1043"/>
      <c r="B59" s="32" t="s">
        <v>499</v>
      </c>
      <c r="C59" s="42"/>
      <c r="D59" s="42"/>
      <c r="E59" s="42"/>
      <c r="F59" s="42">
        <f>SUM(C59:E59)</f>
        <v>0</v>
      </c>
      <c r="G59" s="33"/>
    </row>
    <row r="60" spans="1:7">
      <c r="A60" s="1043"/>
      <c r="B60" s="32" t="s">
        <v>66</v>
      </c>
      <c r="C60" s="42"/>
      <c r="D60" s="42"/>
      <c r="E60" s="42"/>
      <c r="F60" s="42">
        <f>SUM(C60:E60)</f>
        <v>0</v>
      </c>
      <c r="G60" s="33"/>
    </row>
    <row r="61" spans="1:7">
      <c r="C61" s="23"/>
      <c r="D61" s="23"/>
      <c r="E61" s="54" t="s">
        <v>500</v>
      </c>
      <c r="F61" s="55">
        <f>SUM(F56:F60)</f>
        <v>943104.18640000012</v>
      </c>
    </row>
    <row r="63" spans="1:7">
      <c r="A63" s="24" t="s">
        <v>67</v>
      </c>
      <c r="B63" s="25"/>
      <c r="C63" s="26"/>
      <c r="D63" s="26"/>
      <c r="E63" s="26"/>
      <c r="F63" s="26"/>
      <c r="G63" s="27"/>
    </row>
    <row r="64" spans="1:7" ht="30.5" customHeight="1">
      <c r="A64" s="28"/>
      <c r="B64" s="43" t="s">
        <v>45</v>
      </c>
      <c r="C64" s="44">
        <v>46143</v>
      </c>
      <c r="D64" s="8">
        <v>46174</v>
      </c>
      <c r="E64" s="8">
        <v>46204</v>
      </c>
      <c r="F64" s="45" t="s">
        <v>381</v>
      </c>
      <c r="G64" s="31" t="s">
        <v>2</v>
      </c>
    </row>
    <row r="65" spans="1:7">
      <c r="A65" s="1044" t="s">
        <v>46</v>
      </c>
      <c r="B65" s="32" t="s">
        <v>47</v>
      </c>
      <c r="C65" s="48">
        <f>SUM('FY26'!AY$144:AY$215)*0.25</f>
        <v>30776.552500000002</v>
      </c>
      <c r="D65" s="48">
        <f>SUM('FY26'!BA$144:BA$215)*0.25</f>
        <v>34623.584999999985</v>
      </c>
      <c r="E65" s="48">
        <f>SUM('FY26'!BC$144:BC$215)*0.25</f>
        <v>24622.292271006376</v>
      </c>
      <c r="F65" s="49">
        <f>SUM(C65:E65)</f>
        <v>90022.429771006355</v>
      </c>
      <c r="G65" s="33"/>
    </row>
    <row r="66" spans="1:7">
      <c r="A66" s="1045"/>
      <c r="B66" s="32" t="s">
        <v>48</v>
      </c>
      <c r="C66" s="48">
        <f>SUM('FY26'!AY$3:AY$11)</f>
        <v>16750.259999999998</v>
      </c>
      <c r="D66" s="48">
        <f>SUM('FY26'!BA$3:BA$11)</f>
        <v>19367.03</v>
      </c>
      <c r="E66" s="48">
        <f>SUM('FY26'!BC$3:BC$11)</f>
        <v>7470.4463302630484</v>
      </c>
      <c r="F66" s="50">
        <f>SUM(C66:E66)</f>
        <v>43587.73633026304</v>
      </c>
      <c r="G66" s="33"/>
    </row>
    <row r="67" spans="1:7">
      <c r="A67" s="1045"/>
      <c r="B67" s="32" t="s">
        <v>49</v>
      </c>
      <c r="C67" s="48">
        <f>SUM('FY26'!AY$12:AY$33)</f>
        <v>16959.73</v>
      </c>
      <c r="D67" s="48">
        <f>SUM('FY26'!BA$12:BA$33)</f>
        <v>17200.66</v>
      </c>
      <c r="E67" s="48">
        <f>SUM('FY26'!BC$12:BC$33)</f>
        <v>20156.790492746502</v>
      </c>
      <c r="F67" s="50">
        <f t="shared" ref="F67:F82" si="2">SUM(C67:E67)</f>
        <v>54317.180492746498</v>
      </c>
      <c r="G67" s="33"/>
    </row>
    <row r="68" spans="1:7">
      <c r="A68" s="1045"/>
      <c r="B68" s="32" t="s">
        <v>50</v>
      </c>
      <c r="C68" s="48">
        <f>SUM('FY26'!AY$34:AY$41)</f>
        <v>29979.82</v>
      </c>
      <c r="D68" s="48">
        <f>SUM('FY26'!BA$34:BA$41)</f>
        <v>47430.32</v>
      </c>
      <c r="E68" s="48">
        <f>SUM('FY26'!BC$34:BC$41)</f>
        <v>9727.1819788494249</v>
      </c>
      <c r="F68" s="49">
        <f t="shared" si="2"/>
        <v>87137.321978849417</v>
      </c>
      <c r="G68" s="33"/>
    </row>
    <row r="69" spans="1:7">
      <c r="A69" s="1045"/>
      <c r="B69" s="32" t="s">
        <v>51</v>
      </c>
      <c r="C69" s="48">
        <f>SUM('FY26'!AY$42:AY$47)</f>
        <v>4351.2</v>
      </c>
      <c r="D69" s="48">
        <f>SUM('FY26'!BA$42:BA$47)</f>
        <v>4812.78</v>
      </c>
      <c r="E69" s="48">
        <f>SUM('FY26'!BC$42:BC$47)</f>
        <v>7055.9999999999918</v>
      </c>
      <c r="F69" s="50">
        <f t="shared" si="2"/>
        <v>16219.979999999992</v>
      </c>
      <c r="G69" s="33"/>
    </row>
    <row r="70" spans="1:7">
      <c r="A70" s="1045"/>
      <c r="B70" s="32" t="s">
        <v>52</v>
      </c>
      <c r="C70" s="48">
        <f>SUM('FY26'!AY48:AY50)</f>
        <v>2904.36</v>
      </c>
      <c r="D70" s="48">
        <f>SUM('FY26'!BA48:BA50)</f>
        <v>3630.18</v>
      </c>
      <c r="E70" s="48">
        <f>SUM('FY26'!BC48:BC50)</f>
        <v>5705.4488298495708</v>
      </c>
      <c r="F70" s="50">
        <f t="shared" si="2"/>
        <v>12239.988829849572</v>
      </c>
      <c r="G70" s="33"/>
    </row>
    <row r="71" spans="1:7">
      <c r="A71" s="1045"/>
      <c r="B71" s="32" t="s">
        <v>53</v>
      </c>
      <c r="C71" s="48">
        <v>0</v>
      </c>
      <c r="D71" s="48">
        <v>0</v>
      </c>
      <c r="E71" s="48">
        <v>0</v>
      </c>
      <c r="F71" s="50">
        <f t="shared" si="2"/>
        <v>0</v>
      </c>
      <c r="G71" s="33"/>
    </row>
    <row r="72" spans="1:7">
      <c r="A72" s="1045"/>
      <c r="B72" s="32" t="s">
        <v>54</v>
      </c>
      <c r="C72" s="48">
        <f>SUM('FY26'!AY$51:AY$61)*0.7+SUM('FY26'!AY$216:AY$223)*0.7</f>
        <v>24540.634999999998</v>
      </c>
      <c r="D72" s="48">
        <f>SUM('FY26'!BA$51:BA$61)*0.7+SUM('FY26'!BA$216:BA$223)*0.7</f>
        <v>11284.735000000001</v>
      </c>
      <c r="E72" s="48">
        <f>SUM('FY26'!BC$51:BC$61)*0.7+SUM('FY26'!BC$216:BC$223)*0.7</f>
        <v>13552.402499999997</v>
      </c>
      <c r="F72" s="50">
        <f t="shared" si="2"/>
        <v>49377.772499999992</v>
      </c>
      <c r="G72" s="33"/>
    </row>
    <row r="73" spans="1:7">
      <c r="A73" s="1046"/>
      <c r="B73" s="32" t="s">
        <v>55</v>
      </c>
      <c r="C73" s="48">
        <f>SUM('FY26'!AY$62:AY$143)</f>
        <v>48584.440000000046</v>
      </c>
      <c r="D73" s="48">
        <f>SUM('FY26'!BA$62:BA$143)</f>
        <v>49851.64000000005</v>
      </c>
      <c r="E73" s="48">
        <f>SUM('FY26'!BC$62:BC$143)</f>
        <v>48215.640000000043</v>
      </c>
      <c r="F73" s="49">
        <f t="shared" si="2"/>
        <v>146651.72000000015</v>
      </c>
      <c r="G73" s="33"/>
    </row>
    <row r="74" spans="1:7">
      <c r="A74" s="1047" t="s">
        <v>496</v>
      </c>
      <c r="B74" s="32" t="s">
        <v>56</v>
      </c>
      <c r="C74" s="48">
        <f>SUM('FY26'!AY$144:AY$215)*0.75</f>
        <v>92329.657500000001</v>
      </c>
      <c r="D74" s="48">
        <f>SUM('FY26'!BA$144:BA$215)*0.75</f>
        <v>103870.75499999995</v>
      </c>
      <c r="E74" s="48">
        <f>SUM('FY26'!BC$144:BC$215)*0.75</f>
        <v>73866.876813019131</v>
      </c>
      <c r="F74" s="50">
        <f t="shared" si="2"/>
        <v>270067.28931301908</v>
      </c>
      <c r="G74" s="33"/>
    </row>
    <row r="75" spans="1:7">
      <c r="A75" s="1048"/>
      <c r="B75" s="32" t="s">
        <v>54</v>
      </c>
      <c r="C75" s="48">
        <f>SUM('FY26'!AY$51:AY$61)*0.3+SUM('FY26'!AY$216:AY$223)*0.3</f>
        <v>10517.415000000001</v>
      </c>
      <c r="D75" s="48">
        <f>SUM('FY26'!BA$51:BA$61)*0.3+SUM('FY26'!BA$216:BA$223)*0.3</f>
        <v>4836.3149999999996</v>
      </c>
      <c r="E75" s="48">
        <f>SUM('FY26'!BC$51:BC$61)*0.3+SUM('FY26'!BC$216:BC$223)*0.3</f>
        <v>5808.1724999999988</v>
      </c>
      <c r="F75" s="49">
        <f t="shared" si="2"/>
        <v>21161.902499999997</v>
      </c>
      <c r="G75" s="33"/>
    </row>
    <row r="76" spans="1:7">
      <c r="A76" s="1048"/>
      <c r="B76" s="32" t="s">
        <v>57</v>
      </c>
      <c r="C76" s="48">
        <f>SUM('FY26'!AY$224:AY$239)</f>
        <v>16523.669999999998</v>
      </c>
      <c r="D76" s="48">
        <f>SUM('FY26'!BA$224:BA$239)</f>
        <v>15219.160000000002</v>
      </c>
      <c r="E76" s="48">
        <f>SUM('FY26'!BC$224:BC$239)</f>
        <v>25768.765268981384</v>
      </c>
      <c r="F76" s="50">
        <f t="shared" si="2"/>
        <v>57511.595268981386</v>
      </c>
      <c r="G76" s="33"/>
    </row>
    <row r="77" spans="1:7">
      <c r="A77" s="1048"/>
      <c r="B77" s="32" t="s">
        <v>58</v>
      </c>
      <c r="C77" s="48">
        <f>SUM('FY26'!AY$240:AY$248)</f>
        <v>14831.6</v>
      </c>
      <c r="D77" s="48">
        <f>SUM('FY26'!BA$240:BA$248)</f>
        <v>16344.829999999998</v>
      </c>
      <c r="E77" s="48">
        <f>SUM('FY26'!BC$240:BC$248)</f>
        <v>34810.199166906008</v>
      </c>
      <c r="F77" s="49">
        <f t="shared" si="2"/>
        <v>65986.629166906001</v>
      </c>
      <c r="G77" s="33"/>
    </row>
    <row r="78" spans="1:7">
      <c r="A78" s="1048"/>
      <c r="B78" s="32" t="s">
        <v>59</v>
      </c>
      <c r="C78" s="48">
        <f>SUM('FY26'!AY$249:AY$262)</f>
        <v>49834.210000000006</v>
      </c>
      <c r="D78" s="48">
        <f>SUM('FY26'!BA$249:BA$262)</f>
        <v>28826.560000000001</v>
      </c>
      <c r="E78" s="48">
        <f>SUM('FY26'!BC$249:BC$262)</f>
        <v>35277.764349512297</v>
      </c>
      <c r="F78" s="50">
        <f t="shared" si="2"/>
        <v>113938.53434951231</v>
      </c>
      <c r="G78" s="33"/>
    </row>
    <row r="79" spans="1:7">
      <c r="A79" s="1048"/>
      <c r="B79" s="32" t="s">
        <v>60</v>
      </c>
      <c r="C79" s="48">
        <v>0</v>
      </c>
      <c r="D79" s="48">
        <v>0</v>
      </c>
      <c r="E79" s="48">
        <v>0</v>
      </c>
      <c r="F79" s="50">
        <f t="shared" si="2"/>
        <v>0</v>
      </c>
      <c r="G79" s="33"/>
    </row>
    <row r="80" spans="1:7">
      <c r="A80" s="1048"/>
      <c r="B80" s="32" t="s">
        <v>61</v>
      </c>
      <c r="C80" s="48">
        <v>0</v>
      </c>
      <c r="D80" s="48">
        <v>0</v>
      </c>
      <c r="E80" s="48">
        <v>0</v>
      </c>
      <c r="F80" s="50">
        <f t="shared" si="2"/>
        <v>0</v>
      </c>
      <c r="G80" s="33"/>
    </row>
    <row r="81" spans="1:7">
      <c r="A81" s="1048"/>
      <c r="B81" s="32" t="s">
        <v>55</v>
      </c>
      <c r="C81" s="48">
        <v>0</v>
      </c>
      <c r="D81" s="48">
        <v>0</v>
      </c>
      <c r="E81" s="48">
        <v>0</v>
      </c>
      <c r="F81" s="50">
        <f t="shared" si="2"/>
        <v>0</v>
      </c>
      <c r="G81" s="33"/>
    </row>
    <row r="82" spans="1:7">
      <c r="A82" s="32" t="s">
        <v>62</v>
      </c>
      <c r="B82" s="32" t="s">
        <v>63</v>
      </c>
      <c r="C82" s="48">
        <v>0</v>
      </c>
      <c r="D82" s="48">
        <v>0</v>
      </c>
      <c r="E82" s="48">
        <v>0</v>
      </c>
      <c r="F82" s="50">
        <f t="shared" si="2"/>
        <v>0</v>
      </c>
      <c r="G82" s="34"/>
    </row>
    <row r="83" spans="1:7">
      <c r="A83" s="27"/>
      <c r="B83" s="27"/>
      <c r="C83" s="47"/>
      <c r="D83" s="47"/>
      <c r="E83" s="47"/>
      <c r="F83" s="51">
        <f>SUM(F65:F82)</f>
        <v>1028220.0805011338</v>
      </c>
      <c r="G83" s="40"/>
    </row>
    <row r="84" spans="1:7">
      <c r="A84" s="24" t="s">
        <v>67</v>
      </c>
      <c r="B84" s="25"/>
      <c r="C84" s="26"/>
      <c r="D84" s="38"/>
      <c r="E84" s="38"/>
      <c r="F84" s="38"/>
      <c r="G84" s="40"/>
    </row>
    <row r="85" spans="1:7" ht="30" customHeight="1">
      <c r="A85" s="28"/>
      <c r="B85" s="43" t="s">
        <v>45</v>
      </c>
      <c r="C85" s="44">
        <v>46143</v>
      </c>
      <c r="D85" s="8">
        <v>46174</v>
      </c>
      <c r="E85" s="8">
        <v>46204</v>
      </c>
      <c r="F85" s="45" t="s">
        <v>381</v>
      </c>
      <c r="G85" s="31" t="s">
        <v>2</v>
      </c>
    </row>
    <row r="86" spans="1:7">
      <c r="A86" s="1043" t="s">
        <v>64</v>
      </c>
      <c r="B86" s="46" t="s">
        <v>497</v>
      </c>
      <c r="C86" s="52">
        <f>SUM(C65:C82)</f>
        <v>358883.55</v>
      </c>
      <c r="D86" s="52">
        <f>SUM(D65:D82)</f>
        <v>357298.54999999993</v>
      </c>
      <c r="E86" s="52">
        <f>SUM(E65:E82)</f>
        <v>312037.98050113377</v>
      </c>
      <c r="F86" s="53">
        <f>SUM(C86:E86)</f>
        <v>1028220.0805011336</v>
      </c>
      <c r="G86" s="34"/>
    </row>
    <row r="87" spans="1:7">
      <c r="A87" s="1043"/>
      <c r="B87" s="32" t="s">
        <v>65</v>
      </c>
      <c r="C87" s="42"/>
      <c r="D87" s="42"/>
      <c r="E87" s="42"/>
      <c r="F87" s="42">
        <f>SUM(C87:E87)</f>
        <v>0</v>
      </c>
      <c r="G87" s="33"/>
    </row>
    <row r="88" spans="1:7">
      <c r="A88" s="1043"/>
      <c r="B88" s="32" t="s">
        <v>498</v>
      </c>
      <c r="C88" s="42"/>
      <c r="D88" s="42"/>
      <c r="E88" s="42"/>
      <c r="F88" s="42">
        <f>SUM(C88:E88)</f>
        <v>0</v>
      </c>
      <c r="G88" s="33"/>
    </row>
    <row r="89" spans="1:7">
      <c r="A89" s="1043"/>
      <c r="B89" s="32" t="s">
        <v>499</v>
      </c>
      <c r="C89" s="42"/>
      <c r="D89" s="42"/>
      <c r="E89" s="42"/>
      <c r="F89" s="42">
        <f>SUM(C89:E89)</f>
        <v>0</v>
      </c>
      <c r="G89" s="33"/>
    </row>
    <row r="90" spans="1:7">
      <c r="A90" s="1043"/>
      <c r="B90" s="32" t="s">
        <v>66</v>
      </c>
      <c r="C90" s="42"/>
      <c r="D90" s="42"/>
      <c r="E90" s="42"/>
      <c r="F90" s="42">
        <f>SUM(C90:E90)</f>
        <v>0</v>
      </c>
      <c r="G90" s="33"/>
    </row>
    <row r="91" spans="1:7">
      <c r="C91" s="23"/>
      <c r="D91" s="23"/>
      <c r="E91" s="54" t="s">
        <v>500</v>
      </c>
      <c r="F91" s="55">
        <f>SUM(F86:F90)</f>
        <v>1028220.0805011336</v>
      </c>
    </row>
    <row r="93" spans="1:7">
      <c r="A93" s="24" t="s">
        <v>68</v>
      </c>
      <c r="B93" s="25"/>
      <c r="C93" s="26"/>
      <c r="D93" s="26"/>
      <c r="E93" s="26"/>
      <c r="F93" s="26"/>
      <c r="G93" s="27"/>
    </row>
    <row r="94" spans="1:7" ht="30.5" customHeight="1">
      <c r="A94" s="28"/>
      <c r="B94" s="43" t="s">
        <v>45</v>
      </c>
      <c r="C94" s="44">
        <v>46235</v>
      </c>
      <c r="D94" s="8">
        <v>46266</v>
      </c>
      <c r="E94" s="8">
        <v>46296</v>
      </c>
      <c r="F94" s="45" t="s">
        <v>382</v>
      </c>
      <c r="G94" s="31" t="s">
        <v>2</v>
      </c>
    </row>
    <row r="95" spans="1:7">
      <c r="A95" s="1049" t="s">
        <v>501</v>
      </c>
      <c r="B95" s="32" t="s">
        <v>47</v>
      </c>
      <c r="C95" s="48">
        <f>SUM('FY26'!BE$144:BE$215)*0.25</f>
        <v>26439.770134167051</v>
      </c>
      <c r="D95" s="48">
        <f>SUM('FY26'!BG$144:BG$215)*0.25</f>
        <v>37744.939106382568</v>
      </c>
      <c r="E95" s="48">
        <f>SUM('FY26'!BI$144:BI$215)*0.25</f>
        <v>28149.883471938738</v>
      </c>
      <c r="F95" s="49">
        <f>SUM(C95:E95)</f>
        <v>92334.59271248836</v>
      </c>
      <c r="G95" s="109"/>
    </row>
    <row r="96" spans="1:7">
      <c r="A96" s="1050"/>
      <c r="B96" s="32" t="s">
        <v>48</v>
      </c>
      <c r="C96" s="48">
        <f>SUM('FY26'!BE$3:BE$11)</f>
        <v>5205.6418427419685</v>
      </c>
      <c r="D96" s="48">
        <f>SUM('FY26'!BG$3:BG$11)</f>
        <v>2883.2416644625982</v>
      </c>
      <c r="E96" s="48">
        <f>SUM('FY26'!BI$3:BI$11)</f>
        <v>553.59141623082178</v>
      </c>
      <c r="F96" s="50">
        <f>SUM(C96:E96)</f>
        <v>8642.4749234353876</v>
      </c>
      <c r="G96" s="109"/>
    </row>
    <row r="97" spans="1:7">
      <c r="A97" s="1050"/>
      <c r="B97" s="32" t="s">
        <v>49</v>
      </c>
      <c r="C97" s="48">
        <f>SUM('FY26'!BE$12:BE$33)</f>
        <v>15695.974743605904</v>
      </c>
      <c r="D97" s="48">
        <f>SUM('FY26'!BG$12:BG$33)</f>
        <v>14341.2329208874</v>
      </c>
      <c r="E97" s="48">
        <f>SUM('FY26'!BI$12:BI$33)</f>
        <v>7174.6793537664698</v>
      </c>
      <c r="F97" s="50">
        <f t="shared" ref="F97:F112" si="3">SUM(C97:E97)</f>
        <v>37211.887018259775</v>
      </c>
      <c r="G97" s="109"/>
    </row>
    <row r="98" spans="1:7">
      <c r="A98" s="1050"/>
      <c r="B98" s="32" t="s">
        <v>50</v>
      </c>
      <c r="C98" s="48">
        <f>SUM('FY26'!BE$34:BE$41)</f>
        <v>6823.9359999999997</v>
      </c>
      <c r="D98" s="48">
        <f>SUM('FY26'!BG$34:BG$41)</f>
        <v>7715.84</v>
      </c>
      <c r="E98" s="48">
        <f>SUM('FY26'!BI$34:BI$41)</f>
        <v>7628.8</v>
      </c>
      <c r="F98" s="49">
        <f t="shared" si="3"/>
        <v>22168.576000000001</v>
      </c>
      <c r="G98" s="109"/>
    </row>
    <row r="99" spans="1:7">
      <c r="A99" s="1050"/>
      <c r="B99" s="32" t="s">
        <v>51</v>
      </c>
      <c r="C99" s="48">
        <f>SUM('FY26'!BE$42:BE$47)</f>
        <v>8202.5999999999949</v>
      </c>
      <c r="D99" s="48">
        <f>SUM('FY26'!BG$42:BG$47)</f>
        <v>12171.600000000004</v>
      </c>
      <c r="E99" s="48">
        <f>SUM('FY26'!BI$42:BI$47)</f>
        <v>6085.800000000002</v>
      </c>
      <c r="F99" s="50">
        <f t="shared" si="3"/>
        <v>26460</v>
      </c>
      <c r="G99" s="109"/>
    </row>
    <row r="100" spans="1:7">
      <c r="A100" s="1050"/>
      <c r="B100" s="32" t="s">
        <v>52</v>
      </c>
      <c r="C100" s="48">
        <f>SUM('FY26'!BE48:BE50)</f>
        <v>4684.9032218878974</v>
      </c>
      <c r="D100" s="48">
        <f>SUM('FY26'!BG48:BG50)</f>
        <v>6026.5587274193913</v>
      </c>
      <c r="E100" s="48">
        <f>SUM('FY26'!BI48:BI50)</f>
        <v>4858.3061897936377</v>
      </c>
      <c r="F100" s="50">
        <f t="shared" si="3"/>
        <v>15569.768139100928</v>
      </c>
      <c r="G100" s="109"/>
    </row>
    <row r="101" spans="1:7">
      <c r="A101" s="1050"/>
      <c r="B101" s="32" t="s">
        <v>53</v>
      </c>
      <c r="C101" s="48">
        <v>0</v>
      </c>
      <c r="D101" s="48">
        <v>0</v>
      </c>
      <c r="E101" s="48">
        <v>0</v>
      </c>
      <c r="F101" s="50">
        <f t="shared" si="3"/>
        <v>0</v>
      </c>
      <c r="G101" s="109"/>
    </row>
    <row r="102" spans="1:7">
      <c r="A102" s="1050"/>
      <c r="B102" s="32" t="s">
        <v>54</v>
      </c>
      <c r="C102" s="48">
        <f>SUM('FY26'!BE$51:BE$61)*0.7+SUM('FY26'!BE$216:BE$223)*0.7</f>
        <v>14302.592500000001</v>
      </c>
      <c r="D102" s="48">
        <f>SUM('FY26'!BG$51:BG$61)*0.7+SUM('FY26'!BG$216:BG$223)*0.7</f>
        <v>14302.574999999999</v>
      </c>
      <c r="E102" s="48">
        <f>SUM('FY26'!BI$51:BI$61)*0.7+SUM('FY26'!BI$216:BI$223)*0.7</f>
        <v>6084.3824999999997</v>
      </c>
      <c r="F102" s="50">
        <f t="shared" si="3"/>
        <v>34689.550000000003</v>
      </c>
      <c r="G102" s="109"/>
    </row>
    <row r="103" spans="1:7">
      <c r="A103" s="1051"/>
      <c r="B103" s="32" t="s">
        <v>55</v>
      </c>
      <c r="C103" s="48">
        <f>SUM('FY26'!BE$62:BE$143)</f>
        <v>47824.440000000039</v>
      </c>
      <c r="D103" s="48">
        <f>SUM('FY26'!BG$62:BG$143)</f>
        <v>49851.64000000005</v>
      </c>
      <c r="E103" s="48">
        <f>SUM('FY26'!BI$62:BI$143)</f>
        <v>48584.440000000046</v>
      </c>
      <c r="F103" s="49">
        <f t="shared" si="3"/>
        <v>146260.52000000014</v>
      </c>
      <c r="G103" s="109"/>
    </row>
    <row r="104" spans="1:7">
      <c r="A104" s="1047" t="s">
        <v>496</v>
      </c>
      <c r="B104" s="32" t="s">
        <v>56</v>
      </c>
      <c r="C104" s="48">
        <f>SUM('FY26'!BE$144:BE$215)*0.75</f>
        <v>79319.310402501156</v>
      </c>
      <c r="D104" s="48">
        <f>SUM('FY26'!BG$144:BG$215)*0.75</f>
        <v>113234.8173191477</v>
      </c>
      <c r="E104" s="48">
        <f>SUM('FY26'!BI$144:BI$215)*0.75</f>
        <v>84449.650415816213</v>
      </c>
      <c r="F104" s="50">
        <f t="shared" si="3"/>
        <v>277003.77813746507</v>
      </c>
      <c r="G104" s="109"/>
    </row>
    <row r="105" spans="1:7">
      <c r="A105" s="1048"/>
      <c r="B105" s="32" t="s">
        <v>54</v>
      </c>
      <c r="C105" s="48">
        <f>SUM('FY26'!BE$51:BE$61)*0.3+SUM('FY26'!BE$216:BE$223)*0.3</f>
        <v>6129.6824999999999</v>
      </c>
      <c r="D105" s="48">
        <f>SUM('FY26'!BG$51:BG$61)*0.3+SUM('FY26'!BG$216:BG$223)*0.3</f>
        <v>6129.6750000000002</v>
      </c>
      <c r="E105" s="48">
        <f>SUM('FY26'!BI$51:BI$61)*0.3+SUM('FY26'!BI$216:BI$223)*0.3</f>
        <v>2607.5925000000002</v>
      </c>
      <c r="F105" s="49">
        <f t="shared" si="3"/>
        <v>14866.95</v>
      </c>
      <c r="G105" s="109"/>
    </row>
    <row r="106" spans="1:7">
      <c r="A106" s="1048"/>
      <c r="B106" s="32" t="s">
        <v>57</v>
      </c>
      <c r="C106" s="48">
        <f>SUM('FY26'!BE$224:BE$239)</f>
        <v>30176.582090650361</v>
      </c>
      <c r="D106" s="48">
        <f>SUM('FY26'!BG$224:BG$239)</f>
        <v>34886.720509348001</v>
      </c>
      <c r="E106" s="48">
        <f>SUM('FY26'!BI$224:BI$239)</f>
        <v>32283.416037888132</v>
      </c>
      <c r="F106" s="50">
        <f t="shared" si="3"/>
        <v>97346.718637886501</v>
      </c>
      <c r="G106" s="109"/>
    </row>
    <row r="107" spans="1:7">
      <c r="A107" s="1048"/>
      <c r="B107" s="32" t="s">
        <v>58</v>
      </c>
      <c r="C107" s="48">
        <f>SUM('FY26'!BE$240:BE$248)</f>
        <v>40725.746569030372</v>
      </c>
      <c r="D107" s="48">
        <f>SUM('FY26'!BG$240:BG$248)</f>
        <v>38010.744025706088</v>
      </c>
      <c r="E107" s="48">
        <f>SUM('FY26'!BI$240:BI$248)</f>
        <v>44771.910996869825</v>
      </c>
      <c r="F107" s="49">
        <f t="shared" si="3"/>
        <v>123508.40159160629</v>
      </c>
      <c r="G107" s="109"/>
    </row>
    <row r="108" spans="1:7">
      <c r="A108" s="1048"/>
      <c r="B108" s="32" t="s">
        <v>59</v>
      </c>
      <c r="C108" s="48">
        <f>SUM('FY26'!BE$249:BE$262)</f>
        <v>38796.155573332479</v>
      </c>
      <c r="D108" s="48">
        <f>SUM('FY26'!BG$249:BG$262)</f>
        <v>45297.63992652965</v>
      </c>
      <c r="E108" s="48">
        <f>SUM('FY26'!BI$249:BI$262)</f>
        <v>42804.886855642319</v>
      </c>
      <c r="F108" s="50">
        <f t="shared" si="3"/>
        <v>126898.68235550445</v>
      </c>
      <c r="G108" s="109"/>
    </row>
    <row r="109" spans="1:7">
      <c r="A109" s="1048"/>
      <c r="B109" s="32" t="s">
        <v>60</v>
      </c>
      <c r="C109" s="48">
        <v>0</v>
      </c>
      <c r="D109" s="48">
        <v>0</v>
      </c>
      <c r="E109" s="48">
        <v>0</v>
      </c>
      <c r="F109" s="50">
        <f t="shared" si="3"/>
        <v>0</v>
      </c>
      <c r="G109" s="109"/>
    </row>
    <row r="110" spans="1:7">
      <c r="A110" s="1048"/>
      <c r="B110" s="32" t="s">
        <v>61</v>
      </c>
      <c r="C110" s="48">
        <v>0</v>
      </c>
      <c r="D110" s="48">
        <v>0</v>
      </c>
      <c r="E110" s="48">
        <v>0</v>
      </c>
      <c r="F110" s="50">
        <f t="shared" si="3"/>
        <v>0</v>
      </c>
      <c r="G110" s="109"/>
    </row>
    <row r="111" spans="1:7">
      <c r="A111" s="1048"/>
      <c r="B111" s="32" t="s">
        <v>55</v>
      </c>
      <c r="C111" s="48">
        <v>0</v>
      </c>
      <c r="D111" s="48">
        <v>0</v>
      </c>
      <c r="E111" s="48">
        <v>0</v>
      </c>
      <c r="F111" s="50">
        <f t="shared" si="3"/>
        <v>0</v>
      </c>
      <c r="G111" s="109"/>
    </row>
    <row r="112" spans="1:7">
      <c r="A112" s="32" t="s">
        <v>62</v>
      </c>
      <c r="B112" s="32" t="s">
        <v>63</v>
      </c>
      <c r="C112" s="48">
        <v>0</v>
      </c>
      <c r="D112" s="48">
        <v>0</v>
      </c>
      <c r="E112" s="48">
        <v>0</v>
      </c>
      <c r="F112" s="50">
        <f t="shared" si="3"/>
        <v>0</v>
      </c>
      <c r="G112" s="41"/>
    </row>
    <row r="113" spans="1:7">
      <c r="A113" s="27"/>
      <c r="B113" s="27"/>
      <c r="C113" s="47"/>
      <c r="D113" s="47"/>
      <c r="E113" s="47"/>
      <c r="F113" s="51">
        <f>SUM(F95:F112)</f>
        <v>1022961.8995157469</v>
      </c>
      <c r="G113" s="27"/>
    </row>
    <row r="114" spans="1:7">
      <c r="A114" s="24" t="s">
        <v>69</v>
      </c>
      <c r="B114" s="25"/>
      <c r="C114" s="26"/>
      <c r="D114" s="38"/>
      <c r="E114" s="38"/>
      <c r="F114" s="38"/>
      <c r="G114" s="40"/>
    </row>
    <row r="115" spans="1:7" ht="30.5" customHeight="1">
      <c r="A115" s="28"/>
      <c r="B115" s="43" t="s">
        <v>45</v>
      </c>
      <c r="C115" s="44">
        <v>46235</v>
      </c>
      <c r="D115" s="8">
        <v>46266</v>
      </c>
      <c r="E115" s="8">
        <v>46296</v>
      </c>
      <c r="F115" s="45" t="s">
        <v>382</v>
      </c>
      <c r="G115" s="31" t="s">
        <v>2</v>
      </c>
    </row>
    <row r="116" spans="1:7">
      <c r="A116" s="1043" t="s">
        <v>64</v>
      </c>
      <c r="B116" s="46" t="s">
        <v>497</v>
      </c>
      <c r="C116" s="52">
        <f>SUM(C95:C112)</f>
        <v>324327.33557791717</v>
      </c>
      <c r="D116" s="52">
        <f>SUM(D95:D112)</f>
        <v>382597.22419988347</v>
      </c>
      <c r="E116" s="52">
        <f>SUM(E95:E112)</f>
        <v>316037.33973794623</v>
      </c>
      <c r="F116" s="53">
        <f>SUM(C116:E116)</f>
        <v>1022961.8995157469</v>
      </c>
      <c r="G116" s="34"/>
    </row>
    <row r="117" spans="1:7">
      <c r="A117" s="1043"/>
      <c r="B117" s="32" t="s">
        <v>65</v>
      </c>
      <c r="C117" s="42"/>
      <c r="D117" s="42"/>
      <c r="E117" s="42"/>
      <c r="F117" s="42">
        <f>SUM(C117:E117)</f>
        <v>0</v>
      </c>
      <c r="G117" s="33"/>
    </row>
    <row r="118" spans="1:7">
      <c r="A118" s="1043"/>
      <c r="B118" s="32" t="s">
        <v>498</v>
      </c>
      <c r="C118" s="42"/>
      <c r="D118" s="42"/>
      <c r="E118" s="42"/>
      <c r="F118" s="42">
        <f>SUM(C118:E118)</f>
        <v>0</v>
      </c>
      <c r="G118" s="33"/>
    </row>
    <row r="119" spans="1:7">
      <c r="A119" s="1043"/>
      <c r="B119" s="32" t="s">
        <v>499</v>
      </c>
      <c r="C119" s="42"/>
      <c r="D119" s="42"/>
      <c r="E119" s="42"/>
      <c r="F119" s="42">
        <f>SUM(C119:E119)</f>
        <v>0</v>
      </c>
      <c r="G119" s="33"/>
    </row>
    <row r="120" spans="1:7">
      <c r="A120" s="1043"/>
      <c r="B120" s="32" t="s">
        <v>66</v>
      </c>
      <c r="C120" s="42"/>
      <c r="D120" s="42"/>
      <c r="E120" s="42"/>
      <c r="F120" s="42">
        <f>SUM(C120:E120)</f>
        <v>0</v>
      </c>
      <c r="G120" s="33"/>
    </row>
    <row r="121" spans="1:7">
      <c r="C121" s="23"/>
      <c r="D121" s="23"/>
      <c r="E121" s="54" t="s">
        <v>500</v>
      </c>
      <c r="F121" s="55">
        <f>SUM(F116:F120)</f>
        <v>1022961.8995157469</v>
      </c>
    </row>
  </sheetData>
  <mergeCells count="12">
    <mergeCell ref="A116:A120"/>
    <mergeCell ref="A3:A11"/>
    <mergeCell ref="A12:A19"/>
    <mergeCell ref="A25:A29"/>
    <mergeCell ref="A34:A42"/>
    <mergeCell ref="A43:A50"/>
    <mergeCell ref="A56:A60"/>
    <mergeCell ref="A65:A73"/>
    <mergeCell ref="A74:A81"/>
    <mergeCell ref="A86:A90"/>
    <mergeCell ref="A95:A103"/>
    <mergeCell ref="A104:A111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CC13-907D-49D6-BAD2-A187D010490E}">
  <dimension ref="A1:BM1048510"/>
  <sheetViews>
    <sheetView tabSelected="1" zoomScale="75" zoomScaleNormal="75" workbookViewId="0">
      <pane xSplit="13" ySplit="2" topLeftCell="N131" activePane="bottomRight" state="frozen"/>
      <selection activeCell="D1" sqref="D1"/>
      <selection pane="topRight" activeCell="N1" sqref="N1"/>
      <selection pane="bottomLeft" activeCell="D3" sqref="D3"/>
      <selection pane="bottomRight" activeCell="BA82" sqref="BA82"/>
    </sheetView>
  </sheetViews>
  <sheetFormatPr defaultColWidth="8.1796875" defaultRowHeight="14.5"/>
  <cols>
    <col min="1" max="1" width="6.1796875" style="1" customWidth="1"/>
    <col min="2" max="2" width="10.1796875" style="1" customWidth="1"/>
    <col min="3" max="3" width="7.7265625" style="1" customWidth="1"/>
    <col min="4" max="4" width="10.08984375" style="1" customWidth="1"/>
    <col min="5" max="5" width="6.54296875" style="1" customWidth="1"/>
    <col min="6" max="6" width="9.08984375" style="1" customWidth="1"/>
    <col min="7" max="7" width="8" style="1" customWidth="1"/>
    <col min="8" max="8" width="20.90625" style="889" customWidth="1"/>
    <col min="9" max="9" width="11.26953125" style="194" bestFit="1" customWidth="1"/>
    <col min="10" max="10" width="6.6328125" style="7" customWidth="1"/>
    <col min="11" max="11" width="13.7265625" style="1" customWidth="1"/>
    <col min="12" max="12" width="10.26953125" style="1" customWidth="1"/>
    <col min="13" max="13" width="13.1796875" style="6" customWidth="1"/>
    <col min="14" max="24" width="10.6328125" style="6" customWidth="1"/>
    <col min="25" max="25" width="10.6328125" style="416" customWidth="1"/>
    <col min="26" max="37" width="10.6328125" style="6" customWidth="1"/>
    <col min="38" max="38" width="14.7265625" style="105" bestFit="1" customWidth="1"/>
    <col min="39" max="39" width="17.36328125" style="106" bestFit="1" customWidth="1"/>
    <col min="40" max="40" width="14.453125" style="105" bestFit="1" customWidth="1"/>
    <col min="41" max="41" width="17" style="106" bestFit="1" customWidth="1"/>
    <col min="42" max="42" width="14.08984375" style="105" bestFit="1" customWidth="1"/>
    <col min="43" max="43" width="16.54296875" style="106" bestFit="1" customWidth="1"/>
    <col min="44" max="44" width="14.26953125" style="1" bestFit="1" customWidth="1"/>
    <col min="45" max="45" width="16.90625" style="1" bestFit="1" customWidth="1"/>
    <col min="46" max="46" width="14.7265625" style="1" bestFit="1" customWidth="1"/>
    <col min="47" max="47" width="17.36328125" style="1" bestFit="1" customWidth="1"/>
    <col min="48" max="48" width="14.26953125" style="1" bestFit="1" customWidth="1"/>
    <col min="49" max="49" width="16.90625" style="1" bestFit="1" customWidth="1"/>
    <col min="50" max="50" width="15.08984375" style="1" bestFit="1" customWidth="1"/>
    <col min="51" max="51" width="17.7265625" style="1" bestFit="1" customWidth="1"/>
    <col min="52" max="52" width="14.1796875" style="23" bestFit="1" customWidth="1"/>
    <col min="53" max="53" width="16.81640625" style="23" bestFit="1" customWidth="1"/>
    <col min="54" max="54" width="13.54296875" style="1" bestFit="1" customWidth="1"/>
    <col min="55" max="55" width="16" style="1" bestFit="1" customWidth="1"/>
    <col min="56" max="56" width="14.6328125" style="23" bestFit="1" customWidth="1"/>
    <col min="57" max="57" width="17.26953125" style="23" bestFit="1" customWidth="1"/>
    <col min="58" max="58" width="14.453125" style="23" bestFit="1" customWidth="1"/>
    <col min="59" max="59" width="17" style="23" bestFit="1" customWidth="1"/>
    <col min="60" max="60" width="14.1796875" style="23" bestFit="1" customWidth="1"/>
    <col min="61" max="61" width="16.81640625" style="23" bestFit="1" customWidth="1"/>
    <col min="62" max="62" width="27.7265625" style="1" bestFit="1" customWidth="1"/>
    <col min="63" max="63" width="34.7265625" style="1" bestFit="1" customWidth="1"/>
    <col min="64" max="64" width="13.7265625" style="1" bestFit="1" customWidth="1"/>
    <col min="65" max="65" width="20.36328125" style="1" bestFit="1" customWidth="1"/>
    <col min="66" max="16384" width="8.1796875" style="1"/>
  </cols>
  <sheetData>
    <row r="1" spans="1:65" s="2" customFormat="1" ht="149.5" customHeight="1" thickBot="1">
      <c r="A1" s="218"/>
      <c r="B1" s="301"/>
      <c r="C1" s="301"/>
      <c r="D1" s="403" t="s">
        <v>70</v>
      </c>
      <c r="E1" s="219" t="s">
        <v>71</v>
      </c>
      <c r="F1" s="4"/>
      <c r="G1" s="220" t="s">
        <v>72</v>
      </c>
      <c r="H1" s="833" t="s">
        <v>73</v>
      </c>
      <c r="I1" s="112" t="s">
        <v>74</v>
      </c>
      <c r="J1" s="112" t="s">
        <v>75</v>
      </c>
      <c r="K1" s="112" t="s">
        <v>76</v>
      </c>
      <c r="L1" s="112" t="s">
        <v>77</v>
      </c>
      <c r="M1" s="112" t="s">
        <v>328</v>
      </c>
      <c r="Y1" s="416"/>
      <c r="AM1" s="2">
        <f>SUM(AM3:AM262)</f>
        <v>382332.68000000011</v>
      </c>
      <c r="AO1" s="2">
        <f>SUM(AO3:AO262)</f>
        <v>353760.81000000006</v>
      </c>
      <c r="AP1" s="302"/>
      <c r="AQ1" s="2">
        <f>SUM(AQ3:AQ262)</f>
        <v>247777.10000000015</v>
      </c>
      <c r="AS1" s="2">
        <f>SUM(AS3:AS262)</f>
        <v>35221.639999999992</v>
      </c>
      <c r="AT1" s="302"/>
      <c r="AU1" s="2">
        <f>SUM(AU3:AU262)</f>
        <v>552986.00640000007</v>
      </c>
      <c r="AV1" s="302"/>
      <c r="AW1" s="302">
        <f>SUM(AW3:AW262)</f>
        <v>354896.53999999992</v>
      </c>
      <c r="AX1" s="302"/>
      <c r="AY1" s="302">
        <f>SUM(AY3:AY262)</f>
        <v>358883.55000000016</v>
      </c>
      <c r="AZ1" s="302"/>
      <c r="BA1" s="302">
        <f>SUM(BA3:BA262)</f>
        <v>357298.5500000001</v>
      </c>
      <c r="BB1" s="302"/>
      <c r="BC1" s="302">
        <f>SUM(BC3:BC262)</f>
        <v>312037.98050113383</v>
      </c>
      <c r="BD1" s="302"/>
      <c r="BE1" s="302">
        <f>SUM(BE3:BE262)</f>
        <v>324327.33557791717</v>
      </c>
      <c r="BF1" s="302"/>
      <c r="BG1" s="302">
        <f>SUM(BG3:BG262)</f>
        <v>382597.22419988347</v>
      </c>
      <c r="BH1" s="302"/>
      <c r="BI1" s="302">
        <f>SUM(BI3:BI262)</f>
        <v>316037.33973794623</v>
      </c>
      <c r="BJ1" s="112" t="s">
        <v>78</v>
      </c>
      <c r="BK1" s="112" t="s">
        <v>79</v>
      </c>
      <c r="BL1" s="112" t="s">
        <v>80</v>
      </c>
      <c r="BM1" s="112" t="s">
        <v>81</v>
      </c>
    </row>
    <row r="2" spans="1:65" s="3" customFormat="1" ht="73.5" customHeight="1" thickBot="1">
      <c r="A2" s="198" t="s">
        <v>383</v>
      </c>
      <c r="B2" s="196" t="s">
        <v>82</v>
      </c>
      <c r="C2" s="102" t="s">
        <v>83</v>
      </c>
      <c r="D2" s="404" t="s">
        <v>84</v>
      </c>
      <c r="E2" s="5" t="s">
        <v>45</v>
      </c>
      <c r="F2" s="206" t="s">
        <v>85</v>
      </c>
      <c r="G2" s="832" t="s">
        <v>86</v>
      </c>
      <c r="H2" s="834" t="s">
        <v>87</v>
      </c>
      <c r="I2" s="393" t="s">
        <v>88</v>
      </c>
      <c r="J2" s="394" t="s">
        <v>89</v>
      </c>
      <c r="K2" s="395" t="s">
        <v>90</v>
      </c>
      <c r="L2" s="396" t="s">
        <v>91</v>
      </c>
      <c r="M2" s="447" t="s">
        <v>92</v>
      </c>
      <c r="N2" s="805" t="s">
        <v>93</v>
      </c>
      <c r="O2" s="806" t="s">
        <v>94</v>
      </c>
      <c r="P2" s="806" t="s">
        <v>95</v>
      </c>
      <c r="Q2" s="806" t="s">
        <v>96</v>
      </c>
      <c r="R2" s="806" t="s">
        <v>97</v>
      </c>
      <c r="S2" s="806" t="s">
        <v>98</v>
      </c>
      <c r="T2" s="806" t="s">
        <v>99</v>
      </c>
      <c r="U2" s="806" t="s">
        <v>100</v>
      </c>
      <c r="V2" s="806" t="s">
        <v>101</v>
      </c>
      <c r="W2" s="806" t="s">
        <v>102</v>
      </c>
      <c r="X2" s="806" t="s">
        <v>103</v>
      </c>
      <c r="Y2" s="807" t="s">
        <v>104</v>
      </c>
      <c r="Z2" s="808" t="s">
        <v>105</v>
      </c>
      <c r="AA2" s="809" t="s">
        <v>106</v>
      </c>
      <c r="AB2" s="809" t="s">
        <v>107</v>
      </c>
      <c r="AC2" s="809" t="s">
        <v>108</v>
      </c>
      <c r="AD2" s="809" t="s">
        <v>109</v>
      </c>
      <c r="AE2" s="809" t="s">
        <v>110</v>
      </c>
      <c r="AF2" s="809" t="s">
        <v>111</v>
      </c>
      <c r="AG2" s="809" t="s">
        <v>112</v>
      </c>
      <c r="AH2" s="809" t="s">
        <v>113</v>
      </c>
      <c r="AI2" s="809" t="s">
        <v>114</v>
      </c>
      <c r="AJ2" s="809" t="s">
        <v>115</v>
      </c>
      <c r="AK2" s="810" t="s">
        <v>116</v>
      </c>
      <c r="AL2" s="713" t="s">
        <v>117</v>
      </c>
      <c r="AM2" s="397" t="s">
        <v>118</v>
      </c>
      <c r="AN2" s="398" t="s">
        <v>119</v>
      </c>
      <c r="AO2" s="397" t="s">
        <v>120</v>
      </c>
      <c r="AP2" s="397" t="s">
        <v>121</v>
      </c>
      <c r="AQ2" s="399" t="s">
        <v>122</v>
      </c>
      <c r="AR2" s="461" t="s">
        <v>123</v>
      </c>
      <c r="AS2" s="400" t="s">
        <v>124</v>
      </c>
      <c r="AT2" s="401" t="s">
        <v>125</v>
      </c>
      <c r="AU2" s="400" t="s">
        <v>126</v>
      </c>
      <c r="AV2" s="400" t="s">
        <v>127</v>
      </c>
      <c r="AW2" s="402" t="s">
        <v>128</v>
      </c>
      <c r="AX2" s="176" t="s">
        <v>129</v>
      </c>
      <c r="AY2" s="165" t="s">
        <v>130</v>
      </c>
      <c r="AZ2" s="330" t="s">
        <v>131</v>
      </c>
      <c r="BA2" s="165" t="s">
        <v>132</v>
      </c>
      <c r="BB2" s="165" t="s">
        <v>133</v>
      </c>
      <c r="BC2" s="165" t="s">
        <v>134</v>
      </c>
      <c r="BD2" s="432" t="s">
        <v>135</v>
      </c>
      <c r="BE2" s="433" t="s">
        <v>136</v>
      </c>
      <c r="BF2" s="432" t="s">
        <v>137</v>
      </c>
      <c r="BG2" s="433" t="s">
        <v>138</v>
      </c>
      <c r="BH2" s="433" t="s">
        <v>139</v>
      </c>
      <c r="BI2" s="440" t="s">
        <v>140</v>
      </c>
      <c r="BJ2" s="179" t="s">
        <v>141</v>
      </c>
      <c r="BK2" s="166" t="s">
        <v>142</v>
      </c>
      <c r="BL2" s="166" t="s">
        <v>143</v>
      </c>
      <c r="BM2" s="166" t="s">
        <v>144</v>
      </c>
    </row>
    <row r="3" spans="1:65">
      <c r="A3" s="350" t="s">
        <v>383</v>
      </c>
      <c r="B3" s="22" t="s">
        <v>508</v>
      </c>
      <c r="C3" s="22" t="s">
        <v>30</v>
      </c>
      <c r="D3" s="1031" t="s">
        <v>145</v>
      </c>
      <c r="E3" s="1016" t="s">
        <v>146</v>
      </c>
      <c r="F3" s="1034" t="s">
        <v>147</v>
      </c>
      <c r="G3" s="385">
        <v>2024</v>
      </c>
      <c r="H3" s="835" t="s">
        <v>152</v>
      </c>
      <c r="I3" s="386" t="s">
        <v>151</v>
      </c>
      <c r="J3" s="387">
        <v>14</v>
      </c>
      <c r="K3" s="74" t="s">
        <v>153</v>
      </c>
      <c r="L3" s="388" t="s">
        <v>154</v>
      </c>
      <c r="M3" s="316" t="s">
        <v>325</v>
      </c>
      <c r="N3" s="469">
        <v>7.33</v>
      </c>
      <c r="O3" s="470">
        <v>7.33</v>
      </c>
      <c r="P3" s="384">
        <v>7.33</v>
      </c>
      <c r="Q3" s="470">
        <v>7.33</v>
      </c>
      <c r="R3" s="384">
        <v>8</v>
      </c>
      <c r="S3" s="470">
        <v>8</v>
      </c>
      <c r="T3" s="384">
        <v>8</v>
      </c>
      <c r="U3" s="470">
        <v>8</v>
      </c>
      <c r="V3" s="384">
        <v>8</v>
      </c>
      <c r="W3" s="470">
        <v>8</v>
      </c>
      <c r="X3" s="384">
        <v>8</v>
      </c>
      <c r="Y3" s="384">
        <v>8</v>
      </c>
      <c r="Z3" s="195">
        <v>0.12</v>
      </c>
      <c r="AA3" s="340">
        <v>0.12</v>
      </c>
      <c r="AB3" s="341">
        <v>0.12</v>
      </c>
      <c r="AC3" s="340">
        <v>0</v>
      </c>
      <c r="AD3" s="341">
        <v>0.38</v>
      </c>
      <c r="AE3" s="340">
        <v>0.38</v>
      </c>
      <c r="AF3" s="341">
        <v>0.38</v>
      </c>
      <c r="AG3" s="340">
        <v>0.38</v>
      </c>
      <c r="AH3" s="341">
        <v>0.38</v>
      </c>
      <c r="AI3" s="340">
        <v>0.38</v>
      </c>
      <c r="AJ3" s="341">
        <v>0.38</v>
      </c>
      <c r="AK3" s="480">
        <v>0.38</v>
      </c>
      <c r="AL3" s="799">
        <v>3982</v>
      </c>
      <c r="AM3" s="496">
        <f t="shared" ref="AM3:AM73" si="0">Z3*AL3</f>
        <v>477.84</v>
      </c>
      <c r="AN3" s="800">
        <v>7016</v>
      </c>
      <c r="AO3" s="496">
        <f t="shared" ref="AO3:AO73" si="1">AA3*AN3</f>
        <v>841.92</v>
      </c>
      <c r="AP3" s="800">
        <v>10060</v>
      </c>
      <c r="AQ3" s="621">
        <f t="shared" ref="AQ3:AQ73" si="2">AB3*AP3</f>
        <v>1207.2</v>
      </c>
      <c r="AR3" s="801">
        <v>9640</v>
      </c>
      <c r="AS3" s="777">
        <f t="shared" ref="AS3:AS73" si="3">AC3*AR3</f>
        <v>0</v>
      </c>
      <c r="AT3" s="800">
        <v>18800</v>
      </c>
      <c r="AU3" s="496">
        <f t="shared" ref="AU3:AU73" si="4">AD3*AT3</f>
        <v>7144</v>
      </c>
      <c r="AV3" s="802">
        <v>11833</v>
      </c>
      <c r="AW3" s="390">
        <f t="shared" ref="AW3:AW73" si="5">AE3*AV3</f>
        <v>4496.54</v>
      </c>
      <c r="AX3" s="803">
        <v>14181</v>
      </c>
      <c r="AY3" s="389">
        <f t="shared" ref="AY3:AY73" si="6">AF3*AX3</f>
        <v>5388.78</v>
      </c>
      <c r="AZ3" s="802">
        <v>20157</v>
      </c>
      <c r="BA3" s="389">
        <f t="shared" ref="BA3:BA73" si="7">AG3*AZ3</f>
        <v>7659.66</v>
      </c>
      <c r="BB3" s="804">
        <v>0</v>
      </c>
      <c r="BC3" s="391">
        <f t="shared" ref="BC3:BC73" si="8">AH3*BB3</f>
        <v>0</v>
      </c>
      <c r="BD3" s="803">
        <v>0</v>
      </c>
      <c r="BE3" s="389">
        <f t="shared" ref="BE3:BE73" si="9">AI3*BD3</f>
        <v>0</v>
      </c>
      <c r="BF3" s="802">
        <v>0</v>
      </c>
      <c r="BG3" s="389">
        <f t="shared" ref="BG3:BG73" si="10">AJ3*BF3</f>
        <v>0</v>
      </c>
      <c r="BH3" s="804">
        <v>0</v>
      </c>
      <c r="BI3" s="392">
        <f t="shared" ref="BI3:BI73" si="11">AK3*BH3</f>
        <v>0</v>
      </c>
      <c r="BJ3" s="453" t="s">
        <v>155</v>
      </c>
      <c r="BK3" s="78"/>
      <c r="BL3" s="78" t="s">
        <v>92</v>
      </c>
      <c r="BM3" s="9" t="s">
        <v>270</v>
      </c>
    </row>
    <row r="4" spans="1:65">
      <c r="A4" s="197" t="s">
        <v>383</v>
      </c>
      <c r="B4" s="9" t="s">
        <v>508</v>
      </c>
      <c r="C4" s="9" t="s">
        <v>30</v>
      </c>
      <c r="D4" s="1032"/>
      <c r="E4" s="1017"/>
      <c r="F4" s="1035"/>
      <c r="G4" s="201">
        <v>2024</v>
      </c>
      <c r="H4" s="836" t="s">
        <v>152</v>
      </c>
      <c r="I4" s="265" t="s">
        <v>151</v>
      </c>
      <c r="J4" s="88">
        <v>14</v>
      </c>
      <c r="K4" s="57" t="s">
        <v>153</v>
      </c>
      <c r="L4" s="104" t="s">
        <v>150</v>
      </c>
      <c r="M4" s="316" t="s">
        <v>320</v>
      </c>
      <c r="N4" s="469">
        <v>7.33</v>
      </c>
      <c r="O4" s="470">
        <v>7.33</v>
      </c>
      <c r="P4" s="384">
        <v>7.33</v>
      </c>
      <c r="Q4" s="470">
        <v>7.33</v>
      </c>
      <c r="R4" s="384">
        <v>8</v>
      </c>
      <c r="S4" s="470">
        <v>8</v>
      </c>
      <c r="T4" s="384">
        <v>8</v>
      </c>
      <c r="U4" s="470">
        <v>8</v>
      </c>
      <c r="V4" s="384">
        <v>8</v>
      </c>
      <c r="W4" s="470">
        <v>8</v>
      </c>
      <c r="X4" s="384">
        <v>8</v>
      </c>
      <c r="Y4" s="384">
        <v>8</v>
      </c>
      <c r="Z4" s="195">
        <v>0.12</v>
      </c>
      <c r="AA4" s="471">
        <v>0.12</v>
      </c>
      <c r="AB4" s="472">
        <v>0.12</v>
      </c>
      <c r="AC4" s="471">
        <v>0</v>
      </c>
      <c r="AD4" s="472">
        <v>0.38</v>
      </c>
      <c r="AE4" s="471">
        <v>0.38</v>
      </c>
      <c r="AF4" s="472">
        <v>0.38</v>
      </c>
      <c r="AG4" s="471">
        <v>0.38</v>
      </c>
      <c r="AH4" s="472">
        <v>0.38</v>
      </c>
      <c r="AI4" s="471">
        <v>0.38</v>
      </c>
      <c r="AJ4" s="472">
        <v>0.38</v>
      </c>
      <c r="AK4" s="944">
        <v>0.38</v>
      </c>
      <c r="AL4" s="493">
        <v>9548</v>
      </c>
      <c r="AM4" s="494">
        <f t="shared" si="0"/>
        <v>1145.76</v>
      </c>
      <c r="AN4" s="546">
        <v>11767</v>
      </c>
      <c r="AO4" s="494">
        <f t="shared" si="1"/>
        <v>1412.04</v>
      </c>
      <c r="AP4" s="546">
        <v>3400</v>
      </c>
      <c r="AQ4" s="620">
        <f t="shared" si="2"/>
        <v>408</v>
      </c>
      <c r="AR4" s="493">
        <v>5360</v>
      </c>
      <c r="AS4" s="775">
        <f t="shared" si="3"/>
        <v>0</v>
      </c>
      <c r="AT4" s="546">
        <v>3840</v>
      </c>
      <c r="AU4" s="494">
        <f t="shared" si="4"/>
        <v>1459.2</v>
      </c>
      <c r="AV4" s="128">
        <v>3370</v>
      </c>
      <c r="AW4" s="355">
        <f t="shared" si="5"/>
        <v>1280.5999999999999</v>
      </c>
      <c r="AX4" s="126">
        <v>276</v>
      </c>
      <c r="AY4" s="127">
        <f t="shared" si="6"/>
        <v>104.88</v>
      </c>
      <c r="AZ4" s="128">
        <v>118</v>
      </c>
      <c r="BA4" s="127">
        <f t="shared" si="7"/>
        <v>44.84</v>
      </c>
      <c r="BB4" s="129">
        <v>482.53465821585399</v>
      </c>
      <c r="BC4" s="356">
        <f t="shared" si="8"/>
        <v>183.36317012202451</v>
      </c>
      <c r="BD4" s="126">
        <v>329.56132131620097</v>
      </c>
      <c r="BE4" s="127">
        <f t="shared" si="9"/>
        <v>125.23330210015637</v>
      </c>
      <c r="BF4" s="128">
        <v>267.46958115269598</v>
      </c>
      <c r="BG4" s="127">
        <f t="shared" si="10"/>
        <v>101.63844083802448</v>
      </c>
      <c r="BH4" s="129">
        <v>193.791477576114</v>
      </c>
      <c r="BI4" s="329">
        <f t="shared" si="11"/>
        <v>73.640761478923324</v>
      </c>
      <c r="BJ4" s="1" t="s">
        <v>156</v>
      </c>
      <c r="BK4" s="78"/>
      <c r="BL4" s="78" t="s">
        <v>92</v>
      </c>
      <c r="BM4" s="9" t="s">
        <v>270</v>
      </c>
    </row>
    <row r="5" spans="1:65">
      <c r="A5" s="197" t="s">
        <v>383</v>
      </c>
      <c r="B5" s="9" t="s">
        <v>508</v>
      </c>
      <c r="C5" s="9" t="s">
        <v>30</v>
      </c>
      <c r="D5" s="1032"/>
      <c r="E5" s="1017"/>
      <c r="F5" s="1035"/>
      <c r="G5" s="202">
        <v>2024</v>
      </c>
      <c r="H5" s="837" t="s">
        <v>152</v>
      </c>
      <c r="I5" s="266" t="s">
        <v>148</v>
      </c>
      <c r="J5" s="147">
        <v>14</v>
      </c>
      <c r="K5" s="107" t="s">
        <v>153</v>
      </c>
      <c r="L5" s="318" t="s">
        <v>154</v>
      </c>
      <c r="M5" s="316" t="s">
        <v>325</v>
      </c>
      <c r="N5" s="172">
        <v>3.38</v>
      </c>
      <c r="O5" s="6">
        <v>3.38</v>
      </c>
      <c r="P5" s="6">
        <v>3.38</v>
      </c>
      <c r="Q5" s="6">
        <v>3.38</v>
      </c>
      <c r="R5" s="6">
        <v>4.05</v>
      </c>
      <c r="S5" s="6">
        <v>4.05</v>
      </c>
      <c r="T5" s="6">
        <v>4.05</v>
      </c>
      <c r="U5" s="6">
        <v>4.05</v>
      </c>
      <c r="V5" s="6">
        <v>4.05</v>
      </c>
      <c r="W5" s="6">
        <v>4.05</v>
      </c>
      <c r="X5" s="6">
        <v>4.05</v>
      </c>
      <c r="Y5" s="6">
        <v>4.05</v>
      </c>
      <c r="Z5" s="195">
        <v>0.03</v>
      </c>
      <c r="AA5" s="473">
        <v>0.03</v>
      </c>
      <c r="AB5" s="341">
        <v>0.03</v>
      </c>
      <c r="AC5" s="473">
        <v>0</v>
      </c>
      <c r="AD5" s="341">
        <v>0.28999999999999998</v>
      </c>
      <c r="AE5" s="473">
        <v>0.28999999999999998</v>
      </c>
      <c r="AF5" s="341">
        <v>0.28999999999999998</v>
      </c>
      <c r="AG5" s="473">
        <v>0.28999999999999998</v>
      </c>
      <c r="AH5" s="341">
        <v>0.28999999999999998</v>
      </c>
      <c r="AI5" s="473">
        <v>0.28999999999999998</v>
      </c>
      <c r="AJ5" s="341">
        <v>0.28999999999999998</v>
      </c>
      <c r="AK5" s="945">
        <v>0.28999999999999998</v>
      </c>
      <c r="AL5" s="495">
        <v>1400</v>
      </c>
      <c r="AM5" s="496">
        <f t="shared" si="0"/>
        <v>42</v>
      </c>
      <c r="AN5" s="547">
        <v>7720</v>
      </c>
      <c r="AO5" s="496">
        <f t="shared" si="1"/>
        <v>231.6</v>
      </c>
      <c r="AP5" s="555">
        <v>1640</v>
      </c>
      <c r="AQ5" s="621">
        <f t="shared" si="2"/>
        <v>49.199999999999996</v>
      </c>
      <c r="AR5" s="776">
        <v>3880</v>
      </c>
      <c r="AS5" s="777">
        <f t="shared" si="3"/>
        <v>0</v>
      </c>
      <c r="AT5" s="555">
        <v>7040</v>
      </c>
      <c r="AU5" s="496">
        <f t="shared" si="4"/>
        <v>2041.6</v>
      </c>
      <c r="AV5" s="149">
        <v>3070</v>
      </c>
      <c r="AW5" s="390">
        <f t="shared" si="5"/>
        <v>890.3</v>
      </c>
      <c r="AX5" s="150">
        <v>3363</v>
      </c>
      <c r="AY5" s="389">
        <f t="shared" si="6"/>
        <v>975.27</v>
      </c>
      <c r="AZ5" s="149">
        <v>4280</v>
      </c>
      <c r="BA5" s="389">
        <f t="shared" si="7"/>
        <v>1241.1999999999998</v>
      </c>
      <c r="BB5" s="151">
        <v>0</v>
      </c>
      <c r="BC5" s="391">
        <f t="shared" si="8"/>
        <v>0</v>
      </c>
      <c r="BD5" s="150">
        <v>0</v>
      </c>
      <c r="BE5" s="389">
        <f t="shared" si="9"/>
        <v>0</v>
      </c>
      <c r="BF5" s="149">
        <v>0</v>
      </c>
      <c r="BG5" s="389">
        <f t="shared" si="10"/>
        <v>0</v>
      </c>
      <c r="BH5" s="151">
        <v>0</v>
      </c>
      <c r="BI5" s="392">
        <f t="shared" si="11"/>
        <v>0</v>
      </c>
      <c r="BJ5" s="1" t="s">
        <v>157</v>
      </c>
      <c r="BK5" s="78"/>
      <c r="BL5" s="78" t="s">
        <v>92</v>
      </c>
      <c r="BM5" s="9" t="s">
        <v>271</v>
      </c>
    </row>
    <row r="6" spans="1:65">
      <c r="A6" s="197" t="s">
        <v>383</v>
      </c>
      <c r="B6" s="9" t="s">
        <v>508</v>
      </c>
      <c r="C6" s="9" t="s">
        <v>30</v>
      </c>
      <c r="D6" s="1032"/>
      <c r="E6" s="1017"/>
      <c r="F6" s="1035"/>
      <c r="G6" s="226">
        <v>2024</v>
      </c>
      <c r="H6" s="837" t="s">
        <v>152</v>
      </c>
      <c r="I6" s="266" t="s">
        <v>148</v>
      </c>
      <c r="J6" s="147">
        <v>14</v>
      </c>
      <c r="K6" s="107" t="s">
        <v>153</v>
      </c>
      <c r="L6" s="308" t="s">
        <v>150</v>
      </c>
      <c r="M6" s="316" t="s">
        <v>320</v>
      </c>
      <c r="N6" s="172">
        <v>3.38</v>
      </c>
      <c r="O6" s="6">
        <v>3.38</v>
      </c>
      <c r="P6" s="6">
        <v>3.38</v>
      </c>
      <c r="Q6" s="6">
        <v>3.38</v>
      </c>
      <c r="R6" s="6">
        <v>4.05</v>
      </c>
      <c r="S6" s="6">
        <v>4.05</v>
      </c>
      <c r="T6" s="6">
        <v>4.05</v>
      </c>
      <c r="U6" s="6">
        <v>4.05</v>
      </c>
      <c r="V6" s="6">
        <v>4.05</v>
      </c>
      <c r="W6" s="6">
        <v>4.05</v>
      </c>
      <c r="X6" s="6">
        <v>4.05</v>
      </c>
      <c r="Y6" s="6">
        <v>4.05</v>
      </c>
      <c r="Z6" s="195">
        <v>0.03</v>
      </c>
      <c r="AA6" s="473">
        <v>0.03</v>
      </c>
      <c r="AB6" s="341">
        <v>0.03</v>
      </c>
      <c r="AC6" s="473">
        <v>0</v>
      </c>
      <c r="AD6" s="341">
        <v>0.28999999999999998</v>
      </c>
      <c r="AE6" s="473">
        <v>0.28999999999999998</v>
      </c>
      <c r="AF6" s="341">
        <v>0.28999999999999998</v>
      </c>
      <c r="AG6" s="473">
        <v>0.28999999999999998</v>
      </c>
      <c r="AH6" s="341">
        <v>0.28999999999999998</v>
      </c>
      <c r="AI6" s="473">
        <v>0.28999999999999998</v>
      </c>
      <c r="AJ6" s="341">
        <v>0.28999999999999998</v>
      </c>
      <c r="AK6" s="945">
        <v>0.28999999999999998</v>
      </c>
      <c r="AL6" s="497">
        <v>5389</v>
      </c>
      <c r="AM6" s="494">
        <f t="shared" si="0"/>
        <v>161.66999999999999</v>
      </c>
      <c r="AN6" s="548">
        <v>2040</v>
      </c>
      <c r="AO6" s="494">
        <f t="shared" si="1"/>
        <v>61.199999999999996</v>
      </c>
      <c r="AP6" s="652">
        <v>6200</v>
      </c>
      <c r="AQ6" s="620">
        <f t="shared" si="2"/>
        <v>186</v>
      </c>
      <c r="AR6" s="778">
        <v>1080</v>
      </c>
      <c r="AS6" s="775">
        <f t="shared" si="3"/>
        <v>0</v>
      </c>
      <c r="AT6" s="546">
        <v>4590</v>
      </c>
      <c r="AU6" s="494">
        <f t="shared" si="4"/>
        <v>1331.1</v>
      </c>
      <c r="AV6" s="128">
        <v>1089</v>
      </c>
      <c r="AW6" s="355">
        <f t="shared" si="5"/>
        <v>315.81</v>
      </c>
      <c r="AX6" s="126">
        <v>107</v>
      </c>
      <c r="AY6" s="127">
        <f t="shared" si="6"/>
        <v>31.029999999999998</v>
      </c>
      <c r="AZ6" s="128">
        <v>27</v>
      </c>
      <c r="BA6" s="127">
        <f t="shared" si="7"/>
        <v>7.8299999999999992</v>
      </c>
      <c r="BB6" s="129">
        <v>197.36998223619699</v>
      </c>
      <c r="BC6" s="356">
        <f t="shared" si="8"/>
        <v>57.237294848497122</v>
      </c>
      <c r="BD6" s="126">
        <v>155.08331920975999</v>
      </c>
      <c r="BE6" s="127">
        <f t="shared" si="9"/>
        <v>44.974162570830394</v>
      </c>
      <c r="BF6" s="128">
        <v>118.110986238876</v>
      </c>
      <c r="BG6" s="127">
        <f t="shared" si="10"/>
        <v>34.252186009274034</v>
      </c>
      <c r="BH6" s="129">
        <v>80.112077642901099</v>
      </c>
      <c r="BI6" s="329">
        <f t="shared" si="11"/>
        <v>23.232502516441318</v>
      </c>
      <c r="BJ6" s="453" t="s">
        <v>158</v>
      </c>
      <c r="BK6" s="78"/>
      <c r="BL6" s="78" t="s">
        <v>92</v>
      </c>
      <c r="BM6" s="9" t="s">
        <v>271</v>
      </c>
    </row>
    <row r="7" spans="1:65" ht="15" thickBot="1">
      <c r="A7" s="197" t="s">
        <v>383</v>
      </c>
      <c r="B7" s="328" t="s">
        <v>508</v>
      </c>
      <c r="C7" s="9" t="s">
        <v>30</v>
      </c>
      <c r="D7" s="1032"/>
      <c r="E7" s="1017"/>
      <c r="F7" s="1035"/>
      <c r="G7" s="204">
        <v>2025</v>
      </c>
      <c r="H7" s="838" t="s">
        <v>159</v>
      </c>
      <c r="I7" s="266" t="s">
        <v>151</v>
      </c>
      <c r="J7" s="147">
        <v>14</v>
      </c>
      <c r="K7" s="157" t="s">
        <v>153</v>
      </c>
      <c r="L7" s="309" t="s">
        <v>150</v>
      </c>
      <c r="M7" s="316" t="s">
        <v>320</v>
      </c>
      <c r="N7" s="304">
        <v>7.24</v>
      </c>
      <c r="O7" s="90">
        <v>7.24</v>
      </c>
      <c r="P7" s="698">
        <v>7.12</v>
      </c>
      <c r="Q7" s="698">
        <v>7.12</v>
      </c>
      <c r="R7" s="698">
        <v>7.8</v>
      </c>
      <c r="S7" s="698">
        <v>7.8</v>
      </c>
      <c r="T7" s="698">
        <v>7.8</v>
      </c>
      <c r="U7" s="698">
        <v>7.8</v>
      </c>
      <c r="V7" s="698">
        <v>7.8</v>
      </c>
      <c r="W7" s="698">
        <v>7.8</v>
      </c>
      <c r="X7" s="698">
        <v>7.8</v>
      </c>
      <c r="Y7" s="698">
        <v>7.8</v>
      </c>
      <c r="Z7" s="195">
        <v>0.16</v>
      </c>
      <c r="AA7" s="375">
        <v>0.16</v>
      </c>
      <c r="AB7" s="699">
        <v>0.11</v>
      </c>
      <c r="AC7" s="699">
        <v>0</v>
      </c>
      <c r="AD7" s="699">
        <v>0.38</v>
      </c>
      <c r="AE7" s="699">
        <v>0.38</v>
      </c>
      <c r="AF7" s="699">
        <v>0.38</v>
      </c>
      <c r="AG7" s="699">
        <v>0.38</v>
      </c>
      <c r="AH7" s="699">
        <v>0.38</v>
      </c>
      <c r="AI7" s="699">
        <v>0.38</v>
      </c>
      <c r="AJ7" s="699">
        <v>0.38</v>
      </c>
      <c r="AK7" s="946">
        <v>0.38</v>
      </c>
      <c r="AL7" s="498">
        <v>725</v>
      </c>
      <c r="AM7" s="496">
        <f t="shared" si="0"/>
        <v>116</v>
      </c>
      <c r="AN7" s="549">
        <v>1912</v>
      </c>
      <c r="AO7" s="496">
        <f t="shared" si="1"/>
        <v>305.92</v>
      </c>
      <c r="AP7" s="653">
        <v>200</v>
      </c>
      <c r="AQ7" s="621">
        <f t="shared" si="2"/>
        <v>22</v>
      </c>
      <c r="AR7" s="495">
        <v>80</v>
      </c>
      <c r="AS7" s="777">
        <f t="shared" si="3"/>
        <v>0</v>
      </c>
      <c r="AT7" s="555">
        <v>0</v>
      </c>
      <c r="AU7" s="496">
        <f t="shared" si="4"/>
        <v>0</v>
      </c>
      <c r="AV7" s="149">
        <v>396</v>
      </c>
      <c r="AW7" s="390">
        <f t="shared" si="5"/>
        <v>150.47999999999999</v>
      </c>
      <c r="AX7" s="150">
        <v>388</v>
      </c>
      <c r="AY7" s="389">
        <f t="shared" si="6"/>
        <v>147.44</v>
      </c>
      <c r="AZ7" s="149">
        <v>434</v>
      </c>
      <c r="BA7" s="389">
        <f t="shared" si="7"/>
        <v>164.92000000000002</v>
      </c>
      <c r="BB7" s="151">
        <v>463.70958268644</v>
      </c>
      <c r="BC7" s="391">
        <f t="shared" si="8"/>
        <v>176.20964142084719</v>
      </c>
      <c r="BD7" s="150">
        <v>344.01743255439601</v>
      </c>
      <c r="BE7" s="389">
        <f t="shared" si="9"/>
        <v>130.72662437067049</v>
      </c>
      <c r="BF7" s="149">
        <v>167.28620048875999</v>
      </c>
      <c r="BG7" s="389">
        <f t="shared" si="10"/>
        <v>63.568756185728795</v>
      </c>
      <c r="BH7" s="151">
        <v>25.552068162124598</v>
      </c>
      <c r="BI7" s="392">
        <f t="shared" si="11"/>
        <v>9.7097859016073471</v>
      </c>
      <c r="BJ7" s="1" t="s">
        <v>524</v>
      </c>
      <c r="BK7" s="78"/>
      <c r="BL7" s="78" t="s">
        <v>92</v>
      </c>
      <c r="BM7" s="9" t="s">
        <v>411</v>
      </c>
    </row>
    <row r="8" spans="1:65" ht="15" thickBot="1">
      <c r="A8" s="197" t="s">
        <v>383</v>
      </c>
      <c r="B8" s="328" t="s">
        <v>508</v>
      </c>
      <c r="C8" s="9" t="s">
        <v>30</v>
      </c>
      <c r="D8" s="1032"/>
      <c r="E8" s="1017"/>
      <c r="F8" s="1035"/>
      <c r="G8" s="204">
        <v>2025</v>
      </c>
      <c r="H8" s="838" t="s">
        <v>159</v>
      </c>
      <c r="I8" s="266" t="s">
        <v>151</v>
      </c>
      <c r="J8" s="147">
        <v>14</v>
      </c>
      <c r="K8" s="157" t="s">
        <v>153</v>
      </c>
      <c r="L8" s="309" t="s">
        <v>150</v>
      </c>
      <c r="M8" s="316" t="s">
        <v>320</v>
      </c>
      <c r="N8" s="304">
        <v>7.24</v>
      </c>
      <c r="O8" s="90">
        <v>7.24</v>
      </c>
      <c r="P8" s="698">
        <v>7.12</v>
      </c>
      <c r="Q8" s="698">
        <v>7.12</v>
      </c>
      <c r="R8" s="698">
        <v>7.8</v>
      </c>
      <c r="S8" s="698">
        <v>7.8</v>
      </c>
      <c r="T8" s="698">
        <v>7.8</v>
      </c>
      <c r="U8" s="698">
        <v>7.8</v>
      </c>
      <c r="V8" s="698">
        <v>7.8</v>
      </c>
      <c r="W8" s="698">
        <v>7.8</v>
      </c>
      <c r="X8" s="698">
        <v>7.8</v>
      </c>
      <c r="Y8" s="698">
        <v>7.8</v>
      </c>
      <c r="Z8" s="195">
        <v>0.16</v>
      </c>
      <c r="AA8" s="375">
        <v>0.16</v>
      </c>
      <c r="AB8" s="699">
        <v>0.11</v>
      </c>
      <c r="AC8" s="699">
        <v>0</v>
      </c>
      <c r="AD8" s="699">
        <v>0.38</v>
      </c>
      <c r="AE8" s="699">
        <v>0.38</v>
      </c>
      <c r="AF8" s="699">
        <v>0.38</v>
      </c>
      <c r="AG8" s="699">
        <v>0.38</v>
      </c>
      <c r="AH8" s="699">
        <v>0.38</v>
      </c>
      <c r="AI8" s="699">
        <v>0.38</v>
      </c>
      <c r="AJ8" s="699">
        <v>0.38</v>
      </c>
      <c r="AK8" s="946">
        <v>0.38</v>
      </c>
      <c r="AL8" s="498">
        <v>27280</v>
      </c>
      <c r="AM8" s="496">
        <f t="shared" si="0"/>
        <v>4364.8</v>
      </c>
      <c r="AN8" s="549">
        <v>16442</v>
      </c>
      <c r="AO8" s="496">
        <f t="shared" si="1"/>
        <v>2630.7200000000003</v>
      </c>
      <c r="AP8" s="653">
        <v>18473</v>
      </c>
      <c r="AQ8" s="621">
        <f t="shared" si="2"/>
        <v>2032.03</v>
      </c>
      <c r="AR8" s="495">
        <v>7855</v>
      </c>
      <c r="AS8" s="777">
        <f t="shared" si="3"/>
        <v>0</v>
      </c>
      <c r="AT8" s="555">
        <v>14769</v>
      </c>
      <c r="AU8" s="496">
        <f t="shared" si="4"/>
        <v>5612.22</v>
      </c>
      <c r="AV8" s="149">
        <v>16438</v>
      </c>
      <c r="AW8" s="390">
        <f t="shared" si="5"/>
        <v>6246.4400000000005</v>
      </c>
      <c r="AX8" s="150">
        <v>17399</v>
      </c>
      <c r="AY8" s="389">
        <f t="shared" si="6"/>
        <v>6611.62</v>
      </c>
      <c r="AZ8" s="149">
        <v>20861</v>
      </c>
      <c r="BA8" s="389">
        <f t="shared" si="7"/>
        <v>7927.18</v>
      </c>
      <c r="BB8" s="151">
        <v>18562.200589135999</v>
      </c>
      <c r="BC8" s="356">
        <f t="shared" si="8"/>
        <v>7053.6362238716792</v>
      </c>
      <c r="BD8" s="150">
        <v>12907.125667632399</v>
      </c>
      <c r="BE8" s="127">
        <f t="shared" si="9"/>
        <v>4904.7077537003115</v>
      </c>
      <c r="BF8" s="149">
        <v>7062.5849511304496</v>
      </c>
      <c r="BG8" s="389">
        <f t="shared" si="10"/>
        <v>2683.782281429571</v>
      </c>
      <c r="BH8" s="151">
        <v>1176.33780614171</v>
      </c>
      <c r="BI8" s="392">
        <f t="shared" si="11"/>
        <v>447.00836633384978</v>
      </c>
      <c r="BJ8" s="1" t="s">
        <v>525</v>
      </c>
      <c r="BK8" s="78"/>
      <c r="BL8" s="78" t="s">
        <v>92</v>
      </c>
      <c r="BM8" s="9" t="s">
        <v>272</v>
      </c>
    </row>
    <row r="9" spans="1:65" ht="15" thickBot="1">
      <c r="A9" s="197" t="s">
        <v>383</v>
      </c>
      <c r="B9" s="328" t="s">
        <v>508</v>
      </c>
      <c r="C9" s="9" t="s">
        <v>30</v>
      </c>
      <c r="D9" s="1032"/>
      <c r="E9" s="1017"/>
      <c r="F9" s="1035"/>
      <c r="G9" s="226">
        <v>2025</v>
      </c>
      <c r="H9" s="839" t="s">
        <v>159</v>
      </c>
      <c r="I9" s="266" t="s">
        <v>148</v>
      </c>
      <c r="J9" s="147">
        <v>14</v>
      </c>
      <c r="K9" s="107" t="s">
        <v>153</v>
      </c>
      <c r="L9" s="318" t="s">
        <v>150</v>
      </c>
      <c r="M9" s="316" t="s">
        <v>320</v>
      </c>
      <c r="N9" s="172">
        <v>3.3</v>
      </c>
      <c r="O9" s="6">
        <v>3.3</v>
      </c>
      <c r="P9" s="6">
        <v>3.26</v>
      </c>
      <c r="Q9" s="6">
        <v>3.26</v>
      </c>
      <c r="R9" s="6">
        <v>3.95</v>
      </c>
      <c r="S9" s="6">
        <v>3.95</v>
      </c>
      <c r="T9" s="6">
        <v>3.95</v>
      </c>
      <c r="U9" s="6">
        <v>3.95</v>
      </c>
      <c r="V9" s="6">
        <v>3.95</v>
      </c>
      <c r="W9" s="6">
        <v>3.95</v>
      </c>
      <c r="X9" s="6">
        <v>3.95</v>
      </c>
      <c r="Y9" s="6">
        <v>3.95</v>
      </c>
      <c r="Z9" s="195">
        <v>7.0000000000000007E-2</v>
      </c>
      <c r="AA9" s="340">
        <v>7.0000000000000007E-2</v>
      </c>
      <c r="AB9" s="341">
        <v>0.03</v>
      </c>
      <c r="AC9" s="340">
        <v>0</v>
      </c>
      <c r="AD9" s="341">
        <v>0.31</v>
      </c>
      <c r="AE9" s="340">
        <v>0.31</v>
      </c>
      <c r="AF9" s="341">
        <v>0.31</v>
      </c>
      <c r="AG9" s="340">
        <v>0.31</v>
      </c>
      <c r="AH9" s="341">
        <v>0.31</v>
      </c>
      <c r="AI9" s="340">
        <v>0.31</v>
      </c>
      <c r="AJ9" s="341">
        <v>0.31</v>
      </c>
      <c r="AK9" s="480">
        <v>0.31</v>
      </c>
      <c r="AL9" s="498">
        <v>11411</v>
      </c>
      <c r="AM9" s="496">
        <f t="shared" si="0"/>
        <v>798.7700000000001</v>
      </c>
      <c r="AN9" s="549">
        <v>13915</v>
      </c>
      <c r="AO9" s="496">
        <f t="shared" si="1"/>
        <v>974.05000000000007</v>
      </c>
      <c r="AP9" s="555">
        <v>15924</v>
      </c>
      <c r="AQ9" s="621">
        <f t="shared" si="2"/>
        <v>477.71999999999997</v>
      </c>
      <c r="AR9" s="498">
        <v>15279</v>
      </c>
      <c r="AS9" s="777">
        <f t="shared" si="3"/>
        <v>0</v>
      </c>
      <c r="AT9" s="549">
        <v>17380</v>
      </c>
      <c r="AU9" s="496">
        <f t="shared" si="4"/>
        <v>5387.8</v>
      </c>
      <c r="AV9" s="149">
        <v>6040</v>
      </c>
      <c r="AW9" s="390">
        <f t="shared" si="5"/>
        <v>1872.4</v>
      </c>
      <c r="AX9" s="478">
        <v>5177</v>
      </c>
      <c r="AY9" s="389">
        <f t="shared" si="6"/>
        <v>1604.87</v>
      </c>
      <c r="AZ9" s="358">
        <v>5691</v>
      </c>
      <c r="BA9" s="389">
        <f t="shared" si="7"/>
        <v>1764.21</v>
      </c>
      <c r="BB9" s="149">
        <v>0</v>
      </c>
      <c r="BC9" s="391">
        <f t="shared" si="8"/>
        <v>0</v>
      </c>
      <c r="BD9" s="483">
        <v>0</v>
      </c>
      <c r="BE9" s="389">
        <f t="shared" si="9"/>
        <v>0</v>
      </c>
      <c r="BF9" s="358">
        <v>0</v>
      </c>
      <c r="BG9" s="389">
        <f t="shared" si="10"/>
        <v>0</v>
      </c>
      <c r="BH9" s="149">
        <v>0</v>
      </c>
      <c r="BI9" s="329">
        <f t="shared" si="11"/>
        <v>0</v>
      </c>
      <c r="BJ9" s="453" t="s">
        <v>526</v>
      </c>
      <c r="BK9" s="78"/>
      <c r="BL9" s="78" t="s">
        <v>92</v>
      </c>
      <c r="BM9" s="9" t="s">
        <v>273</v>
      </c>
    </row>
    <row r="10" spans="1:65" ht="15" thickBot="1">
      <c r="A10" s="197" t="s">
        <v>383</v>
      </c>
      <c r="B10" s="174" t="s">
        <v>508</v>
      </c>
      <c r="C10" s="174" t="s">
        <v>30</v>
      </c>
      <c r="D10" s="1032"/>
      <c r="E10" s="1017"/>
      <c r="F10" s="1035"/>
      <c r="G10" s="204">
        <v>2021</v>
      </c>
      <c r="H10" s="835" t="s">
        <v>489</v>
      </c>
      <c r="I10" s="266" t="s">
        <v>148</v>
      </c>
      <c r="J10" s="147">
        <v>14</v>
      </c>
      <c r="K10" s="157" t="s">
        <v>149</v>
      </c>
      <c r="L10" s="309" t="s">
        <v>150</v>
      </c>
      <c r="M10" s="316" t="s">
        <v>394</v>
      </c>
      <c r="N10" s="172">
        <v>4.07</v>
      </c>
      <c r="O10" s="6">
        <v>4.07</v>
      </c>
      <c r="P10" s="6">
        <v>4.07</v>
      </c>
      <c r="Q10" s="6">
        <v>4.07</v>
      </c>
      <c r="R10" s="6">
        <v>4.07</v>
      </c>
      <c r="S10" s="6">
        <v>4.07</v>
      </c>
      <c r="T10" s="6">
        <v>4.07</v>
      </c>
      <c r="U10" s="6">
        <v>4.07</v>
      </c>
      <c r="V10" s="6">
        <v>4.07</v>
      </c>
      <c r="W10" s="6">
        <v>4.07</v>
      </c>
      <c r="X10" s="6">
        <v>4.07</v>
      </c>
      <c r="Y10" s="6">
        <v>4.07</v>
      </c>
      <c r="Z10" s="195">
        <v>0.87</v>
      </c>
      <c r="AA10" s="340">
        <v>0.87</v>
      </c>
      <c r="AB10" s="341">
        <v>0.87</v>
      </c>
      <c r="AC10" s="340">
        <v>0</v>
      </c>
      <c r="AD10" s="341">
        <v>0.87</v>
      </c>
      <c r="AE10" s="340">
        <v>0.87</v>
      </c>
      <c r="AF10" s="341">
        <v>0.87</v>
      </c>
      <c r="AG10" s="340">
        <v>0.87</v>
      </c>
      <c r="AH10" s="341">
        <v>0.87</v>
      </c>
      <c r="AI10" s="340">
        <v>0.87</v>
      </c>
      <c r="AJ10" s="341">
        <v>0.87</v>
      </c>
      <c r="AK10" s="480">
        <v>0.87</v>
      </c>
      <c r="AL10" s="499">
        <v>360</v>
      </c>
      <c r="AM10" s="496">
        <f t="shared" si="0"/>
        <v>313.2</v>
      </c>
      <c r="AN10" s="550">
        <v>0</v>
      </c>
      <c r="AO10" s="496">
        <f t="shared" si="1"/>
        <v>0</v>
      </c>
      <c r="AP10" s="555">
        <v>680</v>
      </c>
      <c r="AQ10" s="621">
        <f t="shared" si="2"/>
        <v>591.6</v>
      </c>
      <c r="AR10" s="499">
        <v>0</v>
      </c>
      <c r="AS10" s="777">
        <f t="shared" si="3"/>
        <v>0</v>
      </c>
      <c r="AT10" s="495">
        <v>0</v>
      </c>
      <c r="AU10" s="496">
        <f t="shared" si="4"/>
        <v>0</v>
      </c>
      <c r="AV10" s="149">
        <v>220</v>
      </c>
      <c r="AW10" s="390">
        <f t="shared" si="5"/>
        <v>191.4</v>
      </c>
      <c r="AX10" s="150">
        <v>231</v>
      </c>
      <c r="AY10" s="389">
        <f t="shared" si="6"/>
        <v>200.97</v>
      </c>
      <c r="AZ10" s="149">
        <v>465</v>
      </c>
      <c r="BA10" s="389">
        <f t="shared" si="7"/>
        <v>404.55</v>
      </c>
      <c r="BB10" s="151">
        <v>0</v>
      </c>
      <c r="BC10" s="391">
        <f t="shared" si="8"/>
        <v>0</v>
      </c>
      <c r="BD10" s="150">
        <v>0</v>
      </c>
      <c r="BE10" s="127">
        <f t="shared" si="9"/>
        <v>0</v>
      </c>
      <c r="BF10" s="149">
        <v>0</v>
      </c>
      <c r="BG10" s="389">
        <f t="shared" si="10"/>
        <v>0</v>
      </c>
      <c r="BH10" s="151">
        <v>0</v>
      </c>
      <c r="BI10" s="392">
        <f t="shared" si="11"/>
        <v>0</v>
      </c>
      <c r="BJ10" s="482" t="s">
        <v>364</v>
      </c>
      <c r="BK10" s="78"/>
      <c r="BL10" s="78" t="s">
        <v>92</v>
      </c>
      <c r="BM10" s="9" t="s">
        <v>487</v>
      </c>
    </row>
    <row r="11" spans="1:65" ht="15" customHeight="1" thickBot="1">
      <c r="A11" s="351" t="s">
        <v>383</v>
      </c>
      <c r="B11" s="10" t="s">
        <v>508</v>
      </c>
      <c r="C11" s="10" t="s">
        <v>30</v>
      </c>
      <c r="D11" s="1033"/>
      <c r="E11" s="1018"/>
      <c r="F11" s="1036"/>
      <c r="G11" s="203">
        <v>2021</v>
      </c>
      <c r="H11" s="840" t="s">
        <v>489</v>
      </c>
      <c r="I11" s="267" t="s">
        <v>151</v>
      </c>
      <c r="J11" s="87">
        <v>14</v>
      </c>
      <c r="K11" s="68" t="s">
        <v>149</v>
      </c>
      <c r="L11" s="310" t="s">
        <v>150</v>
      </c>
      <c r="M11" s="317" t="s">
        <v>394</v>
      </c>
      <c r="N11" s="250">
        <v>9.1199999999999992</v>
      </c>
      <c r="O11" s="83">
        <v>9.1199999999999992</v>
      </c>
      <c r="P11" s="83">
        <v>9.1199999999999992</v>
      </c>
      <c r="Q11" s="83">
        <v>9.1199999999999992</v>
      </c>
      <c r="R11" s="83">
        <v>9.1199999999999992</v>
      </c>
      <c r="S11" s="83">
        <v>9.1199999999999992</v>
      </c>
      <c r="T11" s="83">
        <v>9.1199999999999992</v>
      </c>
      <c r="U11" s="83">
        <v>9.1199999999999992</v>
      </c>
      <c r="V11" s="83">
        <v>9.1199999999999992</v>
      </c>
      <c r="W11" s="83">
        <v>9.1199999999999992</v>
      </c>
      <c r="X11" s="83">
        <v>9.1199999999999992</v>
      </c>
      <c r="Y11" s="83">
        <v>9.1199999999999992</v>
      </c>
      <c r="Z11" s="253">
        <v>2.12</v>
      </c>
      <c r="AA11" s="342">
        <v>2.12</v>
      </c>
      <c r="AB11" s="343">
        <v>2.12</v>
      </c>
      <c r="AC11" s="342">
        <v>0</v>
      </c>
      <c r="AD11" s="343">
        <v>2.12</v>
      </c>
      <c r="AE11" s="342">
        <v>2.12</v>
      </c>
      <c r="AF11" s="343">
        <v>2.12</v>
      </c>
      <c r="AG11" s="342">
        <v>2.12</v>
      </c>
      <c r="AH11" s="343">
        <v>2.12</v>
      </c>
      <c r="AI11" s="342">
        <v>2.12</v>
      </c>
      <c r="AJ11" s="343">
        <v>2.12</v>
      </c>
      <c r="AK11" s="481">
        <v>2.12</v>
      </c>
      <c r="AL11" s="500">
        <v>5613</v>
      </c>
      <c r="AM11" s="501">
        <f t="shared" si="0"/>
        <v>11899.560000000001</v>
      </c>
      <c r="AN11" s="551">
        <v>3552</v>
      </c>
      <c r="AO11" s="501">
        <f t="shared" si="1"/>
        <v>7530.2400000000007</v>
      </c>
      <c r="AP11" s="654">
        <v>3157</v>
      </c>
      <c r="AQ11" s="618">
        <f t="shared" si="2"/>
        <v>6692.84</v>
      </c>
      <c r="AR11" s="779">
        <v>0</v>
      </c>
      <c r="AS11" s="780">
        <f t="shared" si="3"/>
        <v>0</v>
      </c>
      <c r="AT11" s="564">
        <v>0</v>
      </c>
      <c r="AU11" s="501">
        <f t="shared" si="4"/>
        <v>0</v>
      </c>
      <c r="AV11" s="69">
        <v>466</v>
      </c>
      <c r="AW11" s="360">
        <f t="shared" si="5"/>
        <v>987.92000000000007</v>
      </c>
      <c r="AX11" s="137">
        <v>795</v>
      </c>
      <c r="AY11" s="138">
        <f t="shared" si="6"/>
        <v>1685.4</v>
      </c>
      <c r="AZ11" s="69">
        <v>72</v>
      </c>
      <c r="BA11" s="138">
        <f t="shared" si="7"/>
        <v>152.64000000000001</v>
      </c>
      <c r="BB11" s="139">
        <v>0</v>
      </c>
      <c r="BC11" s="361">
        <f t="shared" si="8"/>
        <v>0</v>
      </c>
      <c r="BD11" s="137">
        <v>0</v>
      </c>
      <c r="BE11" s="138">
        <f t="shared" si="9"/>
        <v>0</v>
      </c>
      <c r="BF11" s="69">
        <v>0</v>
      </c>
      <c r="BG11" s="138">
        <f t="shared" si="10"/>
        <v>0</v>
      </c>
      <c r="BH11" s="139">
        <v>0</v>
      </c>
      <c r="BI11" s="464">
        <f t="shared" si="11"/>
        <v>0</v>
      </c>
      <c r="BJ11" s="482" t="s">
        <v>482</v>
      </c>
      <c r="BK11" s="78"/>
      <c r="BL11" s="78" t="s">
        <v>92</v>
      </c>
      <c r="BM11" s="9" t="s">
        <v>488</v>
      </c>
    </row>
    <row r="12" spans="1:65" ht="15" customHeight="1">
      <c r="A12" s="350" t="s">
        <v>383</v>
      </c>
      <c r="B12" s="22" t="s">
        <v>508</v>
      </c>
      <c r="C12" s="22" t="s">
        <v>30</v>
      </c>
      <c r="D12" s="1016" t="s">
        <v>145</v>
      </c>
      <c r="E12" s="1016" t="s">
        <v>146</v>
      </c>
      <c r="F12" s="1028">
        <v>800</v>
      </c>
      <c r="G12" s="204">
        <v>2023</v>
      </c>
      <c r="H12" s="841" t="s">
        <v>161</v>
      </c>
      <c r="I12" s="256" t="s">
        <v>151</v>
      </c>
      <c r="J12" s="75">
        <v>14</v>
      </c>
      <c r="K12" s="168" t="s">
        <v>149</v>
      </c>
      <c r="L12" s="311" t="s">
        <v>150</v>
      </c>
      <c r="M12" s="316" t="s">
        <v>321</v>
      </c>
      <c r="N12" s="448">
        <v>9.75</v>
      </c>
      <c r="O12" s="171">
        <v>9.75</v>
      </c>
      <c r="P12" s="171">
        <v>9.75</v>
      </c>
      <c r="Q12" s="171">
        <v>9.75</v>
      </c>
      <c r="R12" s="171">
        <v>9.75</v>
      </c>
      <c r="S12" s="171">
        <v>9.75</v>
      </c>
      <c r="T12" s="171">
        <v>9.75</v>
      </c>
      <c r="U12" s="171">
        <v>9.75</v>
      </c>
      <c r="V12" s="171">
        <v>9.75</v>
      </c>
      <c r="W12" s="171">
        <v>9.75</v>
      </c>
      <c r="X12" s="171">
        <v>9.75</v>
      </c>
      <c r="Y12" s="171">
        <v>9.75</v>
      </c>
      <c r="Z12" s="195">
        <v>2.25</v>
      </c>
      <c r="AA12" s="2">
        <v>2.25</v>
      </c>
      <c r="AB12" s="2">
        <v>2.25</v>
      </c>
      <c r="AC12" s="2">
        <v>0</v>
      </c>
      <c r="AD12" s="2">
        <v>2.25</v>
      </c>
      <c r="AE12" s="2">
        <v>2.25</v>
      </c>
      <c r="AF12" s="2">
        <v>2.25</v>
      </c>
      <c r="AG12" s="2">
        <v>2.25</v>
      </c>
      <c r="AH12" s="2">
        <v>2.25</v>
      </c>
      <c r="AI12" s="2">
        <v>2.25</v>
      </c>
      <c r="AJ12" s="2">
        <v>2.25</v>
      </c>
      <c r="AK12" s="480">
        <v>2.25</v>
      </c>
      <c r="AL12" s="502">
        <v>2529</v>
      </c>
      <c r="AM12" s="492">
        <f t="shared" si="0"/>
        <v>5690.25</v>
      </c>
      <c r="AN12" s="552">
        <v>3000</v>
      </c>
      <c r="AO12" s="492">
        <f t="shared" si="1"/>
        <v>6750</v>
      </c>
      <c r="AP12" s="655">
        <v>2016</v>
      </c>
      <c r="AQ12" s="651">
        <f t="shared" si="2"/>
        <v>4536</v>
      </c>
      <c r="AR12" s="655">
        <v>261</v>
      </c>
      <c r="AS12" s="774">
        <f t="shared" si="3"/>
        <v>0</v>
      </c>
      <c r="AT12" s="655">
        <v>0</v>
      </c>
      <c r="AU12" s="492">
        <f t="shared" si="4"/>
        <v>0</v>
      </c>
      <c r="AV12" s="338">
        <v>2331</v>
      </c>
      <c r="AW12" s="424">
        <f t="shared" si="5"/>
        <v>5244.75</v>
      </c>
      <c r="AX12" s="339">
        <v>0</v>
      </c>
      <c r="AY12" s="423">
        <f t="shared" si="6"/>
        <v>0</v>
      </c>
      <c r="AZ12" s="338">
        <v>0</v>
      </c>
      <c r="BA12" s="423">
        <f t="shared" si="7"/>
        <v>0</v>
      </c>
      <c r="BB12" s="338">
        <v>0</v>
      </c>
      <c r="BC12" s="426">
        <f t="shared" si="8"/>
        <v>0</v>
      </c>
      <c r="BD12" s="339">
        <v>0</v>
      </c>
      <c r="BE12" s="423">
        <f t="shared" si="9"/>
        <v>0</v>
      </c>
      <c r="BF12" s="338">
        <v>0</v>
      </c>
      <c r="BG12" s="423">
        <f t="shared" si="10"/>
        <v>0</v>
      </c>
      <c r="BH12" s="338">
        <v>0</v>
      </c>
      <c r="BI12" s="441">
        <f t="shared" si="11"/>
        <v>0</v>
      </c>
      <c r="BJ12" s="245" t="s">
        <v>162</v>
      </c>
      <c r="BK12" s="78" t="s">
        <v>163</v>
      </c>
      <c r="BL12" s="78" t="s">
        <v>92</v>
      </c>
      <c r="BM12" s="9" t="s">
        <v>414</v>
      </c>
    </row>
    <row r="13" spans="1:65" ht="15" customHeight="1">
      <c r="A13" s="197" t="s">
        <v>383</v>
      </c>
      <c r="B13" s="9" t="s">
        <v>508</v>
      </c>
      <c r="C13" s="9" t="s">
        <v>30</v>
      </c>
      <c r="D13" s="1017"/>
      <c r="E13" s="1017"/>
      <c r="F13" s="1029"/>
      <c r="G13" s="205">
        <v>2024</v>
      </c>
      <c r="H13" s="841" t="s">
        <v>161</v>
      </c>
      <c r="I13" s="256" t="s">
        <v>151</v>
      </c>
      <c r="J13" s="75">
        <v>14</v>
      </c>
      <c r="K13" s="168" t="s">
        <v>149</v>
      </c>
      <c r="L13" s="311" t="s">
        <v>150</v>
      </c>
      <c r="M13" s="316" t="s">
        <v>327</v>
      </c>
      <c r="N13" s="173">
        <v>9.77</v>
      </c>
      <c r="O13" s="84">
        <v>9.77</v>
      </c>
      <c r="P13" s="84">
        <v>9.77</v>
      </c>
      <c r="Q13" s="84">
        <v>9.77</v>
      </c>
      <c r="R13" s="84">
        <v>9.77</v>
      </c>
      <c r="S13" s="84">
        <v>9.77</v>
      </c>
      <c r="T13" s="84">
        <v>9.77</v>
      </c>
      <c r="U13" s="84">
        <v>9.77</v>
      </c>
      <c r="V13" s="84">
        <v>9.77</v>
      </c>
      <c r="W13" s="84">
        <v>9.77</v>
      </c>
      <c r="X13" s="84">
        <v>9.77</v>
      </c>
      <c r="Y13" s="84">
        <v>9.77</v>
      </c>
      <c r="Z13" s="195">
        <v>2.25</v>
      </c>
      <c r="AA13" s="377">
        <v>2.25</v>
      </c>
      <c r="AB13" s="378">
        <v>2.25</v>
      </c>
      <c r="AC13" s="378">
        <v>0</v>
      </c>
      <c r="AD13" s="378">
        <v>2.25</v>
      </c>
      <c r="AE13" s="378">
        <v>2.25</v>
      </c>
      <c r="AF13" s="378">
        <v>2.25</v>
      </c>
      <c r="AG13" s="378">
        <v>2.25</v>
      </c>
      <c r="AH13" s="378">
        <v>2.25</v>
      </c>
      <c r="AI13" s="378">
        <v>2.25</v>
      </c>
      <c r="AJ13" s="378">
        <v>2.25</v>
      </c>
      <c r="AK13" s="714">
        <v>2.25</v>
      </c>
      <c r="AL13" s="503">
        <v>480</v>
      </c>
      <c r="AM13" s="494">
        <f t="shared" si="0"/>
        <v>1080</v>
      </c>
      <c r="AN13" s="553">
        <v>200</v>
      </c>
      <c r="AO13" s="494">
        <f t="shared" si="1"/>
        <v>450</v>
      </c>
      <c r="AP13" s="557">
        <v>160</v>
      </c>
      <c r="AQ13" s="620">
        <f t="shared" si="2"/>
        <v>360</v>
      </c>
      <c r="AR13" s="509">
        <v>0</v>
      </c>
      <c r="AS13" s="775">
        <f t="shared" si="3"/>
        <v>0</v>
      </c>
      <c r="AT13" s="557">
        <v>0</v>
      </c>
      <c r="AU13" s="494">
        <f t="shared" si="4"/>
        <v>0</v>
      </c>
      <c r="AV13" s="135">
        <v>0</v>
      </c>
      <c r="AW13" s="355">
        <f t="shared" si="5"/>
        <v>0</v>
      </c>
      <c r="AX13" s="134">
        <v>0</v>
      </c>
      <c r="AY13" s="127">
        <f t="shared" si="6"/>
        <v>0</v>
      </c>
      <c r="AZ13" s="135">
        <v>0</v>
      </c>
      <c r="BA13" s="127">
        <f t="shared" si="7"/>
        <v>0</v>
      </c>
      <c r="BB13" s="136">
        <v>0</v>
      </c>
      <c r="BC13" s="356">
        <f t="shared" si="8"/>
        <v>0</v>
      </c>
      <c r="BD13" s="134">
        <v>0</v>
      </c>
      <c r="BE13" s="127">
        <f t="shared" si="9"/>
        <v>0</v>
      </c>
      <c r="BF13" s="135">
        <v>0</v>
      </c>
      <c r="BG13" s="127">
        <f t="shared" si="10"/>
        <v>0</v>
      </c>
      <c r="BH13" s="136">
        <v>0</v>
      </c>
      <c r="BI13" s="442">
        <f t="shared" si="11"/>
        <v>0</v>
      </c>
      <c r="BJ13" s="245" t="s">
        <v>164</v>
      </c>
      <c r="BK13" s="78" t="s">
        <v>165</v>
      </c>
      <c r="BL13" s="78" t="s">
        <v>92</v>
      </c>
      <c r="BM13" s="9" t="s">
        <v>414</v>
      </c>
    </row>
    <row r="14" spans="1:65" ht="15" customHeight="1">
      <c r="A14" s="197" t="s">
        <v>383</v>
      </c>
      <c r="B14" s="9" t="s">
        <v>508</v>
      </c>
      <c r="C14" s="9" t="s">
        <v>30</v>
      </c>
      <c r="D14" s="1017"/>
      <c r="E14" s="1017"/>
      <c r="F14" s="1029"/>
      <c r="G14" s="199">
        <v>2023</v>
      </c>
      <c r="H14" s="841" t="s">
        <v>161</v>
      </c>
      <c r="I14" s="269" t="s">
        <v>148</v>
      </c>
      <c r="J14" s="56">
        <v>14</v>
      </c>
      <c r="K14" s="57" t="s">
        <v>149</v>
      </c>
      <c r="L14" s="104" t="s">
        <v>150</v>
      </c>
      <c r="M14" s="316" t="s">
        <v>321</v>
      </c>
      <c r="N14" s="303">
        <v>5.97</v>
      </c>
      <c r="O14" s="81">
        <v>5.97</v>
      </c>
      <c r="P14" s="81">
        <v>5.97</v>
      </c>
      <c r="Q14" s="81">
        <v>5.97</v>
      </c>
      <c r="R14" s="81">
        <v>5.97</v>
      </c>
      <c r="S14" s="81">
        <v>5.97</v>
      </c>
      <c r="T14" s="81">
        <v>5.97</v>
      </c>
      <c r="U14" s="81">
        <v>5.97</v>
      </c>
      <c r="V14" s="81">
        <v>5.97</v>
      </c>
      <c r="W14" s="81">
        <v>5.97</v>
      </c>
      <c r="X14" s="81">
        <v>5.97</v>
      </c>
      <c r="Y14" s="81">
        <v>5.97</v>
      </c>
      <c r="Z14" s="195">
        <v>1.17</v>
      </c>
      <c r="AA14" s="96">
        <v>1.17</v>
      </c>
      <c r="AB14" s="92">
        <v>1.17</v>
      </c>
      <c r="AC14" s="92">
        <v>0</v>
      </c>
      <c r="AD14" s="92">
        <v>1.17</v>
      </c>
      <c r="AE14" s="92">
        <v>1.17</v>
      </c>
      <c r="AF14" s="92">
        <v>1.17</v>
      </c>
      <c r="AG14" s="92">
        <v>1.17</v>
      </c>
      <c r="AH14" s="92">
        <v>1.17</v>
      </c>
      <c r="AI14" s="92">
        <v>1.17</v>
      </c>
      <c r="AJ14" s="92">
        <v>1.17</v>
      </c>
      <c r="AK14" s="674">
        <v>1.17</v>
      </c>
      <c r="AL14" s="503">
        <v>1208</v>
      </c>
      <c r="AM14" s="496">
        <f t="shared" si="0"/>
        <v>1413.36</v>
      </c>
      <c r="AN14" s="553">
        <v>80</v>
      </c>
      <c r="AO14" s="496">
        <f t="shared" si="1"/>
        <v>93.6</v>
      </c>
      <c r="AP14" s="554">
        <v>2276</v>
      </c>
      <c r="AQ14" s="621">
        <f t="shared" si="2"/>
        <v>2662.9199999999996</v>
      </c>
      <c r="AR14" s="510">
        <v>0</v>
      </c>
      <c r="AS14" s="777">
        <f t="shared" si="3"/>
        <v>0</v>
      </c>
      <c r="AT14" s="554">
        <v>0</v>
      </c>
      <c r="AU14" s="496">
        <f t="shared" si="4"/>
        <v>0</v>
      </c>
      <c r="AV14" s="58">
        <v>90</v>
      </c>
      <c r="AW14" s="390">
        <f t="shared" si="5"/>
        <v>105.3</v>
      </c>
      <c r="AX14" s="123">
        <v>0</v>
      </c>
      <c r="AY14" s="389">
        <f t="shared" si="6"/>
        <v>0</v>
      </c>
      <c r="AZ14" s="58">
        <v>0</v>
      </c>
      <c r="BA14" s="389">
        <f t="shared" si="7"/>
        <v>0</v>
      </c>
      <c r="BB14" s="125">
        <v>0</v>
      </c>
      <c r="BC14" s="391">
        <f t="shared" si="8"/>
        <v>0</v>
      </c>
      <c r="BD14" s="123">
        <v>0</v>
      </c>
      <c r="BE14" s="389">
        <f t="shared" si="9"/>
        <v>0</v>
      </c>
      <c r="BF14" s="58">
        <v>0</v>
      </c>
      <c r="BG14" s="389">
        <f t="shared" si="10"/>
        <v>0</v>
      </c>
      <c r="BH14" s="125">
        <v>0</v>
      </c>
      <c r="BI14" s="443">
        <f t="shared" si="11"/>
        <v>0</v>
      </c>
      <c r="BJ14" s="244" t="s">
        <v>166</v>
      </c>
      <c r="BK14" s="78" t="s">
        <v>163</v>
      </c>
      <c r="BL14" s="78" t="s">
        <v>92</v>
      </c>
      <c r="BM14" s="9" t="s">
        <v>274</v>
      </c>
    </row>
    <row r="15" spans="1:65" ht="15" customHeight="1">
      <c r="A15" s="197" t="s">
        <v>383</v>
      </c>
      <c r="B15" s="9" t="s">
        <v>508</v>
      </c>
      <c r="C15" s="9" t="s">
        <v>30</v>
      </c>
      <c r="D15" s="1017"/>
      <c r="E15" s="1017"/>
      <c r="F15" s="1029"/>
      <c r="G15" s="199">
        <v>2024</v>
      </c>
      <c r="H15" s="841" t="s">
        <v>161</v>
      </c>
      <c r="I15" s="269" t="s">
        <v>148</v>
      </c>
      <c r="J15" s="56">
        <v>14</v>
      </c>
      <c r="K15" s="57" t="s">
        <v>149</v>
      </c>
      <c r="L15" s="104" t="s">
        <v>150</v>
      </c>
      <c r="M15" s="316" t="s">
        <v>327</v>
      </c>
      <c r="N15" s="303">
        <v>5.99</v>
      </c>
      <c r="O15" s="81">
        <v>5.99</v>
      </c>
      <c r="P15" s="81">
        <v>5.99</v>
      </c>
      <c r="Q15" s="81">
        <v>5.99</v>
      </c>
      <c r="R15" s="81">
        <v>5.99</v>
      </c>
      <c r="S15" s="81">
        <v>5.99</v>
      </c>
      <c r="T15" s="81">
        <v>5.99</v>
      </c>
      <c r="U15" s="81">
        <v>5.99</v>
      </c>
      <c r="V15" s="81">
        <v>5.99</v>
      </c>
      <c r="W15" s="81">
        <v>5.99</v>
      </c>
      <c r="X15" s="81">
        <v>5.99</v>
      </c>
      <c r="Y15" s="81">
        <v>5.99</v>
      </c>
      <c r="Z15" s="195">
        <v>1.17</v>
      </c>
      <c r="AA15" s="96">
        <v>1.17</v>
      </c>
      <c r="AB15" s="92">
        <v>1.17</v>
      </c>
      <c r="AC15" s="92">
        <v>0</v>
      </c>
      <c r="AD15" s="92">
        <v>1.17</v>
      </c>
      <c r="AE15" s="92">
        <v>1.17</v>
      </c>
      <c r="AF15" s="92">
        <v>1.17</v>
      </c>
      <c r="AG15" s="92">
        <v>1.17</v>
      </c>
      <c r="AH15" s="92">
        <v>1.17</v>
      </c>
      <c r="AI15" s="92">
        <v>1.17</v>
      </c>
      <c r="AJ15" s="92">
        <v>1.17</v>
      </c>
      <c r="AK15" s="674">
        <v>1.17</v>
      </c>
      <c r="AL15" s="503">
        <v>320</v>
      </c>
      <c r="AM15" s="494">
        <f t="shared" si="0"/>
        <v>374.4</v>
      </c>
      <c r="AN15" s="553">
        <v>0</v>
      </c>
      <c r="AO15" s="494">
        <f t="shared" si="1"/>
        <v>0</v>
      </c>
      <c r="AP15" s="554">
        <v>0</v>
      </c>
      <c r="AQ15" s="620">
        <f t="shared" si="2"/>
        <v>0</v>
      </c>
      <c r="AR15" s="510">
        <v>0</v>
      </c>
      <c r="AS15" s="775">
        <f t="shared" si="3"/>
        <v>0</v>
      </c>
      <c r="AT15" s="554">
        <v>0</v>
      </c>
      <c r="AU15" s="494">
        <f t="shared" si="4"/>
        <v>0</v>
      </c>
      <c r="AV15" s="58">
        <v>0</v>
      </c>
      <c r="AW15" s="355">
        <f t="shared" si="5"/>
        <v>0</v>
      </c>
      <c r="AX15" s="123">
        <v>0</v>
      </c>
      <c r="AY15" s="127">
        <f t="shared" si="6"/>
        <v>0</v>
      </c>
      <c r="AZ15" s="58">
        <v>0</v>
      </c>
      <c r="BA15" s="127">
        <f t="shared" si="7"/>
        <v>0</v>
      </c>
      <c r="BB15" s="125">
        <v>0</v>
      </c>
      <c r="BC15" s="356">
        <f t="shared" si="8"/>
        <v>0</v>
      </c>
      <c r="BD15" s="123">
        <v>0</v>
      </c>
      <c r="BE15" s="127">
        <f t="shared" si="9"/>
        <v>0</v>
      </c>
      <c r="BF15" s="58">
        <v>0</v>
      </c>
      <c r="BG15" s="127">
        <f t="shared" si="10"/>
        <v>0</v>
      </c>
      <c r="BH15" s="125">
        <v>0</v>
      </c>
      <c r="BI15" s="442">
        <f t="shared" si="11"/>
        <v>0</v>
      </c>
      <c r="BJ15" s="245" t="s">
        <v>527</v>
      </c>
      <c r="BK15" s="78" t="s">
        <v>165</v>
      </c>
      <c r="BL15" s="78" t="s">
        <v>92</v>
      </c>
      <c r="BM15" s="9" t="s">
        <v>274</v>
      </c>
    </row>
    <row r="16" spans="1:65" ht="15" customHeight="1">
      <c r="A16" s="197" t="s">
        <v>383</v>
      </c>
      <c r="B16" s="9" t="s">
        <v>508</v>
      </c>
      <c r="C16" s="9" t="s">
        <v>30</v>
      </c>
      <c r="D16" s="1017"/>
      <c r="E16" s="1017"/>
      <c r="F16" s="1029"/>
      <c r="G16" s="199">
        <v>2024</v>
      </c>
      <c r="H16" s="842" t="s">
        <v>167</v>
      </c>
      <c r="I16" s="257" t="s">
        <v>151</v>
      </c>
      <c r="J16" s="56">
        <v>16</v>
      </c>
      <c r="K16" s="57" t="s">
        <v>149</v>
      </c>
      <c r="L16" s="312" t="s">
        <v>150</v>
      </c>
      <c r="M16" s="316" t="s">
        <v>327</v>
      </c>
      <c r="N16" s="303">
        <v>10.23</v>
      </c>
      <c r="O16" s="81">
        <v>10.23</v>
      </c>
      <c r="P16" s="81">
        <v>10.23</v>
      </c>
      <c r="Q16" s="81">
        <v>10.23</v>
      </c>
      <c r="R16" s="81">
        <v>10.23</v>
      </c>
      <c r="S16" s="81">
        <v>10.23</v>
      </c>
      <c r="T16" s="81">
        <v>10.23</v>
      </c>
      <c r="U16" s="81">
        <v>10.23</v>
      </c>
      <c r="V16" s="81">
        <v>10.23</v>
      </c>
      <c r="W16" s="81">
        <v>10.23</v>
      </c>
      <c r="X16" s="81">
        <v>10.23</v>
      </c>
      <c r="Y16" s="81">
        <v>10.23</v>
      </c>
      <c r="Z16" s="195">
        <v>2.33</v>
      </c>
      <c r="AA16" s="96">
        <v>2.33</v>
      </c>
      <c r="AB16" s="92">
        <v>2.33</v>
      </c>
      <c r="AC16" s="96">
        <v>0</v>
      </c>
      <c r="AD16" s="92">
        <v>2.33</v>
      </c>
      <c r="AE16" s="92">
        <v>2.33</v>
      </c>
      <c r="AF16" s="96">
        <v>2.33</v>
      </c>
      <c r="AG16" s="92">
        <v>2.33</v>
      </c>
      <c r="AH16" s="92">
        <v>2.33</v>
      </c>
      <c r="AI16" s="92">
        <v>2.33</v>
      </c>
      <c r="AJ16" s="92">
        <v>2.33</v>
      </c>
      <c r="AK16" s="674">
        <v>2.33</v>
      </c>
      <c r="AL16" s="503">
        <v>40</v>
      </c>
      <c r="AM16" s="496">
        <f t="shared" si="0"/>
        <v>93.2</v>
      </c>
      <c r="AN16" s="554">
        <v>0</v>
      </c>
      <c r="AO16" s="496">
        <f t="shared" si="1"/>
        <v>0</v>
      </c>
      <c r="AP16" s="554">
        <v>0</v>
      </c>
      <c r="AQ16" s="621">
        <f t="shared" si="2"/>
        <v>0</v>
      </c>
      <c r="AR16" s="510">
        <v>0</v>
      </c>
      <c r="AS16" s="777">
        <f t="shared" si="3"/>
        <v>0</v>
      </c>
      <c r="AT16" s="554">
        <v>0</v>
      </c>
      <c r="AU16" s="496">
        <f t="shared" si="4"/>
        <v>0</v>
      </c>
      <c r="AV16" s="58">
        <v>0</v>
      </c>
      <c r="AW16" s="390">
        <f t="shared" si="5"/>
        <v>0</v>
      </c>
      <c r="AX16" s="123">
        <v>0</v>
      </c>
      <c r="AY16" s="389">
        <f t="shared" si="6"/>
        <v>0</v>
      </c>
      <c r="AZ16" s="58">
        <v>0</v>
      </c>
      <c r="BA16" s="389">
        <f t="shared" si="7"/>
        <v>0</v>
      </c>
      <c r="BB16" s="125">
        <v>0</v>
      </c>
      <c r="BC16" s="391">
        <f t="shared" si="8"/>
        <v>0</v>
      </c>
      <c r="BD16" s="123">
        <v>0</v>
      </c>
      <c r="BE16" s="389">
        <f t="shared" si="9"/>
        <v>0</v>
      </c>
      <c r="BF16" s="58">
        <v>0</v>
      </c>
      <c r="BG16" s="389">
        <f t="shared" si="10"/>
        <v>0</v>
      </c>
      <c r="BH16" s="125">
        <v>0</v>
      </c>
      <c r="BI16" s="443">
        <f t="shared" si="11"/>
        <v>0</v>
      </c>
      <c r="BJ16" s="245" t="s">
        <v>168</v>
      </c>
      <c r="BK16" s="78" t="s">
        <v>165</v>
      </c>
      <c r="BL16" s="78" t="s">
        <v>92</v>
      </c>
      <c r="BM16" s="9" t="s">
        <v>275</v>
      </c>
    </row>
    <row r="17" spans="1:65" ht="15" customHeight="1">
      <c r="A17" s="197" t="s">
        <v>383</v>
      </c>
      <c r="B17" s="9" t="s">
        <v>508</v>
      </c>
      <c r="C17" s="9" t="s">
        <v>30</v>
      </c>
      <c r="D17" s="1017"/>
      <c r="E17" s="1017"/>
      <c r="F17" s="1029"/>
      <c r="G17" s="199">
        <v>2023</v>
      </c>
      <c r="H17" s="842" t="s">
        <v>167</v>
      </c>
      <c r="I17" s="257" t="s">
        <v>151</v>
      </c>
      <c r="J17" s="56">
        <v>16</v>
      </c>
      <c r="K17" s="57" t="s">
        <v>149</v>
      </c>
      <c r="L17" s="312" t="s">
        <v>150</v>
      </c>
      <c r="M17" s="316" t="s">
        <v>321</v>
      </c>
      <c r="N17" s="303">
        <v>10.23</v>
      </c>
      <c r="O17" s="81">
        <v>10.23</v>
      </c>
      <c r="P17" s="81">
        <v>10.23</v>
      </c>
      <c r="Q17" s="81">
        <v>10.23</v>
      </c>
      <c r="R17" s="81">
        <v>10.23</v>
      </c>
      <c r="S17" s="81">
        <v>10.23</v>
      </c>
      <c r="T17" s="81">
        <v>10.23</v>
      </c>
      <c r="U17" s="81">
        <v>10.23</v>
      </c>
      <c r="V17" s="81">
        <v>10.23</v>
      </c>
      <c r="W17" s="81">
        <v>10.23</v>
      </c>
      <c r="X17" s="81">
        <v>10.23</v>
      </c>
      <c r="Y17" s="81">
        <v>10.23</v>
      </c>
      <c r="Z17" s="195">
        <v>2.33</v>
      </c>
      <c r="AA17" s="96">
        <v>2.33</v>
      </c>
      <c r="AB17" s="92">
        <v>2.33</v>
      </c>
      <c r="AC17" s="96">
        <v>0</v>
      </c>
      <c r="AD17" s="92">
        <v>2.33</v>
      </c>
      <c r="AE17" s="92">
        <v>2.33</v>
      </c>
      <c r="AF17" s="96">
        <v>2.33</v>
      </c>
      <c r="AG17" s="92">
        <v>2.33</v>
      </c>
      <c r="AH17" s="92">
        <v>2.33</v>
      </c>
      <c r="AI17" s="92">
        <v>2.33</v>
      </c>
      <c r="AJ17" s="92">
        <v>2.33</v>
      </c>
      <c r="AK17" s="674">
        <v>2.33</v>
      </c>
      <c r="AL17" s="503">
        <v>980</v>
      </c>
      <c r="AM17" s="494">
        <f t="shared" si="0"/>
        <v>2283.4</v>
      </c>
      <c r="AN17" s="554">
        <v>0</v>
      </c>
      <c r="AO17" s="494">
        <f t="shared" si="1"/>
        <v>0</v>
      </c>
      <c r="AP17" s="554">
        <v>0</v>
      </c>
      <c r="AQ17" s="620">
        <f t="shared" si="2"/>
        <v>0</v>
      </c>
      <c r="AR17" s="510">
        <v>230</v>
      </c>
      <c r="AS17" s="775">
        <f t="shared" si="3"/>
        <v>0</v>
      </c>
      <c r="AT17" s="554">
        <v>0</v>
      </c>
      <c r="AU17" s="494">
        <f t="shared" si="4"/>
        <v>0</v>
      </c>
      <c r="AV17" s="58">
        <v>0</v>
      </c>
      <c r="AW17" s="355">
        <f t="shared" si="5"/>
        <v>0</v>
      </c>
      <c r="AX17" s="123">
        <v>0</v>
      </c>
      <c r="AY17" s="127">
        <f t="shared" si="6"/>
        <v>0</v>
      </c>
      <c r="AZ17" s="58">
        <v>0</v>
      </c>
      <c r="BA17" s="127">
        <f t="shared" si="7"/>
        <v>0</v>
      </c>
      <c r="BB17" s="125">
        <v>0</v>
      </c>
      <c r="BC17" s="356">
        <f t="shared" si="8"/>
        <v>0</v>
      </c>
      <c r="BD17" s="123">
        <v>0</v>
      </c>
      <c r="BE17" s="127">
        <f t="shared" si="9"/>
        <v>0</v>
      </c>
      <c r="BF17" s="58">
        <v>0</v>
      </c>
      <c r="BG17" s="127">
        <f t="shared" si="10"/>
        <v>0</v>
      </c>
      <c r="BH17" s="125">
        <v>0</v>
      </c>
      <c r="BI17" s="442">
        <f t="shared" si="11"/>
        <v>0</v>
      </c>
      <c r="BJ17" s="245" t="s">
        <v>169</v>
      </c>
      <c r="BK17" s="78" t="s">
        <v>163</v>
      </c>
      <c r="BL17" s="78" t="s">
        <v>92</v>
      </c>
      <c r="BM17" s="9" t="s">
        <v>275</v>
      </c>
    </row>
    <row r="18" spans="1:65" ht="15" customHeight="1">
      <c r="A18" s="197" t="s">
        <v>383</v>
      </c>
      <c r="B18" s="9" t="s">
        <v>508</v>
      </c>
      <c r="C18" s="9" t="s">
        <v>30</v>
      </c>
      <c r="D18" s="1017"/>
      <c r="E18" s="1017"/>
      <c r="F18" s="1029"/>
      <c r="G18" s="200">
        <v>2023</v>
      </c>
      <c r="H18" s="842" t="s">
        <v>167</v>
      </c>
      <c r="I18" s="270" t="s">
        <v>148</v>
      </c>
      <c r="J18" s="108">
        <v>16</v>
      </c>
      <c r="K18" s="153" t="s">
        <v>149</v>
      </c>
      <c r="L18" s="313" t="s">
        <v>150</v>
      </c>
      <c r="M18" s="316" t="s">
        <v>321</v>
      </c>
      <c r="N18" s="193">
        <v>6.06</v>
      </c>
      <c r="O18" s="82">
        <v>6.06</v>
      </c>
      <c r="P18" s="82">
        <v>6.06</v>
      </c>
      <c r="Q18" s="82">
        <v>6.06</v>
      </c>
      <c r="R18" s="82">
        <v>6.06</v>
      </c>
      <c r="S18" s="82">
        <v>6.06</v>
      </c>
      <c r="T18" s="82">
        <v>6.06</v>
      </c>
      <c r="U18" s="82">
        <v>6.06</v>
      </c>
      <c r="V18" s="82">
        <v>6.06</v>
      </c>
      <c r="W18" s="82">
        <v>6.06</v>
      </c>
      <c r="X18" s="82">
        <v>6.06</v>
      </c>
      <c r="Y18" s="82">
        <v>6.06</v>
      </c>
      <c r="Z18" s="195">
        <v>1.0599999999999996</v>
      </c>
      <c r="AA18" s="379">
        <v>1.06</v>
      </c>
      <c r="AB18" s="379">
        <v>1.06</v>
      </c>
      <c r="AC18" s="380">
        <v>0</v>
      </c>
      <c r="AD18" s="379">
        <v>1.06</v>
      </c>
      <c r="AE18" s="380">
        <v>1.06</v>
      </c>
      <c r="AF18" s="379">
        <v>1.06</v>
      </c>
      <c r="AG18" s="380">
        <v>1.06</v>
      </c>
      <c r="AH18" s="379">
        <v>1.06</v>
      </c>
      <c r="AI18" s="380">
        <v>1.06</v>
      </c>
      <c r="AJ18" s="380">
        <v>1.06</v>
      </c>
      <c r="AK18" s="715">
        <v>1.06</v>
      </c>
      <c r="AL18" s="503">
        <v>0</v>
      </c>
      <c r="AM18" s="496">
        <f t="shared" si="0"/>
        <v>0</v>
      </c>
      <c r="AN18" s="553">
        <v>0</v>
      </c>
      <c r="AO18" s="496">
        <f t="shared" si="1"/>
        <v>0</v>
      </c>
      <c r="AP18" s="563">
        <v>0</v>
      </c>
      <c r="AQ18" s="621">
        <f t="shared" si="2"/>
        <v>0</v>
      </c>
      <c r="AR18" s="511">
        <v>0</v>
      </c>
      <c r="AS18" s="777">
        <f t="shared" si="3"/>
        <v>0</v>
      </c>
      <c r="AT18" s="563">
        <v>0</v>
      </c>
      <c r="AU18" s="496">
        <f t="shared" si="4"/>
        <v>0</v>
      </c>
      <c r="AV18" s="118">
        <v>0</v>
      </c>
      <c r="AW18" s="390">
        <f t="shared" si="5"/>
        <v>0</v>
      </c>
      <c r="AX18" s="116">
        <v>0</v>
      </c>
      <c r="AY18" s="389">
        <f t="shared" si="6"/>
        <v>0</v>
      </c>
      <c r="AZ18" s="118">
        <v>0</v>
      </c>
      <c r="BA18" s="389">
        <f t="shared" si="7"/>
        <v>0</v>
      </c>
      <c r="BB18" s="363">
        <v>0</v>
      </c>
      <c r="BC18" s="391">
        <f t="shared" si="8"/>
        <v>0</v>
      </c>
      <c r="BD18" s="116">
        <v>0</v>
      </c>
      <c r="BE18" s="389">
        <f t="shared" si="9"/>
        <v>0</v>
      </c>
      <c r="BF18" s="118">
        <v>0</v>
      </c>
      <c r="BG18" s="389">
        <f t="shared" si="10"/>
        <v>0</v>
      </c>
      <c r="BH18" s="118">
        <v>0</v>
      </c>
      <c r="BI18" s="443">
        <f t="shared" si="11"/>
        <v>0</v>
      </c>
      <c r="BJ18" s="244" t="s">
        <v>170</v>
      </c>
      <c r="BK18" s="78" t="s">
        <v>163</v>
      </c>
      <c r="BL18" s="78" t="s">
        <v>92</v>
      </c>
      <c r="BM18" s="9" t="s">
        <v>276</v>
      </c>
    </row>
    <row r="19" spans="1:65" ht="15" customHeight="1">
      <c r="A19" s="197" t="s">
        <v>383</v>
      </c>
      <c r="B19" s="9" t="s">
        <v>508</v>
      </c>
      <c r="C19" s="9" t="s">
        <v>30</v>
      </c>
      <c r="D19" s="1017"/>
      <c r="E19" s="1017"/>
      <c r="F19" s="1029"/>
      <c r="G19" s="200">
        <v>2024</v>
      </c>
      <c r="H19" s="842" t="s">
        <v>167</v>
      </c>
      <c r="I19" s="270" t="s">
        <v>148</v>
      </c>
      <c r="J19" s="108">
        <v>16</v>
      </c>
      <c r="K19" s="153" t="s">
        <v>149</v>
      </c>
      <c r="L19" s="313" t="s">
        <v>150</v>
      </c>
      <c r="M19" s="316" t="s">
        <v>327</v>
      </c>
      <c r="N19" s="193">
        <v>6.06</v>
      </c>
      <c r="O19" s="82">
        <v>6.06</v>
      </c>
      <c r="P19" s="82">
        <v>6.06</v>
      </c>
      <c r="Q19" s="82">
        <v>6.06</v>
      </c>
      <c r="R19" s="82">
        <v>6.06</v>
      </c>
      <c r="S19" s="82">
        <v>6.06</v>
      </c>
      <c r="T19" s="82">
        <v>6.06</v>
      </c>
      <c r="U19" s="82">
        <v>6.06</v>
      </c>
      <c r="V19" s="82">
        <v>6.06</v>
      </c>
      <c r="W19" s="82">
        <v>6.06</v>
      </c>
      <c r="X19" s="82">
        <v>6.06</v>
      </c>
      <c r="Y19" s="82">
        <v>6.06</v>
      </c>
      <c r="Z19" s="195">
        <v>1.0599999999999996</v>
      </c>
      <c r="AA19" s="379">
        <v>1.06</v>
      </c>
      <c r="AB19" s="379">
        <v>1.06</v>
      </c>
      <c r="AC19" s="380">
        <v>0</v>
      </c>
      <c r="AD19" s="379">
        <v>1.06</v>
      </c>
      <c r="AE19" s="380">
        <v>1.06</v>
      </c>
      <c r="AF19" s="379">
        <v>1.06</v>
      </c>
      <c r="AG19" s="380">
        <v>1.06</v>
      </c>
      <c r="AH19" s="379">
        <v>1.06</v>
      </c>
      <c r="AI19" s="380">
        <v>1.06</v>
      </c>
      <c r="AJ19" s="380">
        <v>1.06</v>
      </c>
      <c r="AK19" s="715">
        <v>1.06</v>
      </c>
      <c r="AL19" s="503">
        <v>40</v>
      </c>
      <c r="AM19" s="494">
        <f t="shared" si="0"/>
        <v>42.399999999999984</v>
      </c>
      <c r="AN19" s="553">
        <v>0</v>
      </c>
      <c r="AO19" s="494">
        <f t="shared" si="1"/>
        <v>0</v>
      </c>
      <c r="AP19" s="656">
        <v>0</v>
      </c>
      <c r="AQ19" s="620">
        <f t="shared" si="2"/>
        <v>0</v>
      </c>
      <c r="AR19" s="511">
        <v>0</v>
      </c>
      <c r="AS19" s="775">
        <f t="shared" si="3"/>
        <v>0</v>
      </c>
      <c r="AT19" s="563">
        <v>0</v>
      </c>
      <c r="AU19" s="494">
        <f t="shared" si="4"/>
        <v>0</v>
      </c>
      <c r="AV19" s="118">
        <v>0</v>
      </c>
      <c r="AW19" s="355">
        <f t="shared" si="5"/>
        <v>0</v>
      </c>
      <c r="AX19" s="116">
        <v>0</v>
      </c>
      <c r="AY19" s="127">
        <f t="shared" si="6"/>
        <v>0</v>
      </c>
      <c r="AZ19" s="118">
        <v>0</v>
      </c>
      <c r="BA19" s="127">
        <f t="shared" si="7"/>
        <v>0</v>
      </c>
      <c r="BB19" s="363">
        <v>0</v>
      </c>
      <c r="BC19" s="356">
        <f t="shared" si="8"/>
        <v>0</v>
      </c>
      <c r="BD19" s="116">
        <v>0</v>
      </c>
      <c r="BE19" s="127">
        <f t="shared" si="9"/>
        <v>0</v>
      </c>
      <c r="BF19" s="118">
        <v>0</v>
      </c>
      <c r="BG19" s="127">
        <f t="shared" si="10"/>
        <v>0</v>
      </c>
      <c r="BH19" s="118">
        <v>0</v>
      </c>
      <c r="BI19" s="442">
        <f t="shared" si="11"/>
        <v>0</v>
      </c>
      <c r="BJ19" s="245" t="s">
        <v>528</v>
      </c>
      <c r="BK19" s="78" t="s">
        <v>165</v>
      </c>
      <c r="BL19" s="78" t="s">
        <v>92</v>
      </c>
      <c r="BM19" s="9" t="s">
        <v>276</v>
      </c>
    </row>
    <row r="20" spans="1:65" ht="15" customHeight="1">
      <c r="A20" s="197" t="s">
        <v>383</v>
      </c>
      <c r="B20" s="9" t="s">
        <v>508</v>
      </c>
      <c r="C20" s="9" t="s">
        <v>30</v>
      </c>
      <c r="D20" s="1017"/>
      <c r="E20" s="1017"/>
      <c r="F20" s="1029"/>
      <c r="G20" s="204">
        <v>2025</v>
      </c>
      <c r="H20" s="843" t="s">
        <v>171</v>
      </c>
      <c r="I20" s="271" t="s">
        <v>151</v>
      </c>
      <c r="J20" s="147">
        <v>14</v>
      </c>
      <c r="K20" s="148" t="s">
        <v>153</v>
      </c>
      <c r="L20" s="314" t="s">
        <v>150</v>
      </c>
      <c r="M20" s="316" t="s">
        <v>321</v>
      </c>
      <c r="N20" s="172">
        <v>7.9</v>
      </c>
      <c r="O20" s="6">
        <v>7.9</v>
      </c>
      <c r="P20" s="6">
        <v>7.74</v>
      </c>
      <c r="Q20" s="6">
        <v>7.74</v>
      </c>
      <c r="R20" s="6">
        <v>8.25</v>
      </c>
      <c r="S20" s="6">
        <v>8.25</v>
      </c>
      <c r="T20" s="6">
        <v>8.25</v>
      </c>
      <c r="U20" s="6">
        <v>8.25</v>
      </c>
      <c r="V20" s="6">
        <v>8.25</v>
      </c>
      <c r="W20" s="6">
        <v>8.25</v>
      </c>
      <c r="X20" s="6">
        <v>8.25</v>
      </c>
      <c r="Y20" s="6">
        <v>8.25</v>
      </c>
      <c r="Z20" s="195">
        <v>0.39</v>
      </c>
      <c r="AA20" s="340">
        <v>0.39</v>
      </c>
      <c r="AB20" s="340">
        <v>0.31</v>
      </c>
      <c r="AC20" s="340">
        <v>0</v>
      </c>
      <c r="AD20" s="340">
        <v>0.41</v>
      </c>
      <c r="AE20" s="340">
        <v>0.41</v>
      </c>
      <c r="AF20" s="340">
        <v>0.41</v>
      </c>
      <c r="AG20" s="340">
        <v>0.41</v>
      </c>
      <c r="AH20" s="340">
        <v>0.41</v>
      </c>
      <c r="AI20" s="340">
        <v>0.41</v>
      </c>
      <c r="AJ20" s="340">
        <v>0.41</v>
      </c>
      <c r="AK20" s="480">
        <v>0.41</v>
      </c>
      <c r="AL20" s="504">
        <v>54001</v>
      </c>
      <c r="AM20" s="496">
        <f t="shared" si="0"/>
        <v>21060.39</v>
      </c>
      <c r="AN20" s="555">
        <v>78182</v>
      </c>
      <c r="AO20" s="496">
        <f t="shared" si="1"/>
        <v>30490.98</v>
      </c>
      <c r="AP20" s="555">
        <v>23938</v>
      </c>
      <c r="AQ20" s="621">
        <f t="shared" si="2"/>
        <v>7420.78</v>
      </c>
      <c r="AR20" s="495">
        <v>41402</v>
      </c>
      <c r="AS20" s="777">
        <f t="shared" si="3"/>
        <v>0</v>
      </c>
      <c r="AT20" s="555">
        <v>57050</v>
      </c>
      <c r="AU20" s="496">
        <f t="shared" si="4"/>
        <v>23390.5</v>
      </c>
      <c r="AV20" s="149">
        <v>19671</v>
      </c>
      <c r="AW20" s="390">
        <f t="shared" si="5"/>
        <v>8065.11</v>
      </c>
      <c r="AX20" s="150">
        <v>15210</v>
      </c>
      <c r="AY20" s="389">
        <f t="shared" si="6"/>
        <v>6236.0999999999995</v>
      </c>
      <c r="AZ20" s="149">
        <v>19253</v>
      </c>
      <c r="BA20" s="389">
        <f t="shared" si="7"/>
        <v>7893.73</v>
      </c>
      <c r="BB20" s="151">
        <v>31899.858273825401</v>
      </c>
      <c r="BC20" s="391">
        <f t="shared" si="8"/>
        <v>13078.941892268414</v>
      </c>
      <c r="BD20" s="150">
        <v>24562.126582581499</v>
      </c>
      <c r="BE20" s="389">
        <f t="shared" si="9"/>
        <v>10070.471898858414</v>
      </c>
      <c r="BF20" s="149">
        <v>21312.544429042799</v>
      </c>
      <c r="BG20" s="389">
        <f t="shared" si="10"/>
        <v>8738.1432159075466</v>
      </c>
      <c r="BH20" s="151">
        <v>7780.1798282387199</v>
      </c>
      <c r="BI20" s="443">
        <f t="shared" si="11"/>
        <v>3189.8737295778751</v>
      </c>
      <c r="BJ20" s="177" t="s">
        <v>529</v>
      </c>
      <c r="BK20" s="78"/>
      <c r="BL20" s="78" t="s">
        <v>92</v>
      </c>
      <c r="BM20" s="9" t="s">
        <v>277</v>
      </c>
    </row>
    <row r="21" spans="1:65" ht="15" customHeight="1">
      <c r="A21" s="197" t="s">
        <v>383</v>
      </c>
      <c r="B21" s="9" t="s">
        <v>508</v>
      </c>
      <c r="C21" s="9" t="s">
        <v>30</v>
      </c>
      <c r="D21" s="1017"/>
      <c r="E21" s="1017"/>
      <c r="F21" s="1029"/>
      <c r="G21" s="204">
        <v>2025</v>
      </c>
      <c r="H21" s="843" t="s">
        <v>171</v>
      </c>
      <c r="I21" s="271" t="s">
        <v>148</v>
      </c>
      <c r="J21" s="147">
        <v>14</v>
      </c>
      <c r="K21" s="148" t="s">
        <v>153</v>
      </c>
      <c r="L21" s="314" t="s">
        <v>150</v>
      </c>
      <c r="M21" s="316" t="s">
        <v>321</v>
      </c>
      <c r="N21" s="172">
        <v>4.82</v>
      </c>
      <c r="O21" s="6">
        <v>4.82</v>
      </c>
      <c r="P21" s="6">
        <v>4.75</v>
      </c>
      <c r="Q21" s="6">
        <v>4.75</v>
      </c>
      <c r="R21" s="6">
        <v>5.25</v>
      </c>
      <c r="S21" s="6">
        <v>5.25</v>
      </c>
      <c r="T21" s="6">
        <v>5.25</v>
      </c>
      <c r="U21" s="6">
        <v>5.25</v>
      </c>
      <c r="V21" s="6">
        <v>5.25</v>
      </c>
      <c r="W21" s="6">
        <v>5.25</v>
      </c>
      <c r="X21" s="6">
        <v>5.25</v>
      </c>
      <c r="Y21" s="6">
        <v>5.25</v>
      </c>
      <c r="Z21" s="195">
        <v>0.39</v>
      </c>
      <c r="AA21" s="340">
        <v>0.39</v>
      </c>
      <c r="AB21" s="340">
        <v>0.32</v>
      </c>
      <c r="AC21" s="340">
        <v>0</v>
      </c>
      <c r="AD21" s="340">
        <v>0.41</v>
      </c>
      <c r="AE21" s="340">
        <v>0.41</v>
      </c>
      <c r="AF21" s="340">
        <v>0.41</v>
      </c>
      <c r="AG21" s="340">
        <v>0.41</v>
      </c>
      <c r="AH21" s="340">
        <v>0.41</v>
      </c>
      <c r="AI21" s="340">
        <v>0.41</v>
      </c>
      <c r="AJ21" s="340">
        <v>0.41</v>
      </c>
      <c r="AK21" s="480">
        <v>0.41</v>
      </c>
      <c r="AL21" s="505">
        <v>4648</v>
      </c>
      <c r="AM21" s="494">
        <f t="shared" si="0"/>
        <v>1812.72</v>
      </c>
      <c r="AN21" s="555">
        <v>2783</v>
      </c>
      <c r="AO21" s="494">
        <f t="shared" si="1"/>
        <v>1085.3700000000001</v>
      </c>
      <c r="AP21" s="555">
        <v>3440</v>
      </c>
      <c r="AQ21" s="620">
        <f t="shared" si="2"/>
        <v>1100.8</v>
      </c>
      <c r="AR21" s="495">
        <v>1176</v>
      </c>
      <c r="AS21" s="775">
        <f t="shared" si="3"/>
        <v>0</v>
      </c>
      <c r="AT21" s="555">
        <v>3894</v>
      </c>
      <c r="AU21" s="494">
        <f t="shared" si="4"/>
        <v>1596.54</v>
      </c>
      <c r="AV21" s="149">
        <v>1506</v>
      </c>
      <c r="AW21" s="355">
        <f t="shared" si="5"/>
        <v>617.45999999999992</v>
      </c>
      <c r="AX21" s="150">
        <v>1938</v>
      </c>
      <c r="AY21" s="127">
        <f t="shared" si="6"/>
        <v>794.57999999999993</v>
      </c>
      <c r="AZ21" s="149">
        <v>1974</v>
      </c>
      <c r="BA21" s="127">
        <f t="shared" si="7"/>
        <v>809.33999999999992</v>
      </c>
      <c r="BB21" s="151">
        <v>2782.26760046972</v>
      </c>
      <c r="BC21" s="356">
        <f t="shared" si="8"/>
        <v>1140.7297161925851</v>
      </c>
      <c r="BD21" s="150">
        <v>2172.64026943918</v>
      </c>
      <c r="BE21" s="127">
        <f t="shared" si="9"/>
        <v>890.7825104700637</v>
      </c>
      <c r="BF21" s="149">
        <v>1508.84363786021</v>
      </c>
      <c r="BG21" s="127">
        <f t="shared" si="10"/>
        <v>618.62589152268606</v>
      </c>
      <c r="BH21" s="149">
        <v>996.48975115029396</v>
      </c>
      <c r="BI21" s="442">
        <f t="shared" si="11"/>
        <v>408.5607979716205</v>
      </c>
      <c r="BJ21" s="177" t="s">
        <v>172</v>
      </c>
      <c r="BK21" s="78"/>
      <c r="BL21" s="78" t="s">
        <v>92</v>
      </c>
      <c r="BM21" s="9" t="s">
        <v>278</v>
      </c>
    </row>
    <row r="22" spans="1:65" ht="15" customHeight="1">
      <c r="A22" s="197" t="s">
        <v>383</v>
      </c>
      <c r="B22" s="9" t="s">
        <v>508</v>
      </c>
      <c r="C22" s="9" t="s">
        <v>30</v>
      </c>
      <c r="D22" s="1017"/>
      <c r="E22" s="1017"/>
      <c r="F22" s="1029"/>
      <c r="G22" s="204">
        <v>2025</v>
      </c>
      <c r="H22" s="838" t="s">
        <v>173</v>
      </c>
      <c r="I22" s="271" t="s">
        <v>151</v>
      </c>
      <c r="J22" s="147">
        <v>16</v>
      </c>
      <c r="K22" s="148" t="s">
        <v>153</v>
      </c>
      <c r="L22" s="314" t="s">
        <v>150</v>
      </c>
      <c r="M22" s="316" t="s">
        <v>321</v>
      </c>
      <c r="N22" s="172">
        <v>8.23</v>
      </c>
      <c r="O22" s="6">
        <v>8.23</v>
      </c>
      <c r="P22" s="6">
        <v>8.14</v>
      </c>
      <c r="Q22" s="6">
        <v>8.14</v>
      </c>
      <c r="R22" s="6">
        <v>8.89</v>
      </c>
      <c r="S22" s="6">
        <v>8.89</v>
      </c>
      <c r="T22" s="6">
        <v>8.89</v>
      </c>
      <c r="U22" s="6">
        <v>8.89</v>
      </c>
      <c r="V22" s="6">
        <v>8.89</v>
      </c>
      <c r="W22" s="6">
        <v>8.89</v>
      </c>
      <c r="X22" s="6">
        <v>8.89</v>
      </c>
      <c r="Y22" s="6">
        <v>8.89</v>
      </c>
      <c r="Z22" s="195">
        <v>0.3</v>
      </c>
      <c r="AA22" s="340">
        <v>0.3</v>
      </c>
      <c r="AB22" s="340">
        <v>0.28999999999999998</v>
      </c>
      <c r="AC22" s="340">
        <v>0</v>
      </c>
      <c r="AD22" s="340">
        <v>0.54</v>
      </c>
      <c r="AE22" s="340">
        <v>0.54</v>
      </c>
      <c r="AF22" s="340">
        <v>0.54</v>
      </c>
      <c r="AG22" s="340">
        <v>0.54</v>
      </c>
      <c r="AH22" s="340">
        <v>0.54</v>
      </c>
      <c r="AI22" s="340">
        <v>0.54</v>
      </c>
      <c r="AJ22" s="340">
        <v>0.54</v>
      </c>
      <c r="AK22" s="480">
        <v>0.54</v>
      </c>
      <c r="AL22" s="505">
        <v>23152</v>
      </c>
      <c r="AM22" s="496">
        <f t="shared" si="0"/>
        <v>6945.5999999999995</v>
      </c>
      <c r="AN22" s="555">
        <v>27167</v>
      </c>
      <c r="AO22" s="496">
        <f t="shared" si="1"/>
        <v>8150.0999999999995</v>
      </c>
      <c r="AP22" s="555">
        <v>6233</v>
      </c>
      <c r="AQ22" s="621">
        <f t="shared" si="2"/>
        <v>1807.57</v>
      </c>
      <c r="AR22" s="495">
        <v>13068</v>
      </c>
      <c r="AS22" s="777">
        <f t="shared" si="3"/>
        <v>0</v>
      </c>
      <c r="AT22" s="555">
        <v>20878</v>
      </c>
      <c r="AU22" s="496">
        <f t="shared" si="4"/>
        <v>11274.12</v>
      </c>
      <c r="AV22" s="149">
        <v>0</v>
      </c>
      <c r="AW22" s="390">
        <f t="shared" si="5"/>
        <v>0</v>
      </c>
      <c r="AX22" s="150">
        <v>0</v>
      </c>
      <c r="AY22" s="389">
        <f t="shared" si="6"/>
        <v>0</v>
      </c>
      <c r="AZ22" s="149">
        <v>0</v>
      </c>
      <c r="BA22" s="389">
        <f t="shared" si="7"/>
        <v>0</v>
      </c>
      <c r="BB22" s="151">
        <v>10521.520935119101</v>
      </c>
      <c r="BC22" s="391">
        <f t="shared" si="8"/>
        <v>5681.6213049643147</v>
      </c>
      <c r="BD22" s="150">
        <v>8343.4864498924508</v>
      </c>
      <c r="BE22" s="389">
        <f t="shared" si="9"/>
        <v>4505.4826829419235</v>
      </c>
      <c r="BF22" s="149">
        <v>8842.7864422910898</v>
      </c>
      <c r="BG22" s="389">
        <f t="shared" si="10"/>
        <v>4775.1046788371887</v>
      </c>
      <c r="BH22" s="151">
        <v>6187.8827482385896</v>
      </c>
      <c r="BI22" s="443">
        <f t="shared" si="11"/>
        <v>3341.4566840488387</v>
      </c>
      <c r="BJ22" s="177" t="s">
        <v>530</v>
      </c>
      <c r="BK22" s="78"/>
      <c r="BL22" s="78" t="s">
        <v>92</v>
      </c>
      <c r="BM22" s="9" t="s">
        <v>279</v>
      </c>
    </row>
    <row r="23" spans="1:65" ht="15" customHeight="1">
      <c r="A23" s="197" t="s">
        <v>383</v>
      </c>
      <c r="B23" s="9" t="s">
        <v>508</v>
      </c>
      <c r="C23" s="9" t="s">
        <v>30</v>
      </c>
      <c r="D23" s="1017"/>
      <c r="E23" s="1017"/>
      <c r="F23" s="1029"/>
      <c r="G23" s="204">
        <v>2025</v>
      </c>
      <c r="H23" s="838" t="s">
        <v>173</v>
      </c>
      <c r="I23" s="271" t="s">
        <v>151</v>
      </c>
      <c r="J23" s="147">
        <v>16</v>
      </c>
      <c r="K23" s="148" t="s">
        <v>153</v>
      </c>
      <c r="L23" s="314" t="s">
        <v>150</v>
      </c>
      <c r="M23" s="316" t="s">
        <v>327</v>
      </c>
      <c r="N23" s="172">
        <v>8.25</v>
      </c>
      <c r="O23" s="6">
        <v>8.25</v>
      </c>
      <c r="P23" s="6">
        <v>8.16</v>
      </c>
      <c r="Q23" s="6">
        <v>8.16</v>
      </c>
      <c r="R23" s="6">
        <v>8.9499999999999993</v>
      </c>
      <c r="S23" s="6">
        <v>8.9499999999999993</v>
      </c>
      <c r="T23" s="6">
        <v>8.9499999999999993</v>
      </c>
      <c r="U23" s="6">
        <v>8.9499999999999993</v>
      </c>
      <c r="V23" s="6">
        <v>8.9499999999999993</v>
      </c>
      <c r="W23" s="6">
        <v>8.9499999999999993</v>
      </c>
      <c r="X23" s="6">
        <v>8.9499999999999993</v>
      </c>
      <c r="Y23" s="6">
        <v>8.9499999999999993</v>
      </c>
      <c r="Z23" s="195">
        <v>0.3</v>
      </c>
      <c r="AA23" s="340">
        <v>0.3</v>
      </c>
      <c r="AB23" s="340">
        <v>0.28999999999999998</v>
      </c>
      <c r="AC23" s="340">
        <v>0</v>
      </c>
      <c r="AD23" s="340">
        <v>0.57999999999999996</v>
      </c>
      <c r="AE23" s="340">
        <v>0.57999999999999996</v>
      </c>
      <c r="AF23" s="340">
        <v>0.57999999999999996</v>
      </c>
      <c r="AG23" s="340">
        <v>0.57999999999999996</v>
      </c>
      <c r="AH23" s="340">
        <v>0.57999999999999996</v>
      </c>
      <c r="AI23" s="340">
        <v>0.57999999999999996</v>
      </c>
      <c r="AJ23" s="340">
        <v>0.57999999999999996</v>
      </c>
      <c r="AK23" s="480">
        <v>0.57999999999999996</v>
      </c>
      <c r="AL23" s="505">
        <v>2840</v>
      </c>
      <c r="AM23" s="494">
        <f t="shared" si="0"/>
        <v>852</v>
      </c>
      <c r="AN23" s="555">
        <v>1040</v>
      </c>
      <c r="AO23" s="494">
        <f t="shared" si="1"/>
        <v>312</v>
      </c>
      <c r="AP23" s="555">
        <v>3323</v>
      </c>
      <c r="AQ23" s="620">
        <f t="shared" si="2"/>
        <v>963.67</v>
      </c>
      <c r="AR23" s="495">
        <v>2920</v>
      </c>
      <c r="AS23" s="775">
        <f t="shared" si="3"/>
        <v>0</v>
      </c>
      <c r="AT23" s="555">
        <v>3038</v>
      </c>
      <c r="AU23" s="494">
        <f t="shared" si="4"/>
        <v>1762.04</v>
      </c>
      <c r="AV23" s="149">
        <v>0</v>
      </c>
      <c r="AW23" s="355">
        <f t="shared" si="5"/>
        <v>0</v>
      </c>
      <c r="AX23" s="150">
        <v>0</v>
      </c>
      <c r="AY23" s="127">
        <f t="shared" si="6"/>
        <v>0</v>
      </c>
      <c r="AZ23" s="149">
        <v>0</v>
      </c>
      <c r="BA23" s="127">
        <f t="shared" si="7"/>
        <v>0</v>
      </c>
      <c r="BB23" s="151">
        <v>0</v>
      </c>
      <c r="BC23" s="356">
        <f t="shared" si="8"/>
        <v>0</v>
      </c>
      <c r="BD23" s="150">
        <v>0</v>
      </c>
      <c r="BE23" s="127">
        <f t="shared" si="9"/>
        <v>0</v>
      </c>
      <c r="BF23" s="149">
        <v>0</v>
      </c>
      <c r="BG23" s="127">
        <f t="shared" si="10"/>
        <v>0</v>
      </c>
      <c r="BH23" s="151">
        <v>0</v>
      </c>
      <c r="BI23" s="442">
        <f t="shared" si="11"/>
        <v>0</v>
      </c>
      <c r="BJ23" s="177" t="s">
        <v>531</v>
      </c>
      <c r="BK23" s="78" t="s">
        <v>338</v>
      </c>
      <c r="BL23" s="78" t="s">
        <v>92</v>
      </c>
      <c r="BM23" s="9" t="s">
        <v>279</v>
      </c>
    </row>
    <row r="24" spans="1:65" ht="15" customHeight="1">
      <c r="A24" s="197" t="s">
        <v>383</v>
      </c>
      <c r="B24" s="9" t="s">
        <v>508</v>
      </c>
      <c r="C24" s="9" t="s">
        <v>30</v>
      </c>
      <c r="D24" s="1017"/>
      <c r="E24" s="1017"/>
      <c r="F24" s="1029"/>
      <c r="G24" s="226">
        <v>2025</v>
      </c>
      <c r="H24" s="839" t="s">
        <v>173</v>
      </c>
      <c r="I24" s="271" t="s">
        <v>148</v>
      </c>
      <c r="J24" s="147">
        <v>16</v>
      </c>
      <c r="K24" s="148" t="s">
        <v>153</v>
      </c>
      <c r="L24" s="314" t="s">
        <v>150</v>
      </c>
      <c r="M24" s="316" t="s">
        <v>321</v>
      </c>
      <c r="N24" s="172">
        <v>5.2</v>
      </c>
      <c r="O24" s="6">
        <v>5.2</v>
      </c>
      <c r="P24" s="6">
        <v>5.08</v>
      </c>
      <c r="Q24" s="6">
        <v>5.08</v>
      </c>
      <c r="R24" s="6">
        <v>5.83</v>
      </c>
      <c r="S24" s="6">
        <v>5.83</v>
      </c>
      <c r="T24" s="6">
        <v>5.83</v>
      </c>
      <c r="U24" s="6">
        <v>5.83</v>
      </c>
      <c r="V24" s="6">
        <v>5.83</v>
      </c>
      <c r="W24" s="6">
        <v>5.83</v>
      </c>
      <c r="X24" s="6">
        <v>5.83</v>
      </c>
      <c r="Y24" s="6">
        <v>5.83</v>
      </c>
      <c r="Z24" s="195">
        <v>0.42</v>
      </c>
      <c r="AA24" s="340">
        <v>0.42</v>
      </c>
      <c r="AB24" s="340">
        <v>0.3</v>
      </c>
      <c r="AC24" s="340">
        <v>0</v>
      </c>
      <c r="AD24" s="340">
        <v>0.55000000000000004</v>
      </c>
      <c r="AE24" s="340">
        <v>0.55000000000000004</v>
      </c>
      <c r="AF24" s="340">
        <v>0.55000000000000004</v>
      </c>
      <c r="AG24" s="340">
        <v>0.55000000000000004</v>
      </c>
      <c r="AH24" s="340">
        <v>0.55000000000000004</v>
      </c>
      <c r="AI24" s="340">
        <v>0.55000000000000004</v>
      </c>
      <c r="AJ24" s="340">
        <v>0.55000000000000004</v>
      </c>
      <c r="AK24" s="480">
        <v>0.55000000000000004</v>
      </c>
      <c r="AL24" s="505">
        <v>2329</v>
      </c>
      <c r="AM24" s="496">
        <f t="shared" si="0"/>
        <v>978.18</v>
      </c>
      <c r="AN24" s="555">
        <v>1914</v>
      </c>
      <c r="AO24" s="496">
        <f t="shared" si="1"/>
        <v>803.88</v>
      </c>
      <c r="AP24" s="555">
        <v>440</v>
      </c>
      <c r="AQ24" s="621">
        <f t="shared" si="2"/>
        <v>132</v>
      </c>
      <c r="AR24" s="495">
        <v>1960</v>
      </c>
      <c r="AS24" s="777">
        <f t="shared" si="3"/>
        <v>0</v>
      </c>
      <c r="AT24" s="555">
        <v>1445</v>
      </c>
      <c r="AU24" s="496">
        <f t="shared" si="4"/>
        <v>794.75000000000011</v>
      </c>
      <c r="AV24" s="149">
        <v>597</v>
      </c>
      <c r="AW24" s="390">
        <f t="shared" si="5"/>
        <v>328.35</v>
      </c>
      <c r="AX24" s="150">
        <v>578</v>
      </c>
      <c r="AY24" s="389">
        <f t="shared" si="6"/>
        <v>317.90000000000003</v>
      </c>
      <c r="AZ24" s="149">
        <v>612</v>
      </c>
      <c r="BA24" s="389">
        <f t="shared" si="7"/>
        <v>336.6</v>
      </c>
      <c r="BB24" s="151">
        <v>464.54105331124998</v>
      </c>
      <c r="BC24" s="391">
        <f t="shared" si="8"/>
        <v>255.49757932118752</v>
      </c>
      <c r="BD24" s="150">
        <v>416.79572970091499</v>
      </c>
      <c r="BE24" s="389">
        <f t="shared" si="9"/>
        <v>229.23765133550327</v>
      </c>
      <c r="BF24" s="149">
        <v>380.65297203632599</v>
      </c>
      <c r="BG24" s="389">
        <f t="shared" si="10"/>
        <v>209.3591346199793</v>
      </c>
      <c r="BH24" s="149">
        <v>426.88753121479101</v>
      </c>
      <c r="BI24" s="443">
        <f t="shared" si="11"/>
        <v>234.78814216813507</v>
      </c>
      <c r="BJ24" s="177" t="s">
        <v>174</v>
      </c>
      <c r="BK24" s="78"/>
      <c r="BL24" s="78" t="s">
        <v>92</v>
      </c>
      <c r="BM24" s="9" t="s">
        <v>415</v>
      </c>
    </row>
    <row r="25" spans="1:65" ht="15" customHeight="1">
      <c r="A25" s="197" t="s">
        <v>383</v>
      </c>
      <c r="B25" s="9" t="s">
        <v>508</v>
      </c>
      <c r="C25" s="9" t="s">
        <v>30</v>
      </c>
      <c r="D25" s="1017"/>
      <c r="E25" s="1017"/>
      <c r="F25" s="1029"/>
      <c r="G25" s="204">
        <v>2025</v>
      </c>
      <c r="H25" s="843" t="s">
        <v>171</v>
      </c>
      <c r="I25" s="271" t="s">
        <v>151</v>
      </c>
      <c r="J25" s="147">
        <v>14</v>
      </c>
      <c r="K25" s="148" t="s">
        <v>153</v>
      </c>
      <c r="L25" s="314" t="s">
        <v>160</v>
      </c>
      <c r="M25" s="316" t="s">
        <v>326</v>
      </c>
      <c r="N25" s="172">
        <v>7.9</v>
      </c>
      <c r="O25" s="6">
        <v>7.9</v>
      </c>
      <c r="P25" s="6">
        <v>7.74</v>
      </c>
      <c r="Q25" s="6">
        <v>7.74</v>
      </c>
      <c r="R25" s="6">
        <v>8.25</v>
      </c>
      <c r="S25" s="6">
        <v>8.25</v>
      </c>
      <c r="T25" s="6">
        <v>8.25</v>
      </c>
      <c r="U25" s="6">
        <v>8.25</v>
      </c>
      <c r="V25" s="6">
        <v>8.25</v>
      </c>
      <c r="W25" s="6">
        <v>8.25</v>
      </c>
      <c r="X25" s="6">
        <v>8.25</v>
      </c>
      <c r="Y25" s="6">
        <v>8.25</v>
      </c>
      <c r="Z25" s="195">
        <v>0.39</v>
      </c>
      <c r="AA25" s="340">
        <v>0.39</v>
      </c>
      <c r="AB25" s="340">
        <v>0.31</v>
      </c>
      <c r="AC25" s="340">
        <v>0</v>
      </c>
      <c r="AD25" s="340">
        <v>0.41</v>
      </c>
      <c r="AE25" s="340">
        <v>0.41</v>
      </c>
      <c r="AF25" s="340">
        <v>0.41</v>
      </c>
      <c r="AG25" s="340">
        <v>0.41</v>
      </c>
      <c r="AH25" s="340">
        <v>0.41</v>
      </c>
      <c r="AI25" s="340">
        <v>0.41</v>
      </c>
      <c r="AJ25" s="340">
        <v>0.41</v>
      </c>
      <c r="AK25" s="480">
        <v>0.41</v>
      </c>
      <c r="AL25" s="504">
        <v>4000</v>
      </c>
      <c r="AM25" s="494">
        <f t="shared" si="0"/>
        <v>1560</v>
      </c>
      <c r="AN25" s="555">
        <v>0</v>
      </c>
      <c r="AO25" s="494">
        <f t="shared" si="1"/>
        <v>0</v>
      </c>
      <c r="AP25" s="555">
        <v>0</v>
      </c>
      <c r="AQ25" s="620">
        <f t="shared" si="2"/>
        <v>0</v>
      </c>
      <c r="AR25" s="495">
        <v>40</v>
      </c>
      <c r="AS25" s="775">
        <f t="shared" si="3"/>
        <v>0</v>
      </c>
      <c r="AT25" s="555">
        <v>3680</v>
      </c>
      <c r="AU25" s="494">
        <f t="shared" si="4"/>
        <v>1508.8</v>
      </c>
      <c r="AV25" s="149">
        <v>0</v>
      </c>
      <c r="AW25" s="355">
        <f t="shared" si="5"/>
        <v>0</v>
      </c>
      <c r="AX25" s="150">
        <v>0</v>
      </c>
      <c r="AY25" s="127">
        <f t="shared" si="6"/>
        <v>0</v>
      </c>
      <c r="AZ25" s="149">
        <v>0</v>
      </c>
      <c r="BA25" s="127">
        <f t="shared" si="7"/>
        <v>0</v>
      </c>
      <c r="BB25" s="151">
        <v>0</v>
      </c>
      <c r="BC25" s="356">
        <f t="shared" si="8"/>
        <v>0</v>
      </c>
      <c r="BD25" s="150">
        <v>0</v>
      </c>
      <c r="BE25" s="127">
        <f t="shared" si="9"/>
        <v>0</v>
      </c>
      <c r="BF25" s="149">
        <v>0</v>
      </c>
      <c r="BG25" s="127">
        <f t="shared" si="10"/>
        <v>0</v>
      </c>
      <c r="BH25" s="151">
        <v>0</v>
      </c>
      <c r="BI25" s="442">
        <f t="shared" si="11"/>
        <v>0</v>
      </c>
      <c r="BJ25" s="177" t="s">
        <v>532</v>
      </c>
      <c r="BK25" s="78"/>
      <c r="BL25" s="78" t="s">
        <v>92</v>
      </c>
      <c r="BM25" s="9" t="s">
        <v>277</v>
      </c>
    </row>
    <row r="26" spans="1:65" ht="15" customHeight="1">
      <c r="A26" s="197" t="s">
        <v>383</v>
      </c>
      <c r="B26" s="9" t="s">
        <v>508</v>
      </c>
      <c r="C26" s="9" t="s">
        <v>30</v>
      </c>
      <c r="D26" s="1017"/>
      <c r="E26" s="1017"/>
      <c r="F26" s="1029"/>
      <c r="G26" s="204">
        <v>2025</v>
      </c>
      <c r="H26" s="843" t="s">
        <v>171</v>
      </c>
      <c r="I26" s="271" t="s">
        <v>151</v>
      </c>
      <c r="J26" s="147">
        <v>14</v>
      </c>
      <c r="K26" s="148" t="s">
        <v>153</v>
      </c>
      <c r="L26" s="314" t="s">
        <v>337</v>
      </c>
      <c r="M26" s="316" t="s">
        <v>327</v>
      </c>
      <c r="N26" s="172">
        <v>7.92</v>
      </c>
      <c r="O26" s="6">
        <v>7.92</v>
      </c>
      <c r="P26" s="6">
        <v>7.76</v>
      </c>
      <c r="Q26" s="6">
        <v>7.76</v>
      </c>
      <c r="R26" s="6">
        <v>8.27</v>
      </c>
      <c r="S26" s="6">
        <v>8.27</v>
      </c>
      <c r="T26" s="6">
        <v>8.27</v>
      </c>
      <c r="U26" s="6">
        <v>8.27</v>
      </c>
      <c r="V26" s="6">
        <v>8.27</v>
      </c>
      <c r="W26" s="6">
        <v>8.27</v>
      </c>
      <c r="X26" s="6">
        <v>8.27</v>
      </c>
      <c r="Y26" s="6">
        <v>8.27</v>
      </c>
      <c r="Z26" s="195">
        <v>0.39</v>
      </c>
      <c r="AA26" s="340">
        <v>0.39</v>
      </c>
      <c r="AB26" s="340">
        <v>0.31</v>
      </c>
      <c r="AC26" s="340">
        <v>0</v>
      </c>
      <c r="AD26" s="340">
        <v>0.41</v>
      </c>
      <c r="AE26" s="340">
        <v>0.41</v>
      </c>
      <c r="AF26" s="340">
        <v>0.41</v>
      </c>
      <c r="AG26" s="340">
        <v>0.41</v>
      </c>
      <c r="AH26" s="340">
        <v>0.41</v>
      </c>
      <c r="AI26" s="340">
        <v>0.41</v>
      </c>
      <c r="AJ26" s="340">
        <v>0.41</v>
      </c>
      <c r="AK26" s="480">
        <v>0.41</v>
      </c>
      <c r="AL26" s="504">
        <v>5712</v>
      </c>
      <c r="AM26" s="496">
        <f t="shared" si="0"/>
        <v>2227.6800000000003</v>
      </c>
      <c r="AN26" s="555">
        <v>5880</v>
      </c>
      <c r="AO26" s="496">
        <f t="shared" si="1"/>
        <v>2293.2000000000003</v>
      </c>
      <c r="AP26" s="555">
        <v>11160</v>
      </c>
      <c r="AQ26" s="621">
        <f t="shared" si="2"/>
        <v>3459.6</v>
      </c>
      <c r="AR26" s="495">
        <v>9000</v>
      </c>
      <c r="AS26" s="777">
        <f t="shared" si="3"/>
        <v>0</v>
      </c>
      <c r="AT26" s="555">
        <v>2851</v>
      </c>
      <c r="AU26" s="496">
        <f t="shared" si="4"/>
        <v>1168.9099999999999</v>
      </c>
      <c r="AV26" s="149">
        <v>1162</v>
      </c>
      <c r="AW26" s="390">
        <f t="shared" si="5"/>
        <v>476.41999999999996</v>
      </c>
      <c r="AX26" s="150">
        <v>5732</v>
      </c>
      <c r="AY26" s="389">
        <f t="shared" si="6"/>
        <v>2350.12</v>
      </c>
      <c r="AZ26" s="149">
        <v>3049</v>
      </c>
      <c r="BA26" s="389">
        <f t="shared" si="7"/>
        <v>1250.0899999999999</v>
      </c>
      <c r="BB26" s="151">
        <v>0</v>
      </c>
      <c r="BC26" s="391">
        <f t="shared" si="8"/>
        <v>0</v>
      </c>
      <c r="BD26" s="150">
        <v>0</v>
      </c>
      <c r="BE26" s="389">
        <f t="shared" si="9"/>
        <v>0</v>
      </c>
      <c r="BF26" s="149">
        <v>0</v>
      </c>
      <c r="BG26" s="389">
        <f t="shared" si="10"/>
        <v>0</v>
      </c>
      <c r="BH26" s="151">
        <v>0</v>
      </c>
      <c r="BI26" s="443">
        <f t="shared" si="11"/>
        <v>0</v>
      </c>
      <c r="BJ26" s="177" t="s">
        <v>533</v>
      </c>
      <c r="BK26" s="78" t="s">
        <v>338</v>
      </c>
      <c r="BL26" s="78" t="s">
        <v>92</v>
      </c>
      <c r="BM26" s="9" t="s">
        <v>277</v>
      </c>
    </row>
    <row r="27" spans="1:65" ht="15" customHeight="1">
      <c r="A27" s="197" t="s">
        <v>383</v>
      </c>
      <c r="B27" s="9" t="s">
        <v>508</v>
      </c>
      <c r="C27" s="9" t="s">
        <v>30</v>
      </c>
      <c r="D27" s="1017"/>
      <c r="E27" s="1017"/>
      <c r="F27" s="1029"/>
      <c r="G27" s="204">
        <v>2025</v>
      </c>
      <c r="H27" s="843" t="s">
        <v>171</v>
      </c>
      <c r="I27" s="271" t="s">
        <v>148</v>
      </c>
      <c r="J27" s="147">
        <v>14</v>
      </c>
      <c r="K27" s="148" t="s">
        <v>153</v>
      </c>
      <c r="L27" s="314" t="s">
        <v>160</v>
      </c>
      <c r="M27" s="316" t="s">
        <v>326</v>
      </c>
      <c r="N27" s="172">
        <v>4.82</v>
      </c>
      <c r="O27" s="6">
        <v>4.82</v>
      </c>
      <c r="P27" s="6">
        <v>4.75</v>
      </c>
      <c r="Q27" s="6">
        <v>4.75</v>
      </c>
      <c r="R27" s="6">
        <v>5.25</v>
      </c>
      <c r="S27" s="6">
        <v>5.25</v>
      </c>
      <c r="T27" s="6">
        <v>5.25</v>
      </c>
      <c r="U27" s="6">
        <v>5.25</v>
      </c>
      <c r="V27" s="6">
        <v>5.25</v>
      </c>
      <c r="W27" s="6">
        <v>5.25</v>
      </c>
      <c r="X27" s="6">
        <v>5.25</v>
      </c>
      <c r="Y27" s="6">
        <v>5.25</v>
      </c>
      <c r="Z27" s="195">
        <v>0.39</v>
      </c>
      <c r="AA27" s="340">
        <v>0.39</v>
      </c>
      <c r="AB27" s="340">
        <v>0.32</v>
      </c>
      <c r="AC27" s="340">
        <v>0</v>
      </c>
      <c r="AD27" s="340">
        <v>0.41</v>
      </c>
      <c r="AE27" s="340">
        <v>0.41</v>
      </c>
      <c r="AF27" s="340">
        <v>0.41</v>
      </c>
      <c r="AG27" s="340">
        <v>0.41</v>
      </c>
      <c r="AH27" s="340">
        <v>0.41</v>
      </c>
      <c r="AI27" s="340">
        <v>0.41</v>
      </c>
      <c r="AJ27" s="340">
        <v>0.41</v>
      </c>
      <c r="AK27" s="480">
        <v>0.41</v>
      </c>
      <c r="AL27" s="505">
        <v>0</v>
      </c>
      <c r="AM27" s="494">
        <f t="shared" si="0"/>
        <v>0</v>
      </c>
      <c r="AN27" s="555">
        <v>0</v>
      </c>
      <c r="AO27" s="494">
        <f t="shared" si="1"/>
        <v>0</v>
      </c>
      <c r="AP27" s="555">
        <v>0</v>
      </c>
      <c r="AQ27" s="620">
        <f t="shared" si="2"/>
        <v>0</v>
      </c>
      <c r="AR27" s="495">
        <v>0</v>
      </c>
      <c r="AS27" s="775">
        <f t="shared" si="3"/>
        <v>0</v>
      </c>
      <c r="AT27" s="555">
        <v>0</v>
      </c>
      <c r="AU27" s="494">
        <f t="shared" si="4"/>
        <v>0</v>
      </c>
      <c r="AV27" s="149">
        <v>0</v>
      </c>
      <c r="AW27" s="355">
        <f t="shared" si="5"/>
        <v>0</v>
      </c>
      <c r="AX27" s="150">
        <v>0</v>
      </c>
      <c r="AY27" s="127">
        <f t="shared" si="6"/>
        <v>0</v>
      </c>
      <c r="AZ27" s="149">
        <v>0</v>
      </c>
      <c r="BA27" s="127">
        <f t="shared" si="7"/>
        <v>0</v>
      </c>
      <c r="BB27" s="151">
        <v>0</v>
      </c>
      <c r="BC27" s="356">
        <f t="shared" si="8"/>
        <v>0</v>
      </c>
      <c r="BD27" s="150">
        <v>0</v>
      </c>
      <c r="BE27" s="127">
        <f t="shared" si="9"/>
        <v>0</v>
      </c>
      <c r="BF27" s="149">
        <v>0</v>
      </c>
      <c r="BG27" s="127">
        <f t="shared" si="10"/>
        <v>0</v>
      </c>
      <c r="BH27" s="149">
        <v>0</v>
      </c>
      <c r="BI27" s="442">
        <f t="shared" si="11"/>
        <v>0</v>
      </c>
      <c r="BJ27" s="177" t="s">
        <v>534</v>
      </c>
      <c r="BK27" s="78"/>
      <c r="BL27" s="78" t="s">
        <v>92</v>
      </c>
      <c r="BM27" s="9" t="s">
        <v>278</v>
      </c>
    </row>
    <row r="28" spans="1:65" ht="16" customHeight="1">
      <c r="A28" s="197" t="s">
        <v>383</v>
      </c>
      <c r="B28" s="9" t="s">
        <v>508</v>
      </c>
      <c r="C28" s="9" t="s">
        <v>30</v>
      </c>
      <c r="D28" s="1017"/>
      <c r="E28" s="1017"/>
      <c r="F28" s="1029"/>
      <c r="G28" s="204">
        <v>2025</v>
      </c>
      <c r="H28" s="838" t="s">
        <v>173</v>
      </c>
      <c r="I28" s="271" t="s">
        <v>151</v>
      </c>
      <c r="J28" s="147">
        <v>16</v>
      </c>
      <c r="K28" s="148" t="s">
        <v>153</v>
      </c>
      <c r="L28" s="314" t="s">
        <v>160</v>
      </c>
      <c r="M28" s="316" t="s">
        <v>326</v>
      </c>
      <c r="N28" s="172">
        <v>8.23</v>
      </c>
      <c r="O28" s="6">
        <v>8.23</v>
      </c>
      <c r="P28" s="6">
        <v>8.14</v>
      </c>
      <c r="Q28" s="6">
        <v>8.14</v>
      </c>
      <c r="R28" s="6">
        <v>8.89</v>
      </c>
      <c r="S28" s="6">
        <v>8.89</v>
      </c>
      <c r="T28" s="6">
        <v>8.89</v>
      </c>
      <c r="U28" s="6">
        <v>8.89</v>
      </c>
      <c r="V28" s="6">
        <v>8.89</v>
      </c>
      <c r="W28" s="6">
        <v>8.89</v>
      </c>
      <c r="X28" s="6">
        <v>8.89</v>
      </c>
      <c r="Y28" s="6">
        <v>8.89</v>
      </c>
      <c r="Z28" s="195">
        <v>0.3</v>
      </c>
      <c r="AA28" s="340">
        <v>0.3</v>
      </c>
      <c r="AB28" s="340">
        <v>0.28999999999999998</v>
      </c>
      <c r="AC28" s="340">
        <v>0</v>
      </c>
      <c r="AD28" s="340">
        <v>0.54</v>
      </c>
      <c r="AE28" s="340">
        <v>0.54</v>
      </c>
      <c r="AF28" s="340">
        <v>0.54</v>
      </c>
      <c r="AG28" s="340">
        <v>0.54</v>
      </c>
      <c r="AH28" s="340">
        <v>0.54</v>
      </c>
      <c r="AI28" s="340">
        <v>0.54</v>
      </c>
      <c r="AJ28" s="340">
        <v>0.54</v>
      </c>
      <c r="AK28" s="480">
        <v>0.54</v>
      </c>
      <c r="AL28" s="505">
        <v>40</v>
      </c>
      <c r="AM28" s="496">
        <f t="shared" si="0"/>
        <v>12</v>
      </c>
      <c r="AN28" s="555">
        <v>0</v>
      </c>
      <c r="AO28" s="496">
        <f t="shared" si="1"/>
        <v>0</v>
      </c>
      <c r="AP28" s="555">
        <v>0</v>
      </c>
      <c r="AQ28" s="621">
        <f t="shared" si="2"/>
        <v>0</v>
      </c>
      <c r="AR28" s="495">
        <v>520</v>
      </c>
      <c r="AS28" s="777">
        <f t="shared" si="3"/>
        <v>0</v>
      </c>
      <c r="AT28" s="555">
        <v>0</v>
      </c>
      <c r="AU28" s="496">
        <f t="shared" si="4"/>
        <v>0</v>
      </c>
      <c r="AV28" s="149">
        <v>0</v>
      </c>
      <c r="AW28" s="390">
        <f t="shared" si="5"/>
        <v>0</v>
      </c>
      <c r="AX28" s="150">
        <v>2</v>
      </c>
      <c r="AY28" s="389">
        <f t="shared" si="6"/>
        <v>1.08</v>
      </c>
      <c r="AZ28" s="149">
        <v>2</v>
      </c>
      <c r="BA28" s="389">
        <f t="shared" si="7"/>
        <v>1.08</v>
      </c>
      <c r="BB28" s="151">
        <v>0</v>
      </c>
      <c r="BC28" s="391">
        <f t="shared" si="8"/>
        <v>0</v>
      </c>
      <c r="BD28" s="150">
        <v>0</v>
      </c>
      <c r="BE28" s="389">
        <f t="shared" si="9"/>
        <v>0</v>
      </c>
      <c r="BF28" s="149">
        <v>0</v>
      </c>
      <c r="BG28" s="389">
        <f t="shared" si="10"/>
        <v>0</v>
      </c>
      <c r="BH28" s="151">
        <v>0</v>
      </c>
      <c r="BI28" s="443">
        <f t="shared" si="11"/>
        <v>0</v>
      </c>
      <c r="BJ28" s="177" t="s">
        <v>535</v>
      </c>
      <c r="BK28" s="78"/>
      <c r="BL28" s="78" t="s">
        <v>92</v>
      </c>
      <c r="BM28" s="9" t="s">
        <v>279</v>
      </c>
    </row>
    <row r="29" spans="1:65" ht="15.5" customHeight="1">
      <c r="A29" s="197" t="s">
        <v>383</v>
      </c>
      <c r="B29" s="9" t="s">
        <v>508</v>
      </c>
      <c r="C29" s="9" t="s">
        <v>30</v>
      </c>
      <c r="D29" s="1017"/>
      <c r="E29" s="1017"/>
      <c r="F29" s="1029"/>
      <c r="G29" s="603">
        <v>2026</v>
      </c>
      <c r="H29" s="844" t="s">
        <v>522</v>
      </c>
      <c r="I29" s="604" t="s">
        <v>388</v>
      </c>
      <c r="J29" s="605">
        <v>14</v>
      </c>
      <c r="K29" s="606" t="s">
        <v>153</v>
      </c>
      <c r="L29" s="607" t="s">
        <v>150</v>
      </c>
      <c r="M29" s="608" t="s">
        <v>391</v>
      </c>
      <c r="N29" s="172">
        <v>7.2</v>
      </c>
      <c r="O29" s="6">
        <v>7.2</v>
      </c>
      <c r="P29" s="6">
        <v>7.2</v>
      </c>
      <c r="Q29" s="943">
        <v>7.2</v>
      </c>
      <c r="R29" s="943">
        <v>7.75</v>
      </c>
      <c r="S29" s="943">
        <v>7.75</v>
      </c>
      <c r="T29" s="943">
        <v>7.75</v>
      </c>
      <c r="U29" s="943">
        <v>7.75</v>
      </c>
      <c r="V29" s="943">
        <v>7.75</v>
      </c>
      <c r="W29" s="943">
        <v>7.75</v>
      </c>
      <c r="X29" s="943">
        <v>7.75</v>
      </c>
      <c r="Y29" s="943">
        <v>7.75</v>
      </c>
      <c r="Z29" s="195">
        <v>0</v>
      </c>
      <c r="AA29" s="340">
        <v>0</v>
      </c>
      <c r="AB29" s="340">
        <v>0.26</v>
      </c>
      <c r="AC29" s="340">
        <v>0</v>
      </c>
      <c r="AD29" s="340">
        <v>0.4</v>
      </c>
      <c r="AE29" s="340">
        <v>0.4</v>
      </c>
      <c r="AF29" s="340">
        <v>0.4</v>
      </c>
      <c r="AG29" s="340">
        <v>0.4</v>
      </c>
      <c r="AH29" s="340">
        <v>0.4</v>
      </c>
      <c r="AI29" s="340">
        <v>0.4</v>
      </c>
      <c r="AJ29" s="340">
        <v>0.4</v>
      </c>
      <c r="AK29" s="480">
        <v>0.4</v>
      </c>
      <c r="AL29" s="505">
        <v>0</v>
      </c>
      <c r="AM29" s="494">
        <f t="shared" ref="AM29" si="12">Z29*AL29</f>
        <v>0</v>
      </c>
      <c r="AN29" s="555">
        <v>0</v>
      </c>
      <c r="AO29" s="496">
        <f t="shared" ref="AO29" si="13">AA29*AN29</f>
        <v>0</v>
      </c>
      <c r="AP29" s="555">
        <v>0</v>
      </c>
      <c r="AQ29" s="621">
        <f t="shared" ref="AQ29" si="14">AB29*AP29</f>
        <v>0</v>
      </c>
      <c r="AR29" s="495">
        <v>0</v>
      </c>
      <c r="AS29" s="777">
        <f t="shared" ref="AS29" si="15">AC29*AR29</f>
        <v>0</v>
      </c>
      <c r="AT29" s="555">
        <v>0</v>
      </c>
      <c r="AU29" s="496">
        <f t="shared" ref="AU29" si="16">AD29*AT29</f>
        <v>0</v>
      </c>
      <c r="AV29" s="149">
        <v>10276</v>
      </c>
      <c r="AW29" s="390">
        <f t="shared" ref="AW29" si="17">AE29*AV29</f>
        <v>4110.4000000000005</v>
      </c>
      <c r="AX29" s="150">
        <v>17171</v>
      </c>
      <c r="AY29" s="389">
        <f t="shared" ref="AY29" si="18">AF29*AX29</f>
        <v>6868.4000000000005</v>
      </c>
      <c r="AZ29" s="357">
        <v>16391</v>
      </c>
      <c r="BA29" s="389">
        <f t="shared" ref="BA29" si="19">AG29*AZ29</f>
        <v>6556.4000000000005</v>
      </c>
      <c r="BB29" s="602">
        <v>0</v>
      </c>
      <c r="BC29" s="391">
        <f t="shared" ref="BC29" si="20">AH29*BB29</f>
        <v>0</v>
      </c>
      <c r="BD29" s="150">
        <v>0</v>
      </c>
      <c r="BE29" s="389">
        <f t="shared" ref="BE29" si="21">AI29*BD29</f>
        <v>0</v>
      </c>
      <c r="BF29" s="149">
        <v>0</v>
      </c>
      <c r="BG29" s="389">
        <f t="shared" ref="BG29" si="22">AJ29*BF29</f>
        <v>0</v>
      </c>
      <c r="BH29" s="151">
        <v>0</v>
      </c>
      <c r="BI29" s="443">
        <f t="shared" ref="BI29" si="23">AK29*BH29</f>
        <v>0</v>
      </c>
      <c r="BJ29" s="479" t="s">
        <v>678</v>
      </c>
      <c r="BK29" s="334"/>
      <c r="BL29" s="334" t="s">
        <v>92</v>
      </c>
      <c r="BM29" s="331" t="s">
        <v>634</v>
      </c>
    </row>
    <row r="30" spans="1:65" ht="15.5" customHeight="1">
      <c r="A30" s="197" t="s">
        <v>383</v>
      </c>
      <c r="B30" s="9" t="s">
        <v>186</v>
      </c>
      <c r="C30" s="9" t="s">
        <v>30</v>
      </c>
      <c r="D30" s="1017"/>
      <c r="E30" s="1017"/>
      <c r="F30" s="1029"/>
      <c r="G30" s="603">
        <v>2026</v>
      </c>
      <c r="H30" s="844" t="s">
        <v>522</v>
      </c>
      <c r="I30" s="604" t="s">
        <v>523</v>
      </c>
      <c r="J30" s="605">
        <v>14</v>
      </c>
      <c r="K30" s="606" t="s">
        <v>153</v>
      </c>
      <c r="L30" s="607" t="s">
        <v>150</v>
      </c>
      <c r="M30" s="608" t="s">
        <v>681</v>
      </c>
      <c r="N30" s="172">
        <v>7.2</v>
      </c>
      <c r="O30" s="6">
        <v>7.2</v>
      </c>
      <c r="P30" s="6">
        <v>7.2</v>
      </c>
      <c r="Q30" s="943">
        <v>7.2</v>
      </c>
      <c r="R30" s="943">
        <v>7.75</v>
      </c>
      <c r="S30" s="943">
        <v>7.75</v>
      </c>
      <c r="T30" s="943">
        <v>7.75</v>
      </c>
      <c r="U30" s="943">
        <v>7.75</v>
      </c>
      <c r="V30" s="943">
        <v>7.75</v>
      </c>
      <c r="W30" s="943">
        <v>7.75</v>
      </c>
      <c r="X30" s="943">
        <v>7.75</v>
      </c>
      <c r="Y30" s="943">
        <v>7.75</v>
      </c>
      <c r="Z30" s="195">
        <v>0</v>
      </c>
      <c r="AA30" s="340">
        <v>0</v>
      </c>
      <c r="AB30" s="340">
        <v>0.26</v>
      </c>
      <c r="AC30" s="340">
        <v>0</v>
      </c>
      <c r="AD30" s="340">
        <v>0.4</v>
      </c>
      <c r="AE30" s="340">
        <v>0.4</v>
      </c>
      <c r="AF30" s="340">
        <v>0.4</v>
      </c>
      <c r="AG30" s="340">
        <v>0.4</v>
      </c>
      <c r="AH30" s="340">
        <v>0.4</v>
      </c>
      <c r="AI30" s="340">
        <v>0.4</v>
      </c>
      <c r="AJ30" s="340">
        <v>0.4</v>
      </c>
      <c r="AK30" s="480">
        <v>0.4</v>
      </c>
      <c r="AL30" s="505">
        <v>0</v>
      </c>
      <c r="AM30" s="494">
        <f t="shared" si="0"/>
        <v>0</v>
      </c>
      <c r="AN30" s="555">
        <v>0</v>
      </c>
      <c r="AO30" s="496">
        <f t="shared" si="1"/>
        <v>0</v>
      </c>
      <c r="AP30" s="555">
        <v>0</v>
      </c>
      <c r="AQ30" s="621">
        <f t="shared" si="2"/>
        <v>0</v>
      </c>
      <c r="AR30" s="495">
        <v>0</v>
      </c>
      <c r="AS30" s="777">
        <f t="shared" si="3"/>
        <v>0</v>
      </c>
      <c r="AT30" s="555">
        <v>0</v>
      </c>
      <c r="AU30" s="496">
        <f t="shared" si="4"/>
        <v>0</v>
      </c>
      <c r="AV30" s="149">
        <v>0</v>
      </c>
      <c r="AW30" s="390">
        <f t="shared" si="5"/>
        <v>0</v>
      </c>
      <c r="AX30" s="150">
        <v>0</v>
      </c>
      <c r="AY30" s="389">
        <f t="shared" si="6"/>
        <v>0</v>
      </c>
      <c r="AZ30" s="357">
        <v>0</v>
      </c>
      <c r="BA30" s="389">
        <f t="shared" si="7"/>
        <v>0</v>
      </c>
      <c r="BB30" s="602">
        <v>0</v>
      </c>
      <c r="BC30" s="391">
        <f t="shared" si="8"/>
        <v>0</v>
      </c>
      <c r="BD30" s="150">
        <v>0</v>
      </c>
      <c r="BE30" s="389">
        <f t="shared" si="9"/>
        <v>0</v>
      </c>
      <c r="BF30" s="149">
        <v>0</v>
      </c>
      <c r="BG30" s="389">
        <f t="shared" si="10"/>
        <v>0</v>
      </c>
      <c r="BH30" s="151">
        <v>0</v>
      </c>
      <c r="BI30" s="443">
        <f t="shared" si="11"/>
        <v>0</v>
      </c>
      <c r="BJ30" s="890" t="s">
        <v>682</v>
      </c>
      <c r="BK30" s="334"/>
      <c r="BL30" s="334" t="s">
        <v>92</v>
      </c>
      <c r="BM30" s="331" t="s">
        <v>634</v>
      </c>
    </row>
    <row r="31" spans="1:65" ht="15.5" customHeight="1">
      <c r="A31" s="197" t="s">
        <v>383</v>
      </c>
      <c r="B31" s="9" t="s">
        <v>508</v>
      </c>
      <c r="C31" s="9" t="s">
        <v>30</v>
      </c>
      <c r="D31" s="1017"/>
      <c r="E31" s="1017"/>
      <c r="F31" s="1029"/>
      <c r="G31" s="603">
        <v>2026</v>
      </c>
      <c r="H31" s="844" t="s">
        <v>522</v>
      </c>
      <c r="I31" s="604" t="s">
        <v>388</v>
      </c>
      <c r="J31" s="605">
        <v>14</v>
      </c>
      <c r="K31" s="606" t="s">
        <v>153</v>
      </c>
      <c r="L31" s="607" t="s">
        <v>150</v>
      </c>
      <c r="M31" s="608" t="s">
        <v>680</v>
      </c>
      <c r="N31" s="172">
        <v>7.22</v>
      </c>
      <c r="O31" s="6">
        <v>7.22</v>
      </c>
      <c r="P31" s="6">
        <v>7.22</v>
      </c>
      <c r="Q31" s="943">
        <v>7.22</v>
      </c>
      <c r="R31" s="943">
        <v>7.77</v>
      </c>
      <c r="S31" s="943">
        <v>7.77</v>
      </c>
      <c r="T31" s="943">
        <v>7.77</v>
      </c>
      <c r="U31" s="943">
        <v>7.77</v>
      </c>
      <c r="V31" s="943">
        <v>7.77</v>
      </c>
      <c r="W31" s="943">
        <v>7.77</v>
      </c>
      <c r="X31" s="943">
        <v>7.77</v>
      </c>
      <c r="Y31" s="943">
        <v>7.77</v>
      </c>
      <c r="Z31" s="195">
        <v>0</v>
      </c>
      <c r="AA31" s="340">
        <v>0</v>
      </c>
      <c r="AB31" s="340">
        <v>0.26</v>
      </c>
      <c r="AC31" s="340">
        <v>0</v>
      </c>
      <c r="AD31" s="340">
        <v>0.4</v>
      </c>
      <c r="AE31" s="340">
        <v>0.4</v>
      </c>
      <c r="AF31" s="340">
        <v>0.4</v>
      </c>
      <c r="AG31" s="340">
        <v>0.4</v>
      </c>
      <c r="AH31" s="340">
        <v>0.4</v>
      </c>
      <c r="AI31" s="340">
        <v>0.4</v>
      </c>
      <c r="AJ31" s="340">
        <v>0.4</v>
      </c>
      <c r="AK31" s="480">
        <v>0.4</v>
      </c>
      <c r="AL31" s="505">
        <v>0</v>
      </c>
      <c r="AM31" s="494">
        <f t="shared" ref="AM31" si="24">Z31*AL31</f>
        <v>0</v>
      </c>
      <c r="AN31" s="555">
        <v>0</v>
      </c>
      <c r="AO31" s="496">
        <f t="shared" ref="AO31" si="25">AA31*AN31</f>
        <v>0</v>
      </c>
      <c r="AP31" s="555">
        <v>0</v>
      </c>
      <c r="AQ31" s="621">
        <f t="shared" ref="AQ31" si="26">AB31*AP31</f>
        <v>0</v>
      </c>
      <c r="AR31" s="495">
        <v>0</v>
      </c>
      <c r="AS31" s="777">
        <f t="shared" ref="AS31" si="27">AC31*AR31</f>
        <v>0</v>
      </c>
      <c r="AT31" s="555">
        <v>0</v>
      </c>
      <c r="AU31" s="496">
        <f t="shared" ref="AU31" si="28">AD31*AT31</f>
        <v>0</v>
      </c>
      <c r="AV31" s="149">
        <v>0</v>
      </c>
      <c r="AW31" s="390">
        <f t="shared" ref="AW31" si="29">AE31*AV31</f>
        <v>0</v>
      </c>
      <c r="AX31" s="150">
        <v>0</v>
      </c>
      <c r="AY31" s="389">
        <f t="shared" ref="AY31" si="30">AF31*AX31</f>
        <v>0</v>
      </c>
      <c r="AZ31" s="357">
        <v>0</v>
      </c>
      <c r="BA31" s="389">
        <f t="shared" ref="BA31" si="31">AG31*AZ31</f>
        <v>0</v>
      </c>
      <c r="BB31" s="602">
        <v>0</v>
      </c>
      <c r="BC31" s="391">
        <f t="shared" ref="BC31" si="32">AH31*BB31</f>
        <v>0</v>
      </c>
      <c r="BD31" s="150">
        <v>0</v>
      </c>
      <c r="BE31" s="389">
        <f t="shared" ref="BE31" si="33">AI31*BD31</f>
        <v>0</v>
      </c>
      <c r="BF31" s="149">
        <v>0</v>
      </c>
      <c r="BG31" s="389">
        <f t="shared" ref="BG31" si="34">AJ31*BF31</f>
        <v>0</v>
      </c>
      <c r="BH31" s="151">
        <v>0</v>
      </c>
      <c r="BI31" s="443">
        <f t="shared" ref="BI31" si="35">AK31*BH31</f>
        <v>0</v>
      </c>
      <c r="BJ31" s="890" t="s">
        <v>679</v>
      </c>
      <c r="BK31" s="334"/>
      <c r="BL31" s="334" t="s">
        <v>92</v>
      </c>
      <c r="BM31" s="331" t="s">
        <v>634</v>
      </c>
    </row>
    <row r="32" spans="1:65" ht="15.5" customHeight="1">
      <c r="A32" s="197" t="s">
        <v>383</v>
      </c>
      <c r="B32" s="9" t="s">
        <v>508</v>
      </c>
      <c r="C32" s="9" t="s">
        <v>30</v>
      </c>
      <c r="D32" s="1017"/>
      <c r="E32" s="1017"/>
      <c r="F32" s="1029"/>
      <c r="G32" s="603">
        <v>2026</v>
      </c>
      <c r="H32" s="844" t="s">
        <v>522</v>
      </c>
      <c r="I32" s="604" t="s">
        <v>388</v>
      </c>
      <c r="J32" s="605">
        <v>14</v>
      </c>
      <c r="K32" s="606" t="s">
        <v>153</v>
      </c>
      <c r="L32" s="607" t="s">
        <v>150</v>
      </c>
      <c r="M32" s="608" t="s">
        <v>680</v>
      </c>
      <c r="N32" s="172">
        <v>7.22</v>
      </c>
      <c r="O32" s="6">
        <v>7.22</v>
      </c>
      <c r="P32" s="6">
        <v>7.22</v>
      </c>
      <c r="Q32" s="943">
        <v>7.22</v>
      </c>
      <c r="R32" s="943">
        <v>7.77</v>
      </c>
      <c r="S32" s="943">
        <v>7.77</v>
      </c>
      <c r="T32" s="943">
        <v>7.77</v>
      </c>
      <c r="U32" s="943">
        <v>7.77</v>
      </c>
      <c r="V32" s="943">
        <v>7.77</v>
      </c>
      <c r="W32" s="943">
        <v>7.77</v>
      </c>
      <c r="X32" s="943">
        <v>7.77</v>
      </c>
      <c r="Y32" s="943">
        <v>7.77</v>
      </c>
      <c r="Z32" s="195">
        <v>0</v>
      </c>
      <c r="AA32" s="340">
        <v>0</v>
      </c>
      <c r="AB32" s="340">
        <v>0.26</v>
      </c>
      <c r="AC32" s="340">
        <v>0</v>
      </c>
      <c r="AD32" s="340">
        <v>0.4</v>
      </c>
      <c r="AE32" s="340">
        <v>0.4</v>
      </c>
      <c r="AF32" s="340">
        <v>0.4</v>
      </c>
      <c r="AG32" s="340">
        <v>0.4</v>
      </c>
      <c r="AH32" s="340">
        <v>0.4</v>
      </c>
      <c r="AI32" s="340">
        <v>0.4</v>
      </c>
      <c r="AJ32" s="340">
        <v>0.4</v>
      </c>
      <c r="AK32" s="480">
        <v>0.4</v>
      </c>
      <c r="AL32" s="505">
        <v>0</v>
      </c>
      <c r="AM32" s="494">
        <f t="shared" ref="AM32" si="36">Z32*AL32</f>
        <v>0</v>
      </c>
      <c r="AN32" s="555">
        <v>0</v>
      </c>
      <c r="AO32" s="496">
        <f t="shared" ref="AO32" si="37">AA32*AN32</f>
        <v>0</v>
      </c>
      <c r="AP32" s="555">
        <v>0</v>
      </c>
      <c r="AQ32" s="621">
        <f t="shared" ref="AQ32" si="38">AB32*AP32</f>
        <v>0</v>
      </c>
      <c r="AR32" s="495">
        <v>0</v>
      </c>
      <c r="AS32" s="777">
        <f t="shared" ref="AS32" si="39">AC32*AR32</f>
        <v>0</v>
      </c>
      <c r="AT32" s="555">
        <v>0</v>
      </c>
      <c r="AU32" s="496">
        <f t="shared" ref="AU32" si="40">AD32*AT32</f>
        <v>0</v>
      </c>
      <c r="AV32" s="149">
        <v>0</v>
      </c>
      <c r="AW32" s="390">
        <f t="shared" ref="AW32" si="41">AE32*AV32</f>
        <v>0</v>
      </c>
      <c r="AX32" s="150">
        <v>0</v>
      </c>
      <c r="AY32" s="389">
        <f t="shared" ref="AY32" si="42">AF32*AX32</f>
        <v>0</v>
      </c>
      <c r="AZ32" s="357">
        <v>0</v>
      </c>
      <c r="BA32" s="389">
        <f t="shared" ref="BA32" si="43">AG32*AZ32</f>
        <v>0</v>
      </c>
      <c r="BB32" s="602">
        <v>0</v>
      </c>
      <c r="BC32" s="391">
        <f t="shared" ref="BC32" si="44">AH32*BB32</f>
        <v>0</v>
      </c>
      <c r="BD32" s="150">
        <v>0</v>
      </c>
      <c r="BE32" s="389">
        <f t="shared" ref="BE32" si="45">AI32*BD32</f>
        <v>0</v>
      </c>
      <c r="BF32" s="149">
        <v>0</v>
      </c>
      <c r="BG32" s="389">
        <f t="shared" ref="BG32" si="46">AJ32*BF32</f>
        <v>0</v>
      </c>
      <c r="BH32" s="151">
        <v>0</v>
      </c>
      <c r="BI32" s="443">
        <f t="shared" ref="BI32" si="47">AK32*BH32</f>
        <v>0</v>
      </c>
      <c r="BJ32" s="890" t="s">
        <v>683</v>
      </c>
      <c r="BK32" s="334"/>
      <c r="BL32" s="334" t="s">
        <v>92</v>
      </c>
      <c r="BM32" s="331" t="s">
        <v>634</v>
      </c>
    </row>
    <row r="33" spans="1:65" ht="17.5" customHeight="1" thickBot="1">
      <c r="A33" s="351" t="s">
        <v>383</v>
      </c>
      <c r="B33" s="10" t="s">
        <v>508</v>
      </c>
      <c r="C33" s="10" t="s">
        <v>30</v>
      </c>
      <c r="D33" s="1018"/>
      <c r="E33" s="1018"/>
      <c r="F33" s="1030"/>
      <c r="G33" s="603">
        <v>2026</v>
      </c>
      <c r="H33" s="845" t="s">
        <v>521</v>
      </c>
      <c r="I33" s="604" t="s">
        <v>393</v>
      </c>
      <c r="J33" s="605">
        <v>14</v>
      </c>
      <c r="K33" s="606" t="s">
        <v>153</v>
      </c>
      <c r="L33" s="607" t="s">
        <v>150</v>
      </c>
      <c r="M33" s="608" t="s">
        <v>391</v>
      </c>
      <c r="N33" s="172">
        <v>4.82</v>
      </c>
      <c r="O33" s="6">
        <v>4.82</v>
      </c>
      <c r="P33" s="6">
        <v>4.75</v>
      </c>
      <c r="Q33" s="6">
        <v>4.75</v>
      </c>
      <c r="R33" s="6">
        <v>5.25</v>
      </c>
      <c r="S33" s="6">
        <v>5.25</v>
      </c>
      <c r="T33" s="6">
        <v>5.25</v>
      </c>
      <c r="U33" s="6">
        <v>5.25</v>
      </c>
      <c r="V33" s="6">
        <v>5.25</v>
      </c>
      <c r="W33" s="6">
        <v>5.25</v>
      </c>
      <c r="X33" s="6">
        <v>5.25</v>
      </c>
      <c r="Y33" s="6">
        <v>5.25</v>
      </c>
      <c r="Z33" s="195">
        <v>0</v>
      </c>
      <c r="AA33" s="340">
        <v>0</v>
      </c>
      <c r="AB33" s="340">
        <v>0.32</v>
      </c>
      <c r="AC33" s="340">
        <v>0</v>
      </c>
      <c r="AD33" s="340">
        <v>0.41</v>
      </c>
      <c r="AE33" s="340">
        <v>0.41</v>
      </c>
      <c r="AF33" s="340">
        <v>0.41</v>
      </c>
      <c r="AG33" s="340">
        <v>0.41</v>
      </c>
      <c r="AH33" s="340">
        <v>0.41</v>
      </c>
      <c r="AI33" s="340">
        <v>0.41</v>
      </c>
      <c r="AJ33" s="340">
        <v>0.41</v>
      </c>
      <c r="AK33" s="480">
        <v>0.41</v>
      </c>
      <c r="AL33" s="505">
        <v>0</v>
      </c>
      <c r="AM33" s="494">
        <f t="shared" ref="AM33" si="48">Z33*AL33</f>
        <v>0</v>
      </c>
      <c r="AN33" s="555">
        <v>0</v>
      </c>
      <c r="AO33" s="494">
        <f t="shared" ref="AO33" si="49">AA33*AN33</f>
        <v>0</v>
      </c>
      <c r="AP33" s="555">
        <v>0</v>
      </c>
      <c r="AQ33" s="620">
        <f t="shared" ref="AQ33" si="50">AB33*AP33</f>
        <v>0</v>
      </c>
      <c r="AR33" s="495">
        <v>0</v>
      </c>
      <c r="AS33" s="775">
        <f t="shared" ref="AS33" si="51">AC33*AR33</f>
        <v>0</v>
      </c>
      <c r="AT33" s="555">
        <v>0</v>
      </c>
      <c r="AU33" s="494">
        <f t="shared" ref="AU33" si="52">AD33*AT33</f>
        <v>0</v>
      </c>
      <c r="AV33" s="149">
        <v>474</v>
      </c>
      <c r="AW33" s="355">
        <f t="shared" ref="AW33" si="53">AE33*AV33</f>
        <v>194.33999999999997</v>
      </c>
      <c r="AX33" s="150">
        <v>955</v>
      </c>
      <c r="AY33" s="127">
        <f t="shared" ref="AY33" si="54">AF33*AX33</f>
        <v>391.54999999999995</v>
      </c>
      <c r="AZ33" s="357">
        <v>862</v>
      </c>
      <c r="BA33" s="127">
        <f t="shared" ref="BA33" si="55">AG33*AZ33</f>
        <v>353.41999999999996</v>
      </c>
      <c r="BB33" s="357">
        <v>0</v>
      </c>
      <c r="BC33" s="356">
        <f t="shared" ref="BC33" si="56">AH33*BB33</f>
        <v>0</v>
      </c>
      <c r="BD33" s="150">
        <v>0</v>
      </c>
      <c r="BE33" s="127">
        <f t="shared" ref="BE33" si="57">AI33*BD33</f>
        <v>0</v>
      </c>
      <c r="BF33" s="149">
        <v>0</v>
      </c>
      <c r="BG33" s="127">
        <f t="shared" ref="BG33" si="58">AJ33*BF33</f>
        <v>0</v>
      </c>
      <c r="BH33" s="149">
        <v>0</v>
      </c>
      <c r="BI33" s="442">
        <f t="shared" ref="BI33" si="59">AK33*BH33</f>
        <v>0</v>
      </c>
      <c r="BJ33" s="890" t="s">
        <v>629</v>
      </c>
      <c r="BK33" s="334"/>
      <c r="BL33" s="334" t="s">
        <v>92</v>
      </c>
      <c r="BM33" s="331" t="s">
        <v>684</v>
      </c>
    </row>
    <row r="34" spans="1:65" ht="17" customHeight="1">
      <c r="A34" s="350" t="s">
        <v>383</v>
      </c>
      <c r="B34" s="78" t="s">
        <v>186</v>
      </c>
      <c r="C34" s="9" t="s">
        <v>30</v>
      </c>
      <c r="D34" s="1023" t="s">
        <v>335</v>
      </c>
      <c r="E34" s="1016" t="s">
        <v>226</v>
      </c>
      <c r="F34" s="1028">
        <v>1000</v>
      </c>
      <c r="G34" s="287">
        <v>2024</v>
      </c>
      <c r="H34" s="846" t="s">
        <v>176</v>
      </c>
      <c r="I34" s="255" t="s">
        <v>151</v>
      </c>
      <c r="J34" s="66">
        <v>14</v>
      </c>
      <c r="K34" s="268" t="s">
        <v>153</v>
      </c>
      <c r="L34" s="268" t="s">
        <v>150</v>
      </c>
      <c r="M34" s="445" t="s">
        <v>321</v>
      </c>
      <c r="N34" s="448">
        <v>9.61</v>
      </c>
      <c r="O34" s="171">
        <v>9.61</v>
      </c>
      <c r="P34" s="171">
        <v>9.44</v>
      </c>
      <c r="Q34" s="171">
        <v>9.44</v>
      </c>
      <c r="R34" s="171">
        <v>9.44</v>
      </c>
      <c r="S34" s="171">
        <v>9.44</v>
      </c>
      <c r="T34" s="171">
        <v>9.44</v>
      </c>
      <c r="U34" s="171">
        <v>9.44</v>
      </c>
      <c r="V34" s="171">
        <v>9.44</v>
      </c>
      <c r="W34" s="171">
        <v>9.44</v>
      </c>
      <c r="X34" s="171">
        <v>9.44</v>
      </c>
      <c r="Y34" s="449">
        <v>9.44</v>
      </c>
      <c r="Z34" s="336">
        <v>0.94</v>
      </c>
      <c r="AA34" s="156">
        <v>0.94</v>
      </c>
      <c r="AB34" s="156">
        <v>0.86</v>
      </c>
      <c r="AC34" s="156">
        <v>0</v>
      </c>
      <c r="AD34" s="156">
        <v>0.86</v>
      </c>
      <c r="AE34" s="156">
        <v>0.86</v>
      </c>
      <c r="AF34" s="156">
        <v>0.86</v>
      </c>
      <c r="AG34" s="156">
        <v>0.86</v>
      </c>
      <c r="AH34" s="156">
        <v>0.86</v>
      </c>
      <c r="AI34" s="156">
        <v>0.86</v>
      </c>
      <c r="AJ34" s="156">
        <v>0.86</v>
      </c>
      <c r="AK34" s="477">
        <v>0.86</v>
      </c>
      <c r="AL34" s="508">
        <v>13510</v>
      </c>
      <c r="AM34" s="492">
        <f t="shared" si="0"/>
        <v>12699.4</v>
      </c>
      <c r="AN34" s="556">
        <v>16727</v>
      </c>
      <c r="AO34" s="492">
        <f t="shared" si="1"/>
        <v>15723.38</v>
      </c>
      <c r="AP34" s="556">
        <v>13175</v>
      </c>
      <c r="AQ34" s="651">
        <f t="shared" si="2"/>
        <v>11330.5</v>
      </c>
      <c r="AR34" s="508">
        <v>20144</v>
      </c>
      <c r="AS34" s="774">
        <f t="shared" si="3"/>
        <v>0</v>
      </c>
      <c r="AT34" s="556">
        <v>22059</v>
      </c>
      <c r="AU34" s="492">
        <f t="shared" si="4"/>
        <v>18970.739999999998</v>
      </c>
      <c r="AV34" s="67">
        <v>5507</v>
      </c>
      <c r="AW34" s="424">
        <f t="shared" si="5"/>
        <v>4736.0199999999995</v>
      </c>
      <c r="AX34" s="121">
        <v>2940</v>
      </c>
      <c r="AY34" s="423">
        <f t="shared" si="6"/>
        <v>2528.4</v>
      </c>
      <c r="AZ34" s="67">
        <v>4159</v>
      </c>
      <c r="BA34" s="423">
        <f t="shared" si="7"/>
        <v>3576.74</v>
      </c>
      <c r="BB34" s="122">
        <v>2183.6873739221601</v>
      </c>
      <c r="BC34" s="426">
        <f t="shared" si="8"/>
        <v>1877.9711415730576</v>
      </c>
      <c r="BD34" s="121">
        <v>0</v>
      </c>
      <c r="BE34" s="423">
        <f t="shared" si="9"/>
        <v>0</v>
      </c>
      <c r="BF34" s="67">
        <v>0</v>
      </c>
      <c r="BG34" s="423">
        <f t="shared" si="10"/>
        <v>0</v>
      </c>
      <c r="BH34" s="122">
        <v>0</v>
      </c>
      <c r="BI34" s="441">
        <f t="shared" si="11"/>
        <v>0</v>
      </c>
      <c r="BJ34" s="177" t="s">
        <v>536</v>
      </c>
      <c r="BK34" s="78"/>
      <c r="BL34" s="78" t="s">
        <v>92</v>
      </c>
      <c r="BM34" s="9" t="s">
        <v>280</v>
      </c>
    </row>
    <row r="35" spans="1:65" ht="17" customHeight="1">
      <c r="A35" s="197" t="s">
        <v>383</v>
      </c>
      <c r="B35" s="78" t="s">
        <v>186</v>
      </c>
      <c r="C35" s="9" t="s">
        <v>30</v>
      </c>
      <c r="D35" s="1023"/>
      <c r="E35" s="1017"/>
      <c r="F35" s="1029"/>
      <c r="G35" s="288">
        <v>2024</v>
      </c>
      <c r="H35" s="847" t="s">
        <v>176</v>
      </c>
      <c r="I35" s="256" t="s">
        <v>151</v>
      </c>
      <c r="J35" s="75">
        <v>14</v>
      </c>
      <c r="K35" s="168" t="s">
        <v>153</v>
      </c>
      <c r="L35" s="168" t="s">
        <v>160</v>
      </c>
      <c r="M35" s="446" t="s">
        <v>326</v>
      </c>
      <c r="N35" s="172">
        <v>9.61</v>
      </c>
      <c r="O35" s="6">
        <v>9.61</v>
      </c>
      <c r="P35" s="6">
        <v>9.44</v>
      </c>
      <c r="Q35" s="6">
        <v>9.44</v>
      </c>
      <c r="R35" s="6">
        <v>9.44</v>
      </c>
      <c r="S35" s="6">
        <v>9.44</v>
      </c>
      <c r="T35" s="6">
        <v>9.44</v>
      </c>
      <c r="U35" s="6">
        <v>9.44</v>
      </c>
      <c r="V35" s="6">
        <v>9.44</v>
      </c>
      <c r="W35" s="6">
        <v>9.44</v>
      </c>
      <c r="X35" s="6">
        <v>9.44</v>
      </c>
      <c r="Y35" s="700">
        <v>9.44</v>
      </c>
      <c r="Z35" s="195">
        <v>0.94</v>
      </c>
      <c r="AA35" s="2">
        <v>0.94</v>
      </c>
      <c r="AB35" s="2">
        <v>0.86</v>
      </c>
      <c r="AC35" s="2">
        <v>0</v>
      </c>
      <c r="AD35" s="2">
        <v>0.86</v>
      </c>
      <c r="AE35" s="2">
        <v>0.86</v>
      </c>
      <c r="AF35" s="2">
        <v>0.86</v>
      </c>
      <c r="AG35" s="2">
        <v>0.86</v>
      </c>
      <c r="AH35" s="2">
        <v>0.86</v>
      </c>
      <c r="AI35" s="2">
        <v>0.86</v>
      </c>
      <c r="AJ35" s="2">
        <v>0.86</v>
      </c>
      <c r="AK35" s="480">
        <v>0.86</v>
      </c>
      <c r="AL35" s="509">
        <v>8000</v>
      </c>
      <c r="AM35" s="496">
        <f t="shared" si="0"/>
        <v>7520</v>
      </c>
      <c r="AN35" s="557">
        <v>9880</v>
      </c>
      <c r="AO35" s="496">
        <f t="shared" si="1"/>
        <v>9287.1999999999989</v>
      </c>
      <c r="AP35" s="557">
        <v>2960</v>
      </c>
      <c r="AQ35" s="621">
        <f t="shared" si="2"/>
        <v>2545.6</v>
      </c>
      <c r="AR35" s="509">
        <v>7960</v>
      </c>
      <c r="AS35" s="777">
        <f t="shared" si="3"/>
        <v>0</v>
      </c>
      <c r="AT35" s="557">
        <v>5780</v>
      </c>
      <c r="AU35" s="496">
        <f t="shared" si="4"/>
        <v>4970.8</v>
      </c>
      <c r="AV35" s="135">
        <v>4150</v>
      </c>
      <c r="AW35" s="390">
        <f t="shared" si="5"/>
        <v>3569</v>
      </c>
      <c r="AX35" s="134">
        <v>3801</v>
      </c>
      <c r="AY35" s="389">
        <f t="shared" si="6"/>
        <v>3268.86</v>
      </c>
      <c r="AZ35" s="135">
        <v>3629</v>
      </c>
      <c r="BA35" s="389">
        <f t="shared" si="7"/>
        <v>3120.94</v>
      </c>
      <c r="BB35" s="136">
        <v>0</v>
      </c>
      <c r="BC35" s="391">
        <f t="shared" si="8"/>
        <v>0</v>
      </c>
      <c r="BD35" s="134">
        <v>0</v>
      </c>
      <c r="BE35" s="389">
        <f t="shared" si="9"/>
        <v>0</v>
      </c>
      <c r="BF35" s="135">
        <v>0</v>
      </c>
      <c r="BG35" s="389">
        <f t="shared" si="10"/>
        <v>0</v>
      </c>
      <c r="BH35" s="136">
        <v>0</v>
      </c>
      <c r="BI35" s="443">
        <f t="shared" si="11"/>
        <v>0</v>
      </c>
      <c r="BJ35" s="177" t="s">
        <v>537</v>
      </c>
      <c r="BK35" s="78"/>
      <c r="BL35" s="78" t="s">
        <v>92</v>
      </c>
      <c r="BM35" s="9" t="s">
        <v>280</v>
      </c>
    </row>
    <row r="36" spans="1:65" ht="17" customHeight="1">
      <c r="A36" s="197" t="s">
        <v>383</v>
      </c>
      <c r="B36" s="78" t="s">
        <v>186</v>
      </c>
      <c r="C36" s="9" t="s">
        <v>30</v>
      </c>
      <c r="D36" s="1023"/>
      <c r="E36" s="1017"/>
      <c r="F36" s="1029"/>
      <c r="G36" s="288">
        <v>2024</v>
      </c>
      <c r="H36" s="837" t="s">
        <v>177</v>
      </c>
      <c r="I36" s="260" t="s">
        <v>151</v>
      </c>
      <c r="J36" s="108">
        <v>14</v>
      </c>
      <c r="K36" s="153" t="s">
        <v>178</v>
      </c>
      <c r="L36" s="153" t="s">
        <v>150</v>
      </c>
      <c r="M36" s="446" t="s">
        <v>321</v>
      </c>
      <c r="N36" s="172">
        <v>9.61</v>
      </c>
      <c r="O36" s="6">
        <v>9.61</v>
      </c>
      <c r="P36" s="6">
        <v>9.44</v>
      </c>
      <c r="Q36" s="6">
        <v>9.44</v>
      </c>
      <c r="R36" s="6">
        <v>9.44</v>
      </c>
      <c r="S36" s="6">
        <v>9.44</v>
      </c>
      <c r="T36" s="6">
        <v>9.44</v>
      </c>
      <c r="U36" s="6">
        <v>9.44</v>
      </c>
      <c r="V36" s="6">
        <v>9.44</v>
      </c>
      <c r="W36" s="6">
        <v>9.44</v>
      </c>
      <c r="X36" s="6">
        <v>9.44</v>
      </c>
      <c r="Y36" s="700">
        <v>9.44</v>
      </c>
      <c r="Z36" s="195">
        <v>0.94</v>
      </c>
      <c r="AA36" s="2">
        <v>0.94</v>
      </c>
      <c r="AB36" s="2">
        <v>0.86</v>
      </c>
      <c r="AC36" s="2">
        <v>0</v>
      </c>
      <c r="AD36" s="2">
        <v>0.86</v>
      </c>
      <c r="AE36" s="2">
        <v>0.86</v>
      </c>
      <c r="AF36" s="2">
        <v>0.86</v>
      </c>
      <c r="AG36" s="2">
        <v>0.86</v>
      </c>
      <c r="AH36" s="2">
        <v>0.86</v>
      </c>
      <c r="AI36" s="2">
        <v>0.86</v>
      </c>
      <c r="AJ36" s="2">
        <v>0.86</v>
      </c>
      <c r="AK36" s="480">
        <v>0.86</v>
      </c>
      <c r="AL36" s="510">
        <v>12634</v>
      </c>
      <c r="AM36" s="494">
        <f t="shared" si="0"/>
        <v>11875.96</v>
      </c>
      <c r="AN36" s="558">
        <v>18920</v>
      </c>
      <c r="AO36" s="494">
        <f t="shared" si="1"/>
        <v>17784.8</v>
      </c>
      <c r="AP36" s="558">
        <v>12618</v>
      </c>
      <c r="AQ36" s="620">
        <f t="shared" si="2"/>
        <v>10851.48</v>
      </c>
      <c r="AR36" s="511">
        <v>17539</v>
      </c>
      <c r="AS36" s="775">
        <f t="shared" si="3"/>
        <v>0</v>
      </c>
      <c r="AT36" s="559">
        <v>14492</v>
      </c>
      <c r="AU36" s="494">
        <f t="shared" si="4"/>
        <v>12463.119999999999</v>
      </c>
      <c r="AV36" s="230">
        <v>20445</v>
      </c>
      <c r="AW36" s="355">
        <f t="shared" si="5"/>
        <v>17582.7</v>
      </c>
      <c r="AX36" s="123">
        <v>8701</v>
      </c>
      <c r="AY36" s="127">
        <f t="shared" si="6"/>
        <v>7482.86</v>
      </c>
      <c r="AZ36" s="59">
        <v>13238</v>
      </c>
      <c r="BA36" s="127">
        <f t="shared" si="7"/>
        <v>11384.68</v>
      </c>
      <c r="BB36" s="124">
        <v>2168.5521363678699</v>
      </c>
      <c r="BC36" s="356">
        <f t="shared" si="8"/>
        <v>1864.9548372763682</v>
      </c>
      <c r="BD36" s="123">
        <v>0</v>
      </c>
      <c r="BE36" s="127">
        <f t="shared" si="9"/>
        <v>0</v>
      </c>
      <c r="BF36" s="59">
        <v>0</v>
      </c>
      <c r="BG36" s="127">
        <f t="shared" si="10"/>
        <v>0</v>
      </c>
      <c r="BH36" s="124">
        <v>0</v>
      </c>
      <c r="BI36" s="442">
        <f t="shared" si="11"/>
        <v>0</v>
      </c>
      <c r="BJ36" s="177" t="s">
        <v>179</v>
      </c>
      <c r="BK36" s="78"/>
      <c r="BL36" s="78" t="s">
        <v>92</v>
      </c>
      <c r="BM36" s="9" t="s">
        <v>281</v>
      </c>
    </row>
    <row r="37" spans="1:65" s="333" customFormat="1" ht="17" customHeight="1">
      <c r="A37" s="197" t="s">
        <v>383</v>
      </c>
      <c r="B37" s="78" t="s">
        <v>186</v>
      </c>
      <c r="C37" s="9" t="s">
        <v>30</v>
      </c>
      <c r="D37" s="1023"/>
      <c r="E37" s="1017"/>
      <c r="F37" s="1029"/>
      <c r="G37" s="288">
        <v>2024</v>
      </c>
      <c r="H37" s="835" t="s">
        <v>177</v>
      </c>
      <c r="I37" s="266" t="s">
        <v>151</v>
      </c>
      <c r="J37" s="147">
        <v>14</v>
      </c>
      <c r="K37" s="148" t="s">
        <v>178</v>
      </c>
      <c r="L37" s="148" t="s">
        <v>160</v>
      </c>
      <c r="M37" s="446" t="s">
        <v>326</v>
      </c>
      <c r="N37" s="172">
        <v>9.61</v>
      </c>
      <c r="O37" s="6">
        <v>9.61</v>
      </c>
      <c r="P37" s="6">
        <v>9.44</v>
      </c>
      <c r="Q37" s="6">
        <v>9.44</v>
      </c>
      <c r="R37" s="6">
        <v>9.44</v>
      </c>
      <c r="S37" s="6">
        <v>9.44</v>
      </c>
      <c r="T37" s="6">
        <v>9.44</v>
      </c>
      <c r="U37" s="6">
        <v>9.44</v>
      </c>
      <c r="V37" s="6">
        <v>9.44</v>
      </c>
      <c r="W37" s="6">
        <v>9.44</v>
      </c>
      <c r="X37" s="6">
        <v>9.44</v>
      </c>
      <c r="Y37" s="700">
        <v>9.44</v>
      </c>
      <c r="Z37" s="195">
        <v>0.94</v>
      </c>
      <c r="AA37" s="2">
        <v>0.94</v>
      </c>
      <c r="AB37" s="2">
        <v>0.86</v>
      </c>
      <c r="AC37" s="2">
        <v>0</v>
      </c>
      <c r="AD37" s="2">
        <v>0.86</v>
      </c>
      <c r="AE37" s="2">
        <v>0.86</v>
      </c>
      <c r="AF37" s="2">
        <v>0.86</v>
      </c>
      <c r="AG37" s="2">
        <v>0.86</v>
      </c>
      <c r="AH37" s="2">
        <v>0.86</v>
      </c>
      <c r="AI37" s="2">
        <v>0.86</v>
      </c>
      <c r="AJ37" s="2">
        <v>0.86</v>
      </c>
      <c r="AK37" s="480">
        <v>0.86</v>
      </c>
      <c r="AL37" s="511">
        <v>5080</v>
      </c>
      <c r="AM37" s="512">
        <f t="shared" si="0"/>
        <v>4775.2</v>
      </c>
      <c r="AN37" s="559">
        <v>10080</v>
      </c>
      <c r="AO37" s="512">
        <f t="shared" si="1"/>
        <v>9475.1999999999989</v>
      </c>
      <c r="AP37" s="559">
        <v>4720</v>
      </c>
      <c r="AQ37" s="649">
        <f t="shared" si="2"/>
        <v>4059.2</v>
      </c>
      <c r="AR37" s="495">
        <v>4000</v>
      </c>
      <c r="AS37" s="782">
        <f t="shared" si="3"/>
        <v>0</v>
      </c>
      <c r="AT37" s="579">
        <v>12920</v>
      </c>
      <c r="AU37" s="512">
        <f t="shared" si="4"/>
        <v>11111.2</v>
      </c>
      <c r="AV37" s="407">
        <v>4352</v>
      </c>
      <c r="AW37" s="437">
        <f t="shared" si="5"/>
        <v>3742.72</v>
      </c>
      <c r="AX37" s="116">
        <v>4667</v>
      </c>
      <c r="AY37" s="119">
        <f t="shared" si="6"/>
        <v>4013.62</v>
      </c>
      <c r="AZ37" s="230">
        <v>4370</v>
      </c>
      <c r="BA37" s="119">
        <f t="shared" si="7"/>
        <v>3758.2</v>
      </c>
      <c r="BB37" s="236">
        <v>0</v>
      </c>
      <c r="BC37" s="438">
        <f t="shared" si="8"/>
        <v>0</v>
      </c>
      <c r="BD37" s="116">
        <v>0</v>
      </c>
      <c r="BE37" s="119">
        <f t="shared" si="9"/>
        <v>0</v>
      </c>
      <c r="BF37" s="230">
        <v>0</v>
      </c>
      <c r="BG37" s="119">
        <f t="shared" si="10"/>
        <v>0</v>
      </c>
      <c r="BH37" s="236">
        <v>0</v>
      </c>
      <c r="BI37" s="456">
        <f t="shared" si="11"/>
        <v>0</v>
      </c>
      <c r="BJ37" s="177" t="s">
        <v>538</v>
      </c>
      <c r="BK37" s="78"/>
      <c r="BL37" s="78" t="s">
        <v>92</v>
      </c>
      <c r="BM37" s="9" t="s">
        <v>281</v>
      </c>
    </row>
    <row r="38" spans="1:65" s="333" customFormat="1" ht="17" customHeight="1">
      <c r="A38" s="197" t="s">
        <v>383</v>
      </c>
      <c r="B38" s="78" t="s">
        <v>186</v>
      </c>
      <c r="C38" s="9" t="s">
        <v>30</v>
      </c>
      <c r="D38" s="1023"/>
      <c r="E38" s="1017"/>
      <c r="F38" s="1029"/>
      <c r="G38" s="288">
        <v>2026</v>
      </c>
      <c r="H38" s="835" t="s">
        <v>474</v>
      </c>
      <c r="I38" s="266" t="s">
        <v>151</v>
      </c>
      <c r="J38" s="147">
        <v>14</v>
      </c>
      <c r="K38" s="148" t="s">
        <v>178</v>
      </c>
      <c r="L38" s="148" t="s">
        <v>150</v>
      </c>
      <c r="M38" s="446" t="s">
        <v>321</v>
      </c>
      <c r="N38" s="173">
        <v>9.82</v>
      </c>
      <c r="O38" s="84">
        <v>9.82</v>
      </c>
      <c r="P38" s="84">
        <v>9.82</v>
      </c>
      <c r="Q38" s="84">
        <v>9.82</v>
      </c>
      <c r="R38" s="84">
        <v>10.25</v>
      </c>
      <c r="S38" s="84">
        <v>10.25</v>
      </c>
      <c r="T38" s="84">
        <v>10.25</v>
      </c>
      <c r="U38" s="84">
        <v>10.25</v>
      </c>
      <c r="V38" s="84">
        <v>10.25</v>
      </c>
      <c r="W38" s="84">
        <v>10.25</v>
      </c>
      <c r="X38" s="84">
        <v>10.25</v>
      </c>
      <c r="Y38" s="947">
        <v>10.25</v>
      </c>
      <c r="Z38" s="195">
        <v>1.26</v>
      </c>
      <c r="AA38" s="377">
        <v>1.26</v>
      </c>
      <c r="AB38" s="377">
        <v>1.26</v>
      </c>
      <c r="AC38" s="377">
        <v>0</v>
      </c>
      <c r="AD38" s="377">
        <v>1.28</v>
      </c>
      <c r="AE38" s="377">
        <v>1.28</v>
      </c>
      <c r="AF38" s="377">
        <v>1.28</v>
      </c>
      <c r="AG38" s="377">
        <v>1.28</v>
      </c>
      <c r="AH38" s="377">
        <v>1.28</v>
      </c>
      <c r="AI38" s="377">
        <v>1.28</v>
      </c>
      <c r="AJ38" s="377">
        <v>1.28</v>
      </c>
      <c r="AK38" s="701">
        <v>1.28</v>
      </c>
      <c r="AL38" s="509">
        <v>0</v>
      </c>
      <c r="AM38" s="496">
        <f t="shared" ref="AM38:AM39" si="60">Z38*AL38</f>
        <v>0</v>
      </c>
      <c r="AN38" s="560">
        <v>0</v>
      </c>
      <c r="AO38" s="496">
        <f t="shared" ref="AO38:AO39" si="61">AA38*AN38</f>
        <v>0</v>
      </c>
      <c r="AP38" s="560">
        <v>0</v>
      </c>
      <c r="AQ38" s="621">
        <f t="shared" ref="AQ38:AQ39" si="62">AB38*AP38</f>
        <v>0</v>
      </c>
      <c r="AR38" s="495">
        <v>1888</v>
      </c>
      <c r="AS38" s="777">
        <f t="shared" ref="AS38:AS39" si="63">AC38*AR38</f>
        <v>0</v>
      </c>
      <c r="AT38" s="579">
        <v>1240</v>
      </c>
      <c r="AU38" s="496">
        <f t="shared" ref="AU38:AU39" si="64">AD38*AT38</f>
        <v>1587.2</v>
      </c>
      <c r="AV38" s="407">
        <v>3456</v>
      </c>
      <c r="AW38" s="390">
        <f t="shared" ref="AW38:AW39" si="65">AE38*AV38</f>
        <v>4423.68</v>
      </c>
      <c r="AX38" s="134">
        <v>2252</v>
      </c>
      <c r="AY38" s="389">
        <f t="shared" ref="AY38:AY39" si="66">AF38*AX38</f>
        <v>2882.56</v>
      </c>
      <c r="AZ38" s="76">
        <v>6924</v>
      </c>
      <c r="BA38" s="389">
        <f t="shared" ref="BA38:BA39" si="67">AG38*AZ38</f>
        <v>8862.7199999999993</v>
      </c>
      <c r="BB38" s="144">
        <v>2477.8560000000002</v>
      </c>
      <c r="BC38" s="391">
        <f t="shared" ref="BC38:BC39" si="68">AH38*BB38</f>
        <v>3171.6556800000003</v>
      </c>
      <c r="BD38" s="134">
        <v>2825.5360000000001</v>
      </c>
      <c r="BE38" s="389">
        <f t="shared" ref="BE38:BE39" si="69">AI38*BD38</f>
        <v>3616.6860799999999</v>
      </c>
      <c r="BF38" s="76">
        <v>3194.84</v>
      </c>
      <c r="BG38" s="389">
        <f t="shared" ref="BG38:BG39" si="70">AJ38*BF38</f>
        <v>4089.3952000000004</v>
      </c>
      <c r="BH38" s="144">
        <v>3158.8</v>
      </c>
      <c r="BI38" s="443">
        <f t="shared" ref="BI38:BI39" si="71">AK38*BH38</f>
        <v>4043.2640000000001</v>
      </c>
      <c r="BJ38" s="177" t="s">
        <v>539</v>
      </c>
      <c r="BK38" s="334"/>
      <c r="BL38" s="78" t="s">
        <v>92</v>
      </c>
      <c r="BM38" s="9" t="s">
        <v>475</v>
      </c>
    </row>
    <row r="39" spans="1:65" s="333" customFormat="1" ht="17.5" customHeight="1">
      <c r="A39" s="197" t="s">
        <v>383</v>
      </c>
      <c r="B39" s="78" t="s">
        <v>186</v>
      </c>
      <c r="C39" s="9" t="s">
        <v>30</v>
      </c>
      <c r="D39" s="1023"/>
      <c r="E39" s="1017"/>
      <c r="F39" s="1029"/>
      <c r="G39" s="288">
        <v>2026</v>
      </c>
      <c r="H39" s="835" t="s">
        <v>474</v>
      </c>
      <c r="I39" s="266" t="s">
        <v>151</v>
      </c>
      <c r="J39" s="147">
        <v>14</v>
      </c>
      <c r="K39" s="148" t="s">
        <v>646</v>
      </c>
      <c r="L39" s="148" t="s">
        <v>150</v>
      </c>
      <c r="M39" s="446" t="s">
        <v>321</v>
      </c>
      <c r="N39" s="172">
        <v>9.82</v>
      </c>
      <c r="O39" s="6">
        <v>9.82</v>
      </c>
      <c r="P39" s="6">
        <v>9.82</v>
      </c>
      <c r="Q39" s="6">
        <v>9.82</v>
      </c>
      <c r="R39" s="6">
        <v>10.25</v>
      </c>
      <c r="S39" s="6">
        <v>10.25</v>
      </c>
      <c r="T39" s="6">
        <v>10.25</v>
      </c>
      <c r="U39" s="6">
        <v>10.25</v>
      </c>
      <c r="V39" s="6">
        <v>10.25</v>
      </c>
      <c r="W39" s="6">
        <v>10.25</v>
      </c>
      <c r="X39" s="6">
        <v>10.25</v>
      </c>
      <c r="Y39" s="700">
        <v>10.25</v>
      </c>
      <c r="Z39" s="195">
        <v>1.26</v>
      </c>
      <c r="AA39" s="340">
        <v>1.26</v>
      </c>
      <c r="AB39" s="340">
        <v>1.26</v>
      </c>
      <c r="AC39" s="340">
        <v>0</v>
      </c>
      <c r="AD39" s="340">
        <v>1.28</v>
      </c>
      <c r="AE39" s="340">
        <v>1.28</v>
      </c>
      <c r="AF39" s="340">
        <v>1.28</v>
      </c>
      <c r="AG39" s="340">
        <v>1.28</v>
      </c>
      <c r="AH39" s="340">
        <v>1.28</v>
      </c>
      <c r="AI39" s="340">
        <v>1.28</v>
      </c>
      <c r="AJ39" s="340">
        <v>1.28</v>
      </c>
      <c r="AK39" s="480">
        <v>1.28</v>
      </c>
      <c r="AL39" s="511">
        <v>0</v>
      </c>
      <c r="AM39" s="512">
        <f t="shared" si="60"/>
        <v>0</v>
      </c>
      <c r="AN39" s="559">
        <v>0</v>
      </c>
      <c r="AO39" s="512">
        <f t="shared" si="61"/>
        <v>0</v>
      </c>
      <c r="AP39" s="559">
        <v>0</v>
      </c>
      <c r="AQ39" s="649">
        <f t="shared" si="62"/>
        <v>0</v>
      </c>
      <c r="AR39" s="495">
        <v>992</v>
      </c>
      <c r="AS39" s="782">
        <f t="shared" si="63"/>
        <v>0</v>
      </c>
      <c r="AT39" s="579">
        <v>292</v>
      </c>
      <c r="AU39" s="512">
        <f t="shared" si="64"/>
        <v>373.76</v>
      </c>
      <c r="AV39" s="407">
        <v>3132</v>
      </c>
      <c r="AW39" s="437">
        <f t="shared" si="65"/>
        <v>4008.96</v>
      </c>
      <c r="AX39" s="116">
        <v>1732</v>
      </c>
      <c r="AY39" s="119">
        <f t="shared" si="66"/>
        <v>2216.96</v>
      </c>
      <c r="AZ39" s="230">
        <v>6084</v>
      </c>
      <c r="BA39" s="119">
        <f t="shared" si="67"/>
        <v>7787.52</v>
      </c>
      <c r="BB39" s="236">
        <v>2197.3440000000001</v>
      </c>
      <c r="BC39" s="438">
        <f t="shared" si="68"/>
        <v>2812.60032</v>
      </c>
      <c r="BD39" s="116">
        <v>2505.6640000000002</v>
      </c>
      <c r="BE39" s="119">
        <f t="shared" si="69"/>
        <v>3207.2499200000002</v>
      </c>
      <c r="BF39" s="230">
        <v>2833.16</v>
      </c>
      <c r="BG39" s="119">
        <f t="shared" si="70"/>
        <v>3626.4447999999998</v>
      </c>
      <c r="BH39" s="236">
        <v>2801.2</v>
      </c>
      <c r="BI39" s="456">
        <f t="shared" si="71"/>
        <v>3585.5360000000001</v>
      </c>
      <c r="BJ39" s="177" t="s">
        <v>540</v>
      </c>
      <c r="BK39" s="334"/>
      <c r="BL39" s="78" t="s">
        <v>92</v>
      </c>
      <c r="BM39" s="9" t="s">
        <v>476</v>
      </c>
    </row>
    <row r="40" spans="1:65" s="333" customFormat="1" ht="17" customHeight="1">
      <c r="A40" s="197" t="s">
        <v>383</v>
      </c>
      <c r="B40" s="78" t="s">
        <v>186</v>
      </c>
      <c r="C40" s="9" t="s">
        <v>30</v>
      </c>
      <c r="D40" s="1023"/>
      <c r="E40" s="1017"/>
      <c r="F40" s="1029"/>
      <c r="G40" s="288">
        <v>2026</v>
      </c>
      <c r="H40" s="835" t="s">
        <v>474</v>
      </c>
      <c r="I40" s="266" t="s">
        <v>151</v>
      </c>
      <c r="J40" s="147">
        <v>14</v>
      </c>
      <c r="K40" s="148" t="s">
        <v>178</v>
      </c>
      <c r="L40" s="148" t="s">
        <v>644</v>
      </c>
      <c r="M40" s="446" t="s">
        <v>326</v>
      </c>
      <c r="N40" s="173">
        <v>9.82</v>
      </c>
      <c r="O40" s="84">
        <v>9.82</v>
      </c>
      <c r="P40" s="84">
        <v>9.82</v>
      </c>
      <c r="Q40" s="84">
        <v>9.82</v>
      </c>
      <c r="R40" s="84">
        <v>10.25</v>
      </c>
      <c r="S40" s="84">
        <v>10.25</v>
      </c>
      <c r="T40" s="84">
        <v>10.25</v>
      </c>
      <c r="U40" s="84">
        <v>10.25</v>
      </c>
      <c r="V40" s="84">
        <v>10.25</v>
      </c>
      <c r="W40" s="84">
        <v>10.25</v>
      </c>
      <c r="X40" s="84">
        <v>10.25</v>
      </c>
      <c r="Y40" s="947">
        <v>10.25</v>
      </c>
      <c r="Z40" s="195">
        <v>1.26</v>
      </c>
      <c r="AA40" s="377">
        <v>1.26</v>
      </c>
      <c r="AB40" s="377">
        <v>1.26</v>
      </c>
      <c r="AC40" s="377">
        <v>0</v>
      </c>
      <c r="AD40" s="377">
        <v>1.28</v>
      </c>
      <c r="AE40" s="377">
        <v>1.28</v>
      </c>
      <c r="AF40" s="377">
        <v>1.28</v>
      </c>
      <c r="AG40" s="377">
        <v>1.28</v>
      </c>
      <c r="AH40" s="377">
        <v>1.28</v>
      </c>
      <c r="AI40" s="377">
        <v>1.28</v>
      </c>
      <c r="AJ40" s="377">
        <v>1.28</v>
      </c>
      <c r="AK40" s="701">
        <v>1.28</v>
      </c>
      <c r="AL40" s="509">
        <v>0</v>
      </c>
      <c r="AM40" s="496">
        <f t="shared" si="0"/>
        <v>0</v>
      </c>
      <c r="AN40" s="560">
        <v>0</v>
      </c>
      <c r="AO40" s="496">
        <f t="shared" si="1"/>
        <v>0</v>
      </c>
      <c r="AP40" s="560">
        <v>0</v>
      </c>
      <c r="AQ40" s="621">
        <f t="shared" si="2"/>
        <v>0</v>
      </c>
      <c r="AR40" s="495">
        <v>80</v>
      </c>
      <c r="AS40" s="777">
        <f t="shared" si="3"/>
        <v>0</v>
      </c>
      <c r="AT40" s="579">
        <v>120</v>
      </c>
      <c r="AU40" s="496">
        <f t="shared" si="4"/>
        <v>153.6</v>
      </c>
      <c r="AV40" s="407">
        <v>2103</v>
      </c>
      <c r="AW40" s="390">
        <f t="shared" si="5"/>
        <v>2691.84</v>
      </c>
      <c r="AX40" s="134">
        <v>2968</v>
      </c>
      <c r="AY40" s="389">
        <f t="shared" si="6"/>
        <v>3799.04</v>
      </c>
      <c r="AZ40" s="76">
        <v>3470</v>
      </c>
      <c r="BA40" s="389">
        <f t="shared" si="7"/>
        <v>4441.6000000000004</v>
      </c>
      <c r="BB40" s="144">
        <v>0</v>
      </c>
      <c r="BC40" s="391">
        <f t="shared" si="8"/>
        <v>0</v>
      </c>
      <c r="BD40" s="134">
        <v>0</v>
      </c>
      <c r="BE40" s="389">
        <f t="shared" si="9"/>
        <v>0</v>
      </c>
      <c r="BF40" s="76">
        <v>0</v>
      </c>
      <c r="BG40" s="389">
        <f t="shared" si="10"/>
        <v>0</v>
      </c>
      <c r="BH40" s="144">
        <v>0</v>
      </c>
      <c r="BI40" s="443">
        <f t="shared" si="11"/>
        <v>0</v>
      </c>
      <c r="BJ40" s="729" t="s">
        <v>642</v>
      </c>
      <c r="BK40" s="334"/>
      <c r="BL40" s="78" t="s">
        <v>92</v>
      </c>
      <c r="BM40" s="9" t="s">
        <v>475</v>
      </c>
    </row>
    <row r="41" spans="1:65" ht="17.5" customHeight="1" thickBot="1">
      <c r="A41" s="351" t="s">
        <v>383</v>
      </c>
      <c r="B41" s="78" t="s">
        <v>186</v>
      </c>
      <c r="C41" s="9" t="s">
        <v>30</v>
      </c>
      <c r="D41" s="1027"/>
      <c r="E41" s="1018"/>
      <c r="F41" s="1030"/>
      <c r="G41" s="995">
        <v>2026</v>
      </c>
      <c r="H41" s="848" t="s">
        <v>474</v>
      </c>
      <c r="I41" s="267" t="s">
        <v>151</v>
      </c>
      <c r="J41" s="87">
        <v>14</v>
      </c>
      <c r="K41" s="300" t="s">
        <v>645</v>
      </c>
      <c r="L41" s="300" t="s">
        <v>644</v>
      </c>
      <c r="M41" s="592" t="s">
        <v>326</v>
      </c>
      <c r="N41" s="250">
        <v>9.82</v>
      </c>
      <c r="O41" s="83">
        <v>9.82</v>
      </c>
      <c r="P41" s="83">
        <v>9.82</v>
      </c>
      <c r="Q41" s="83">
        <v>9.82</v>
      </c>
      <c r="R41" s="83">
        <v>10.25</v>
      </c>
      <c r="S41" s="83">
        <v>10.25</v>
      </c>
      <c r="T41" s="83">
        <v>10.25</v>
      </c>
      <c r="U41" s="83">
        <v>10.25</v>
      </c>
      <c r="V41" s="83">
        <v>10.25</v>
      </c>
      <c r="W41" s="83">
        <v>10.25</v>
      </c>
      <c r="X41" s="83">
        <v>10.25</v>
      </c>
      <c r="Y41" s="948">
        <v>10.25</v>
      </c>
      <c r="Z41" s="253">
        <v>1.26</v>
      </c>
      <c r="AA41" s="342">
        <v>1.26</v>
      </c>
      <c r="AB41" s="342">
        <v>1.26</v>
      </c>
      <c r="AC41" s="342">
        <v>0</v>
      </c>
      <c r="AD41" s="342">
        <v>1.28</v>
      </c>
      <c r="AE41" s="342">
        <v>1.28</v>
      </c>
      <c r="AF41" s="342">
        <v>1.28</v>
      </c>
      <c r="AG41" s="342">
        <v>1.28</v>
      </c>
      <c r="AH41" s="342">
        <v>1.28</v>
      </c>
      <c r="AI41" s="342">
        <v>1.28</v>
      </c>
      <c r="AJ41" s="342">
        <v>1.28</v>
      </c>
      <c r="AK41" s="481">
        <v>1.28</v>
      </c>
      <c r="AL41" s="513">
        <v>0</v>
      </c>
      <c r="AM41" s="507">
        <f t="shared" si="0"/>
        <v>0</v>
      </c>
      <c r="AN41" s="561">
        <v>0</v>
      </c>
      <c r="AO41" s="507">
        <f t="shared" si="1"/>
        <v>0</v>
      </c>
      <c r="AP41" s="561">
        <v>0</v>
      </c>
      <c r="AQ41" s="619">
        <f t="shared" si="2"/>
        <v>0</v>
      </c>
      <c r="AR41" s="500">
        <v>340</v>
      </c>
      <c r="AS41" s="781">
        <f t="shared" si="3"/>
        <v>0</v>
      </c>
      <c r="AT41" s="580">
        <v>0</v>
      </c>
      <c r="AU41" s="507">
        <f t="shared" si="4"/>
        <v>0</v>
      </c>
      <c r="AV41" s="593">
        <v>2141</v>
      </c>
      <c r="AW41" s="359">
        <f t="shared" si="5"/>
        <v>2740.48</v>
      </c>
      <c r="AX41" s="137">
        <v>2959</v>
      </c>
      <c r="AY41" s="131">
        <f t="shared" si="6"/>
        <v>3787.52</v>
      </c>
      <c r="AZ41" s="598">
        <v>3514</v>
      </c>
      <c r="BA41" s="131">
        <f t="shared" si="7"/>
        <v>4497.92</v>
      </c>
      <c r="BB41" s="599">
        <v>0</v>
      </c>
      <c r="BC41" s="365">
        <f t="shared" si="8"/>
        <v>0</v>
      </c>
      <c r="BD41" s="137">
        <v>0</v>
      </c>
      <c r="BE41" s="131">
        <f t="shared" si="9"/>
        <v>0</v>
      </c>
      <c r="BF41" s="598">
        <v>0</v>
      </c>
      <c r="BG41" s="131">
        <f t="shared" si="10"/>
        <v>0</v>
      </c>
      <c r="BH41" s="599">
        <v>0</v>
      </c>
      <c r="BI41" s="444">
        <f t="shared" si="11"/>
        <v>0</v>
      </c>
      <c r="BJ41" s="729" t="s">
        <v>643</v>
      </c>
      <c r="BK41" s="334"/>
      <c r="BL41" s="78" t="s">
        <v>92</v>
      </c>
      <c r="BM41" s="9" t="s">
        <v>476</v>
      </c>
    </row>
    <row r="42" spans="1:65">
      <c r="A42" s="350" t="s">
        <v>383</v>
      </c>
      <c r="B42" s="22" t="s">
        <v>186</v>
      </c>
      <c r="C42" s="77" t="s">
        <v>30</v>
      </c>
      <c r="D42" s="1026" t="s">
        <v>145</v>
      </c>
      <c r="E42" s="1016" t="s">
        <v>146</v>
      </c>
      <c r="F42" s="1009" t="s">
        <v>51</v>
      </c>
      <c r="G42" s="205">
        <v>2025</v>
      </c>
      <c r="H42" s="841" t="s">
        <v>184</v>
      </c>
      <c r="I42" s="256" t="s">
        <v>148</v>
      </c>
      <c r="J42" s="75">
        <v>11</v>
      </c>
      <c r="K42" s="1" t="s">
        <v>180</v>
      </c>
      <c r="L42" s="74" t="s">
        <v>150</v>
      </c>
      <c r="M42" s="316" t="s">
        <v>321</v>
      </c>
      <c r="N42" s="158">
        <v>3.52</v>
      </c>
      <c r="O42" s="158">
        <v>3.52</v>
      </c>
      <c r="P42" s="158">
        <v>3.52</v>
      </c>
      <c r="Q42" s="158">
        <v>3.52</v>
      </c>
      <c r="R42" s="158">
        <v>3.52</v>
      </c>
      <c r="S42" s="158">
        <v>3.52</v>
      </c>
      <c r="T42" s="158">
        <v>3.52</v>
      </c>
      <c r="U42" s="158">
        <v>3.52</v>
      </c>
      <c r="V42" s="158">
        <v>3.52</v>
      </c>
      <c r="W42" s="158">
        <v>3.52</v>
      </c>
      <c r="X42" s="158">
        <v>3.52</v>
      </c>
      <c r="Y42" s="158">
        <v>3.52</v>
      </c>
      <c r="Z42" s="195">
        <v>0.42</v>
      </c>
      <c r="AA42" s="377">
        <v>0.42</v>
      </c>
      <c r="AB42" s="378">
        <v>0.42</v>
      </c>
      <c r="AC42" s="377">
        <v>0</v>
      </c>
      <c r="AD42" s="378">
        <v>0.42</v>
      </c>
      <c r="AE42" s="377">
        <v>0.42</v>
      </c>
      <c r="AF42" s="378">
        <v>0.42</v>
      </c>
      <c r="AG42" s="377">
        <v>0.42</v>
      </c>
      <c r="AH42" s="378">
        <v>0.42</v>
      </c>
      <c r="AI42" s="377">
        <v>0.42</v>
      </c>
      <c r="AJ42" s="378">
        <v>0.42</v>
      </c>
      <c r="AK42" s="701">
        <v>0.42</v>
      </c>
      <c r="AL42" s="514">
        <v>2240</v>
      </c>
      <c r="AM42" s="492">
        <f t="shared" si="0"/>
        <v>940.8</v>
      </c>
      <c r="AN42" s="562">
        <v>400</v>
      </c>
      <c r="AO42" s="492">
        <f t="shared" si="1"/>
        <v>168</v>
      </c>
      <c r="AP42" s="562">
        <v>2480</v>
      </c>
      <c r="AQ42" s="651">
        <f t="shared" si="2"/>
        <v>1041.5999999999999</v>
      </c>
      <c r="AR42" s="783">
        <v>1120</v>
      </c>
      <c r="AS42" s="774">
        <f t="shared" si="3"/>
        <v>0</v>
      </c>
      <c r="AT42" s="562">
        <v>11440</v>
      </c>
      <c r="AU42" s="492">
        <f t="shared" si="4"/>
        <v>4804.8</v>
      </c>
      <c r="AV42" s="891">
        <v>8013</v>
      </c>
      <c r="AW42" s="424">
        <f t="shared" si="5"/>
        <v>3365.46</v>
      </c>
      <c r="AX42" s="116">
        <v>917</v>
      </c>
      <c r="AY42" s="389">
        <f t="shared" si="6"/>
        <v>385.14</v>
      </c>
      <c r="AZ42" s="118">
        <v>2861</v>
      </c>
      <c r="BA42" s="389">
        <f t="shared" si="7"/>
        <v>1201.6199999999999</v>
      </c>
      <c r="BB42" s="363">
        <v>16311.248880622699</v>
      </c>
      <c r="BC42" s="391">
        <f t="shared" si="8"/>
        <v>6850.7245298615335</v>
      </c>
      <c r="BD42" s="116">
        <v>18961.826823723899</v>
      </c>
      <c r="BE42" s="389">
        <f t="shared" si="9"/>
        <v>7963.9672659640373</v>
      </c>
      <c r="BF42" s="118">
        <v>28136.904319074201</v>
      </c>
      <c r="BG42" s="389">
        <f t="shared" si="10"/>
        <v>11817.499814011164</v>
      </c>
      <c r="BH42" s="363">
        <v>14068.452159537101</v>
      </c>
      <c r="BI42" s="443">
        <f t="shared" si="11"/>
        <v>5908.7499070055819</v>
      </c>
      <c r="BJ42" s="245" t="s">
        <v>541</v>
      </c>
      <c r="BK42" s="78"/>
      <c r="BL42" s="78" t="s">
        <v>92</v>
      </c>
      <c r="BM42" s="9" t="s">
        <v>283</v>
      </c>
    </row>
    <row r="43" spans="1:65">
      <c r="A43" s="197" t="s">
        <v>383</v>
      </c>
      <c r="B43" s="78" t="s">
        <v>186</v>
      </c>
      <c r="C43" s="78" t="s">
        <v>30</v>
      </c>
      <c r="D43" s="1023"/>
      <c r="E43" s="1017"/>
      <c r="F43" s="1001"/>
      <c r="G43" s="205">
        <v>2025</v>
      </c>
      <c r="H43" s="841" t="s">
        <v>184</v>
      </c>
      <c r="I43" s="256" t="s">
        <v>148</v>
      </c>
      <c r="J43" s="75">
        <v>11</v>
      </c>
      <c r="K43" s="1" t="s">
        <v>180</v>
      </c>
      <c r="L43" s="74" t="s">
        <v>160</v>
      </c>
      <c r="M43" s="316" t="s">
        <v>326</v>
      </c>
      <c r="N43" s="158">
        <v>3.52</v>
      </c>
      <c r="O43" s="158">
        <v>3.52</v>
      </c>
      <c r="P43" s="158">
        <v>3.52</v>
      </c>
      <c r="Q43" s="158">
        <v>3.52</v>
      </c>
      <c r="R43" s="158">
        <v>3.52</v>
      </c>
      <c r="S43" s="158">
        <v>3.52</v>
      </c>
      <c r="T43" s="158">
        <v>3.52</v>
      </c>
      <c r="U43" s="158">
        <v>3.52</v>
      </c>
      <c r="V43" s="158">
        <v>3.52</v>
      </c>
      <c r="W43" s="158">
        <v>3.52</v>
      </c>
      <c r="X43" s="158">
        <v>3.52</v>
      </c>
      <c r="Y43" s="158">
        <v>3.52</v>
      </c>
      <c r="Z43" s="195">
        <v>0.42</v>
      </c>
      <c r="AA43" s="377">
        <v>0.42</v>
      </c>
      <c r="AB43" s="378">
        <v>0.42</v>
      </c>
      <c r="AC43" s="377">
        <v>0</v>
      </c>
      <c r="AD43" s="378">
        <v>0.42</v>
      </c>
      <c r="AE43" s="377">
        <v>0.42</v>
      </c>
      <c r="AF43" s="378">
        <v>0.42</v>
      </c>
      <c r="AG43" s="377">
        <v>0.42</v>
      </c>
      <c r="AH43" s="378">
        <v>0.42</v>
      </c>
      <c r="AI43" s="377">
        <v>0.42</v>
      </c>
      <c r="AJ43" s="378">
        <v>0.42</v>
      </c>
      <c r="AK43" s="701">
        <v>0.42</v>
      </c>
      <c r="AL43" s="505">
        <v>5400</v>
      </c>
      <c r="AM43" s="496">
        <f t="shared" si="0"/>
        <v>2268</v>
      </c>
      <c r="AN43" s="555">
        <v>11420</v>
      </c>
      <c r="AO43" s="496">
        <f t="shared" si="1"/>
        <v>4796.3999999999996</v>
      </c>
      <c r="AP43" s="555">
        <v>3480</v>
      </c>
      <c r="AQ43" s="621">
        <f t="shared" si="2"/>
        <v>1461.6</v>
      </c>
      <c r="AR43" s="495">
        <v>1720</v>
      </c>
      <c r="AS43" s="777">
        <f t="shared" si="3"/>
        <v>0</v>
      </c>
      <c r="AT43" s="555">
        <v>15440</v>
      </c>
      <c r="AU43" s="496">
        <f t="shared" si="4"/>
        <v>6484.8</v>
      </c>
      <c r="AV43" s="892">
        <v>7315</v>
      </c>
      <c r="AW43" s="390">
        <f t="shared" si="5"/>
        <v>3072.2999999999997</v>
      </c>
      <c r="AX43" s="150">
        <v>9443</v>
      </c>
      <c r="AY43" s="389">
        <f t="shared" si="6"/>
        <v>3966.06</v>
      </c>
      <c r="AZ43" s="149">
        <v>8598</v>
      </c>
      <c r="BA43" s="389">
        <f t="shared" si="7"/>
        <v>3611.16</v>
      </c>
      <c r="BB43" s="151">
        <v>0</v>
      </c>
      <c r="BC43" s="391">
        <f t="shared" si="8"/>
        <v>0</v>
      </c>
      <c r="BD43" s="150">
        <v>0</v>
      </c>
      <c r="BE43" s="389">
        <f t="shared" si="9"/>
        <v>0</v>
      </c>
      <c r="BF43" s="149">
        <v>0</v>
      </c>
      <c r="BG43" s="389">
        <f t="shared" si="10"/>
        <v>0</v>
      </c>
      <c r="BH43" s="151">
        <v>0</v>
      </c>
      <c r="BI43" s="443">
        <f t="shared" si="11"/>
        <v>0</v>
      </c>
      <c r="BJ43" s="245" t="s">
        <v>542</v>
      </c>
      <c r="BK43" s="78"/>
      <c r="BL43" s="78" t="s">
        <v>92</v>
      </c>
      <c r="BM43" s="9" t="s">
        <v>283</v>
      </c>
    </row>
    <row r="44" spans="1:65">
      <c r="A44" s="197" t="s">
        <v>383</v>
      </c>
      <c r="B44" s="78" t="s">
        <v>186</v>
      </c>
      <c r="C44" s="78" t="s">
        <v>30</v>
      </c>
      <c r="D44" s="1023"/>
      <c r="E44" s="1017"/>
      <c r="F44" s="1001"/>
      <c r="G44" s="226">
        <v>2025</v>
      </c>
      <c r="H44" s="849" t="s">
        <v>184</v>
      </c>
      <c r="I44" s="266" t="s">
        <v>148</v>
      </c>
      <c r="J44" s="249">
        <v>11</v>
      </c>
      <c r="K44" s="1" t="s">
        <v>183</v>
      </c>
      <c r="L44" s="146" t="s">
        <v>150</v>
      </c>
      <c r="M44" s="316" t="s">
        <v>321</v>
      </c>
      <c r="N44" s="305">
        <v>3.52</v>
      </c>
      <c r="O44" s="305">
        <v>3.52</v>
      </c>
      <c r="P44" s="305">
        <v>3.52</v>
      </c>
      <c r="Q44" s="305">
        <v>3.52</v>
      </c>
      <c r="R44" s="305">
        <v>3.52</v>
      </c>
      <c r="S44" s="305">
        <v>3.52</v>
      </c>
      <c r="T44" s="305">
        <v>3.52</v>
      </c>
      <c r="U44" s="305">
        <v>3.52</v>
      </c>
      <c r="V44" s="305">
        <v>3.52</v>
      </c>
      <c r="W44" s="305">
        <v>3.52</v>
      </c>
      <c r="X44" s="305">
        <v>3.52</v>
      </c>
      <c r="Y44" s="305">
        <v>3.52</v>
      </c>
      <c r="Z44" s="195">
        <v>0.42</v>
      </c>
      <c r="AA44" s="340">
        <v>0.42</v>
      </c>
      <c r="AB44" s="341">
        <v>0.42</v>
      </c>
      <c r="AC44" s="340">
        <v>0</v>
      </c>
      <c r="AD44" s="341">
        <v>0.42</v>
      </c>
      <c r="AE44" s="340">
        <v>0.42</v>
      </c>
      <c r="AF44" s="341">
        <v>0.42</v>
      </c>
      <c r="AG44" s="340">
        <v>0.42</v>
      </c>
      <c r="AH44" s="341">
        <v>0.42</v>
      </c>
      <c r="AI44" s="340">
        <v>0.42</v>
      </c>
      <c r="AJ44" s="341">
        <v>0.42</v>
      </c>
      <c r="AK44" s="480">
        <v>0.42</v>
      </c>
      <c r="AL44" s="515">
        <v>1240</v>
      </c>
      <c r="AM44" s="494">
        <f t="shared" si="0"/>
        <v>520.79999999999995</v>
      </c>
      <c r="AN44" s="563">
        <v>1440</v>
      </c>
      <c r="AO44" s="494">
        <f t="shared" si="1"/>
        <v>604.79999999999995</v>
      </c>
      <c r="AP44" s="563">
        <v>3400</v>
      </c>
      <c r="AQ44" s="620">
        <f t="shared" si="2"/>
        <v>1428</v>
      </c>
      <c r="AR44" s="511">
        <v>5200</v>
      </c>
      <c r="AS44" s="775">
        <f t="shared" si="3"/>
        <v>0</v>
      </c>
      <c r="AT44" s="563">
        <v>12000</v>
      </c>
      <c r="AU44" s="494">
        <f t="shared" si="4"/>
        <v>5040</v>
      </c>
      <c r="AV44" s="118">
        <v>3111</v>
      </c>
      <c r="AW44" s="355">
        <f t="shared" si="5"/>
        <v>1306.6199999999999</v>
      </c>
      <c r="AX44" s="116">
        <v>0</v>
      </c>
      <c r="AY44" s="127">
        <f t="shared" si="6"/>
        <v>0</v>
      </c>
      <c r="AZ44" s="118">
        <v>0</v>
      </c>
      <c r="BA44" s="127">
        <f t="shared" si="7"/>
        <v>0</v>
      </c>
      <c r="BB44" s="363">
        <v>488.75111937728201</v>
      </c>
      <c r="BC44" s="356">
        <f t="shared" si="8"/>
        <v>205.27547013845845</v>
      </c>
      <c r="BD44" s="116">
        <v>568.17317627608998</v>
      </c>
      <c r="BE44" s="127">
        <f t="shared" si="9"/>
        <v>238.63273403595778</v>
      </c>
      <c r="BF44" s="118">
        <v>843.09568092581105</v>
      </c>
      <c r="BG44" s="127">
        <f t="shared" si="10"/>
        <v>354.10018598884062</v>
      </c>
      <c r="BH44" s="363">
        <v>421.54784046290598</v>
      </c>
      <c r="BI44" s="442">
        <f t="shared" si="11"/>
        <v>177.05009299442051</v>
      </c>
      <c r="BJ44" s="245" t="s">
        <v>543</v>
      </c>
      <c r="BK44" s="78"/>
      <c r="BL44" s="78" t="s">
        <v>92</v>
      </c>
      <c r="BM44" s="9" t="s">
        <v>284</v>
      </c>
    </row>
    <row r="45" spans="1:65">
      <c r="A45" s="197" t="s">
        <v>383</v>
      </c>
      <c r="B45" s="78" t="s">
        <v>186</v>
      </c>
      <c r="C45" s="78" t="s">
        <v>30</v>
      </c>
      <c r="D45" s="1023"/>
      <c r="E45" s="1017"/>
      <c r="F45" s="1001"/>
      <c r="G45" s="205">
        <v>2023</v>
      </c>
      <c r="H45" s="841" t="s">
        <v>181</v>
      </c>
      <c r="I45" s="256" t="s">
        <v>148</v>
      </c>
      <c r="J45" s="75">
        <v>11</v>
      </c>
      <c r="K45" s="1" t="s">
        <v>180</v>
      </c>
      <c r="L45" s="74" t="s">
        <v>150</v>
      </c>
      <c r="M45" s="316" t="s">
        <v>391</v>
      </c>
      <c r="N45" s="305">
        <v>3.52</v>
      </c>
      <c r="O45" s="305">
        <v>3.52</v>
      </c>
      <c r="P45" s="305">
        <v>3.52</v>
      </c>
      <c r="Q45" s="305">
        <v>3.52</v>
      </c>
      <c r="R45" s="305">
        <v>3.52</v>
      </c>
      <c r="S45" s="305">
        <v>3.52</v>
      </c>
      <c r="T45" s="305">
        <v>3.52</v>
      </c>
      <c r="U45" s="305">
        <v>3.52</v>
      </c>
      <c r="V45" s="305">
        <v>3.52</v>
      </c>
      <c r="W45" s="305">
        <v>3.52</v>
      </c>
      <c r="X45" s="305">
        <v>3.52</v>
      </c>
      <c r="Y45" s="305">
        <v>3.52</v>
      </c>
      <c r="Z45" s="195">
        <v>0.42</v>
      </c>
      <c r="AA45" s="340">
        <v>0.42</v>
      </c>
      <c r="AB45" s="341">
        <v>0.42</v>
      </c>
      <c r="AC45" s="340">
        <v>0</v>
      </c>
      <c r="AD45" s="341">
        <v>0.42</v>
      </c>
      <c r="AE45" s="340">
        <v>0.42</v>
      </c>
      <c r="AF45" s="341">
        <v>0.42</v>
      </c>
      <c r="AG45" s="340">
        <v>0.42</v>
      </c>
      <c r="AH45" s="341">
        <v>0.42</v>
      </c>
      <c r="AI45" s="340">
        <v>0.42</v>
      </c>
      <c r="AJ45" s="341">
        <v>0.42</v>
      </c>
      <c r="AK45" s="480">
        <v>0.42</v>
      </c>
      <c r="AL45" s="515">
        <v>640</v>
      </c>
      <c r="AM45" s="496">
        <f t="shared" si="0"/>
        <v>268.8</v>
      </c>
      <c r="AN45" s="563">
        <v>0</v>
      </c>
      <c r="AO45" s="496">
        <f t="shared" si="1"/>
        <v>0</v>
      </c>
      <c r="AP45" s="563">
        <v>0</v>
      </c>
      <c r="AQ45" s="621">
        <f t="shared" si="2"/>
        <v>0</v>
      </c>
      <c r="AR45" s="511">
        <v>0</v>
      </c>
      <c r="AS45" s="777">
        <f t="shared" si="3"/>
        <v>0</v>
      </c>
      <c r="AT45" s="563">
        <v>0</v>
      </c>
      <c r="AU45" s="496">
        <f t="shared" si="4"/>
        <v>0</v>
      </c>
      <c r="AV45" s="118">
        <v>0</v>
      </c>
      <c r="AW45" s="390">
        <f t="shared" si="5"/>
        <v>0</v>
      </c>
      <c r="AX45" s="116">
        <v>0</v>
      </c>
      <c r="AY45" s="389">
        <f t="shared" si="6"/>
        <v>0</v>
      </c>
      <c r="AZ45" s="118">
        <v>0</v>
      </c>
      <c r="BA45" s="389">
        <f t="shared" si="7"/>
        <v>0</v>
      </c>
      <c r="BB45" s="363">
        <v>0</v>
      </c>
      <c r="BC45" s="391">
        <f t="shared" si="8"/>
        <v>0</v>
      </c>
      <c r="BD45" s="116">
        <v>0</v>
      </c>
      <c r="BE45" s="389">
        <f t="shared" si="9"/>
        <v>0</v>
      </c>
      <c r="BF45" s="118">
        <v>0</v>
      </c>
      <c r="BG45" s="389">
        <f t="shared" si="10"/>
        <v>0</v>
      </c>
      <c r="BH45" s="363">
        <v>0</v>
      </c>
      <c r="BI45" s="443">
        <f t="shared" si="11"/>
        <v>0</v>
      </c>
      <c r="BJ45" s="245" t="s">
        <v>182</v>
      </c>
      <c r="BK45" s="78"/>
      <c r="BL45" s="78" t="s">
        <v>92</v>
      </c>
      <c r="BM45" s="9" t="s">
        <v>282</v>
      </c>
    </row>
    <row r="46" spans="1:65" s="289" customFormat="1">
      <c r="A46" s="197" t="s">
        <v>383</v>
      </c>
      <c r="B46" s="9" t="s">
        <v>186</v>
      </c>
      <c r="C46" s="78" t="s">
        <v>30</v>
      </c>
      <c r="D46" s="1023"/>
      <c r="E46" s="1017"/>
      <c r="F46" s="1001"/>
      <c r="G46" s="205"/>
      <c r="H46" s="841"/>
      <c r="I46" s="256"/>
      <c r="J46" s="75"/>
      <c r="K46" s="1"/>
      <c r="L46" s="74"/>
      <c r="M46" s="316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95"/>
      <c r="AA46" s="377"/>
      <c r="AB46" s="378"/>
      <c r="AC46" s="378"/>
      <c r="AD46" s="378"/>
      <c r="AE46" s="378"/>
      <c r="AF46" s="378"/>
      <c r="AG46" s="378"/>
      <c r="AH46" s="378"/>
      <c r="AI46" s="159"/>
      <c r="AJ46" s="378"/>
      <c r="AK46" s="714"/>
      <c r="AL46" s="505">
        <v>0</v>
      </c>
      <c r="AM46" s="494">
        <f t="shared" si="0"/>
        <v>0</v>
      </c>
      <c r="AN46" s="555">
        <v>0</v>
      </c>
      <c r="AO46" s="494">
        <f t="shared" si="1"/>
        <v>0</v>
      </c>
      <c r="AP46" s="555">
        <v>0</v>
      </c>
      <c r="AQ46" s="620">
        <f t="shared" si="2"/>
        <v>0</v>
      </c>
      <c r="AR46" s="495">
        <v>0</v>
      </c>
      <c r="AS46" s="775">
        <f t="shared" si="3"/>
        <v>0</v>
      </c>
      <c r="AT46" s="555">
        <v>0</v>
      </c>
      <c r="AU46" s="494">
        <f t="shared" si="4"/>
        <v>0</v>
      </c>
      <c r="AV46" s="366">
        <v>0</v>
      </c>
      <c r="AW46" s="355">
        <f t="shared" si="5"/>
        <v>0</v>
      </c>
      <c r="AX46" s="150">
        <v>0</v>
      </c>
      <c r="AY46" s="127">
        <f t="shared" si="6"/>
        <v>0</v>
      </c>
      <c r="AZ46" s="149">
        <v>0</v>
      </c>
      <c r="BA46" s="127">
        <f t="shared" si="7"/>
        <v>0</v>
      </c>
      <c r="BB46" s="151">
        <v>0</v>
      </c>
      <c r="BC46" s="356">
        <f t="shared" si="8"/>
        <v>0</v>
      </c>
      <c r="BD46" s="150">
        <v>0</v>
      </c>
      <c r="BE46" s="127">
        <f t="shared" si="9"/>
        <v>0</v>
      </c>
      <c r="BF46" s="149">
        <v>0</v>
      </c>
      <c r="BG46" s="127">
        <f t="shared" si="10"/>
        <v>0</v>
      </c>
      <c r="BH46" s="151">
        <v>0</v>
      </c>
      <c r="BI46" s="442">
        <f t="shared" si="11"/>
        <v>0</v>
      </c>
      <c r="BJ46" s="245"/>
      <c r="BK46" s="78"/>
      <c r="BL46" s="78"/>
      <c r="BM46" s="9"/>
    </row>
    <row r="47" spans="1:65" ht="15" thickBot="1">
      <c r="A47" s="351" t="s">
        <v>383</v>
      </c>
      <c r="B47" s="79" t="s">
        <v>186</v>
      </c>
      <c r="C47" s="79" t="s">
        <v>30</v>
      </c>
      <c r="D47" s="1027"/>
      <c r="E47" s="1018"/>
      <c r="F47" s="1002"/>
      <c r="G47" s="203"/>
      <c r="H47" s="850"/>
      <c r="I47" s="267"/>
      <c r="J47" s="162"/>
      <c r="K47" s="251"/>
      <c r="L47" s="152"/>
      <c r="M47" s="317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253"/>
      <c r="AA47" s="342"/>
      <c r="AB47" s="343"/>
      <c r="AC47" s="343"/>
      <c r="AD47" s="343"/>
      <c r="AE47" s="343"/>
      <c r="AF47" s="343"/>
      <c r="AG47" s="343"/>
      <c r="AH47" s="343"/>
      <c r="AI47" s="307"/>
      <c r="AJ47" s="343"/>
      <c r="AK47" s="716"/>
      <c r="AL47" s="516">
        <v>0</v>
      </c>
      <c r="AM47" s="507">
        <f t="shared" si="0"/>
        <v>0</v>
      </c>
      <c r="AN47" s="564">
        <v>0</v>
      </c>
      <c r="AO47" s="507">
        <f t="shared" si="1"/>
        <v>0</v>
      </c>
      <c r="AP47" s="564">
        <v>0</v>
      </c>
      <c r="AQ47" s="619">
        <f t="shared" si="2"/>
        <v>0</v>
      </c>
      <c r="AR47" s="513">
        <v>0</v>
      </c>
      <c r="AS47" s="781">
        <f t="shared" si="3"/>
        <v>0</v>
      </c>
      <c r="AT47" s="564">
        <v>0</v>
      </c>
      <c r="AU47" s="507">
        <f t="shared" si="4"/>
        <v>0</v>
      </c>
      <c r="AV47" s="69">
        <v>0</v>
      </c>
      <c r="AW47" s="359">
        <f t="shared" si="5"/>
        <v>0</v>
      </c>
      <c r="AX47" s="137">
        <v>0</v>
      </c>
      <c r="AY47" s="131">
        <f t="shared" si="6"/>
        <v>0</v>
      </c>
      <c r="AZ47" s="69">
        <v>0</v>
      </c>
      <c r="BA47" s="131">
        <f t="shared" si="7"/>
        <v>0</v>
      </c>
      <c r="BB47" s="139">
        <v>0</v>
      </c>
      <c r="BC47" s="365">
        <f t="shared" si="8"/>
        <v>0</v>
      </c>
      <c r="BD47" s="137">
        <v>0</v>
      </c>
      <c r="BE47" s="131">
        <f t="shared" si="9"/>
        <v>0</v>
      </c>
      <c r="BF47" s="69">
        <v>0</v>
      </c>
      <c r="BG47" s="131">
        <f t="shared" si="10"/>
        <v>0</v>
      </c>
      <c r="BH47" s="139">
        <v>0</v>
      </c>
      <c r="BI47" s="444">
        <f t="shared" si="11"/>
        <v>0</v>
      </c>
      <c r="BJ47" s="245"/>
      <c r="BK47" s="78"/>
      <c r="BL47" s="78"/>
      <c r="BM47" s="9"/>
    </row>
    <row r="48" spans="1:65">
      <c r="A48" s="350" t="s">
        <v>383</v>
      </c>
      <c r="B48" s="78" t="s">
        <v>186</v>
      </c>
      <c r="C48" s="9" t="s">
        <v>30</v>
      </c>
      <c r="D48" s="1023" t="s">
        <v>335</v>
      </c>
      <c r="E48" s="1017" t="s">
        <v>226</v>
      </c>
      <c r="F48" s="1024" t="s">
        <v>334</v>
      </c>
      <c r="G48" s="204">
        <v>2025</v>
      </c>
      <c r="H48" s="843" t="s">
        <v>265</v>
      </c>
      <c r="I48" s="286" t="s">
        <v>151</v>
      </c>
      <c r="J48" s="160">
        <v>16</v>
      </c>
      <c r="K48" s="319" t="s">
        <v>175</v>
      </c>
      <c r="L48" s="319" t="s">
        <v>150</v>
      </c>
      <c r="M48" s="315" t="s">
        <v>321</v>
      </c>
      <c r="N48" s="448">
        <v>50.32</v>
      </c>
      <c r="O48" s="171">
        <v>50.32</v>
      </c>
      <c r="P48" s="171">
        <v>50.32</v>
      </c>
      <c r="Q48" s="171">
        <v>50.32</v>
      </c>
      <c r="R48" s="171">
        <v>50.92</v>
      </c>
      <c r="S48" s="171">
        <v>50.92</v>
      </c>
      <c r="T48" s="171">
        <v>50.92</v>
      </c>
      <c r="U48" s="171">
        <v>50.92</v>
      </c>
      <c r="V48" s="171">
        <v>50.92</v>
      </c>
      <c r="W48" s="171">
        <v>50.92</v>
      </c>
      <c r="X48" s="171">
        <v>50.92</v>
      </c>
      <c r="Y48" s="171">
        <v>50.92</v>
      </c>
      <c r="Z48" s="336">
        <v>11.61</v>
      </c>
      <c r="AA48" s="381">
        <v>11.61</v>
      </c>
      <c r="AB48" s="381">
        <v>11.61</v>
      </c>
      <c r="AC48" s="381">
        <v>0</v>
      </c>
      <c r="AD48" s="381">
        <v>11.71</v>
      </c>
      <c r="AE48" s="381">
        <v>11.71</v>
      </c>
      <c r="AF48" s="381">
        <v>11.71</v>
      </c>
      <c r="AG48" s="381">
        <v>11.71</v>
      </c>
      <c r="AH48" s="381">
        <v>11.71</v>
      </c>
      <c r="AI48" s="381">
        <v>11.71</v>
      </c>
      <c r="AJ48" s="381">
        <v>11.71</v>
      </c>
      <c r="AK48" s="477">
        <v>11.71</v>
      </c>
      <c r="AL48" s="514">
        <v>546</v>
      </c>
      <c r="AM48" s="492">
        <f t="shared" si="0"/>
        <v>6339.0599999999995</v>
      </c>
      <c r="AN48" s="562">
        <v>513</v>
      </c>
      <c r="AO48" s="492">
        <f t="shared" si="1"/>
        <v>5955.9299999999994</v>
      </c>
      <c r="AP48" s="562">
        <v>606</v>
      </c>
      <c r="AQ48" s="651">
        <f t="shared" si="2"/>
        <v>7035.66</v>
      </c>
      <c r="AR48" s="783">
        <v>317</v>
      </c>
      <c r="AS48" s="774">
        <f t="shared" si="3"/>
        <v>0</v>
      </c>
      <c r="AT48" s="562">
        <v>336</v>
      </c>
      <c r="AU48" s="492">
        <f t="shared" si="4"/>
        <v>3934.5600000000004</v>
      </c>
      <c r="AV48" s="185">
        <v>148</v>
      </c>
      <c r="AW48" s="424">
        <f t="shared" si="5"/>
        <v>1733.0800000000002</v>
      </c>
      <c r="AX48" s="186">
        <v>210</v>
      </c>
      <c r="AY48" s="423">
        <f t="shared" si="6"/>
        <v>2459.1000000000004</v>
      </c>
      <c r="AZ48" s="185">
        <v>264</v>
      </c>
      <c r="BA48" s="423">
        <f t="shared" si="7"/>
        <v>3091.44</v>
      </c>
      <c r="BB48" s="187">
        <v>445.36804350992202</v>
      </c>
      <c r="BC48" s="426">
        <f t="shared" si="8"/>
        <v>5215.2597895011868</v>
      </c>
      <c r="BD48" s="186">
        <v>367.65478482301597</v>
      </c>
      <c r="BE48" s="423">
        <f t="shared" si="9"/>
        <v>4305.2375302775172</v>
      </c>
      <c r="BF48" s="185">
        <v>477.50652887762902</v>
      </c>
      <c r="BG48" s="423">
        <f t="shared" si="10"/>
        <v>5591.6014531570363</v>
      </c>
      <c r="BH48" s="187">
        <v>384.58467106603399</v>
      </c>
      <c r="BI48" s="441">
        <f t="shared" si="11"/>
        <v>4503.4864981832579</v>
      </c>
      <c r="BJ48" s="177" t="s">
        <v>544</v>
      </c>
      <c r="BK48" s="78"/>
      <c r="BL48" s="78" t="s">
        <v>92</v>
      </c>
      <c r="BM48" s="9" t="s">
        <v>285</v>
      </c>
    </row>
    <row r="49" spans="1:65">
      <c r="A49" s="197" t="s">
        <v>383</v>
      </c>
      <c r="B49" s="9" t="s">
        <v>186</v>
      </c>
      <c r="C49" s="78" t="s">
        <v>30</v>
      </c>
      <c r="D49" s="1023"/>
      <c r="E49" s="1017"/>
      <c r="F49" s="1024"/>
      <c r="G49" s="226">
        <v>2025</v>
      </c>
      <c r="H49" s="835" t="s">
        <v>185</v>
      </c>
      <c r="I49" s="266" t="s">
        <v>151</v>
      </c>
      <c r="J49" s="147">
        <v>14</v>
      </c>
      <c r="K49" s="157" t="s">
        <v>153</v>
      </c>
      <c r="L49" s="148" t="s">
        <v>150</v>
      </c>
      <c r="M49" s="316" t="s">
        <v>321</v>
      </c>
      <c r="N49" s="172">
        <v>7.9</v>
      </c>
      <c r="O49" s="6">
        <v>7.9</v>
      </c>
      <c r="P49" s="6">
        <v>7.74</v>
      </c>
      <c r="Q49" s="6">
        <v>7.74</v>
      </c>
      <c r="R49" s="6">
        <v>8.25</v>
      </c>
      <c r="S49" s="6">
        <v>8.25</v>
      </c>
      <c r="T49" s="6">
        <v>8.25</v>
      </c>
      <c r="U49" s="6">
        <v>8.25</v>
      </c>
      <c r="V49" s="6">
        <v>8.25</v>
      </c>
      <c r="W49" s="6">
        <v>8.25</v>
      </c>
      <c r="X49" s="6">
        <v>8.25</v>
      </c>
      <c r="Y49" s="6">
        <v>8.25</v>
      </c>
      <c r="Z49" s="195">
        <v>0.39</v>
      </c>
      <c r="AA49" s="340">
        <v>0.39</v>
      </c>
      <c r="AB49" s="340">
        <v>0.31</v>
      </c>
      <c r="AC49" s="340">
        <v>0</v>
      </c>
      <c r="AD49" s="340">
        <v>0.41</v>
      </c>
      <c r="AE49" s="340">
        <v>0.41</v>
      </c>
      <c r="AF49" s="340">
        <v>0.41</v>
      </c>
      <c r="AG49" s="340">
        <v>0.41</v>
      </c>
      <c r="AH49" s="340">
        <v>0.41</v>
      </c>
      <c r="AI49" s="340">
        <v>0.41</v>
      </c>
      <c r="AJ49" s="340">
        <v>0.41</v>
      </c>
      <c r="AK49" s="480">
        <v>0.41</v>
      </c>
      <c r="AL49" s="505">
        <v>1704</v>
      </c>
      <c r="AM49" s="496">
        <f t="shared" si="0"/>
        <v>664.56000000000006</v>
      </c>
      <c r="AN49" s="555">
        <v>1888</v>
      </c>
      <c r="AO49" s="496">
        <f t="shared" si="1"/>
        <v>736.32</v>
      </c>
      <c r="AP49" s="555">
        <v>982</v>
      </c>
      <c r="AQ49" s="621">
        <f t="shared" si="2"/>
        <v>304.42</v>
      </c>
      <c r="AR49" s="495">
        <v>1343</v>
      </c>
      <c r="AS49" s="777">
        <f t="shared" si="3"/>
        <v>0</v>
      </c>
      <c r="AT49" s="555">
        <v>1396</v>
      </c>
      <c r="AU49" s="496">
        <f t="shared" si="4"/>
        <v>572.36</v>
      </c>
      <c r="AV49" s="149">
        <v>0</v>
      </c>
      <c r="AW49" s="390">
        <f t="shared" si="5"/>
        <v>0</v>
      </c>
      <c r="AX49" s="150">
        <v>788</v>
      </c>
      <c r="AY49" s="389">
        <f t="shared" si="6"/>
        <v>323.08</v>
      </c>
      <c r="AZ49" s="149">
        <v>1032</v>
      </c>
      <c r="BA49" s="389">
        <f t="shared" si="7"/>
        <v>423.11999999999995</v>
      </c>
      <c r="BB49" s="151">
        <v>1195.5830252399601</v>
      </c>
      <c r="BC49" s="391">
        <f t="shared" si="8"/>
        <v>490.18904034838363</v>
      </c>
      <c r="BD49" s="150">
        <v>926.01388197653705</v>
      </c>
      <c r="BE49" s="389">
        <f t="shared" si="9"/>
        <v>379.66569161038018</v>
      </c>
      <c r="BF49" s="149">
        <v>1060.87140063989</v>
      </c>
      <c r="BG49" s="389">
        <f t="shared" si="10"/>
        <v>434.95727426235487</v>
      </c>
      <c r="BH49" s="151">
        <v>865.41388197653703</v>
      </c>
      <c r="BI49" s="443">
        <f t="shared" si="11"/>
        <v>354.81969161038018</v>
      </c>
      <c r="BJ49" s="177" t="s">
        <v>545</v>
      </c>
      <c r="BK49" s="78"/>
      <c r="BL49" s="78" t="s">
        <v>92</v>
      </c>
      <c r="BM49" s="9" t="s">
        <v>286</v>
      </c>
    </row>
    <row r="50" spans="1:65" ht="15" thickBot="1">
      <c r="A50" s="351" t="s">
        <v>383</v>
      </c>
      <c r="B50" s="10" t="s">
        <v>186</v>
      </c>
      <c r="C50" s="78" t="s">
        <v>30</v>
      </c>
      <c r="D50" s="1023"/>
      <c r="E50" s="1018"/>
      <c r="F50" s="1025"/>
      <c r="G50" s="243">
        <v>2025</v>
      </c>
      <c r="H50" s="848" t="s">
        <v>185</v>
      </c>
      <c r="I50" s="267" t="s">
        <v>151</v>
      </c>
      <c r="J50" s="87">
        <v>14</v>
      </c>
      <c r="K50" s="89" t="s">
        <v>153</v>
      </c>
      <c r="L50" s="300" t="s">
        <v>160</v>
      </c>
      <c r="M50" s="317" t="s">
        <v>326</v>
      </c>
      <c r="N50" s="250">
        <v>7.9</v>
      </c>
      <c r="O50" s="83">
        <v>7.9</v>
      </c>
      <c r="P50" s="83">
        <v>7.74</v>
      </c>
      <c r="Q50" s="83">
        <v>7.74</v>
      </c>
      <c r="R50" s="83">
        <v>8.25</v>
      </c>
      <c r="S50" s="83">
        <v>8.25</v>
      </c>
      <c r="T50" s="83">
        <v>8.25</v>
      </c>
      <c r="U50" s="83">
        <v>8.25</v>
      </c>
      <c r="V50" s="83">
        <v>8.25</v>
      </c>
      <c r="W50" s="83">
        <v>8.25</v>
      </c>
      <c r="X50" s="83">
        <v>8.25</v>
      </c>
      <c r="Y50" s="83">
        <v>8.25</v>
      </c>
      <c r="Z50" s="253">
        <v>0.39</v>
      </c>
      <c r="AA50" s="342">
        <v>0.39</v>
      </c>
      <c r="AB50" s="342">
        <v>0.31</v>
      </c>
      <c r="AC50" s="342">
        <v>0</v>
      </c>
      <c r="AD50" s="342">
        <v>0.41</v>
      </c>
      <c r="AE50" s="342">
        <v>0.41</v>
      </c>
      <c r="AF50" s="342">
        <v>0.41</v>
      </c>
      <c r="AG50" s="342">
        <v>0.41</v>
      </c>
      <c r="AH50" s="342">
        <v>0.41</v>
      </c>
      <c r="AI50" s="342">
        <v>0.41</v>
      </c>
      <c r="AJ50" s="342">
        <v>0.41</v>
      </c>
      <c r="AK50" s="481">
        <v>0.41</v>
      </c>
      <c r="AL50" s="506">
        <v>0</v>
      </c>
      <c r="AM50" s="501">
        <f t="shared" si="0"/>
        <v>0</v>
      </c>
      <c r="AN50" s="551">
        <v>120</v>
      </c>
      <c r="AO50" s="501">
        <f t="shared" si="1"/>
        <v>46.800000000000004</v>
      </c>
      <c r="AP50" s="551">
        <v>80</v>
      </c>
      <c r="AQ50" s="618">
        <f t="shared" si="2"/>
        <v>24.8</v>
      </c>
      <c r="AR50" s="500">
        <v>40</v>
      </c>
      <c r="AS50" s="780">
        <f t="shared" si="3"/>
        <v>0</v>
      </c>
      <c r="AT50" s="551">
        <v>0</v>
      </c>
      <c r="AU50" s="501">
        <f t="shared" si="4"/>
        <v>0</v>
      </c>
      <c r="AV50" s="132">
        <v>273</v>
      </c>
      <c r="AW50" s="360">
        <f t="shared" si="5"/>
        <v>111.92999999999999</v>
      </c>
      <c r="AX50" s="130">
        <v>298</v>
      </c>
      <c r="AY50" s="138">
        <f t="shared" si="6"/>
        <v>122.17999999999999</v>
      </c>
      <c r="AZ50" s="132">
        <v>282</v>
      </c>
      <c r="BA50" s="138">
        <f t="shared" si="7"/>
        <v>115.61999999999999</v>
      </c>
      <c r="BB50" s="133">
        <v>0</v>
      </c>
      <c r="BC50" s="361">
        <f t="shared" si="8"/>
        <v>0</v>
      </c>
      <c r="BD50" s="130">
        <v>0</v>
      </c>
      <c r="BE50" s="138">
        <f t="shared" si="9"/>
        <v>0</v>
      </c>
      <c r="BF50" s="132">
        <v>0</v>
      </c>
      <c r="BG50" s="138">
        <f t="shared" si="10"/>
        <v>0</v>
      </c>
      <c r="BH50" s="133">
        <v>0</v>
      </c>
      <c r="BI50" s="164">
        <f t="shared" si="11"/>
        <v>0</v>
      </c>
      <c r="BJ50" s="177" t="s">
        <v>520</v>
      </c>
      <c r="BK50" s="78"/>
      <c r="BL50" s="78" t="s">
        <v>92</v>
      </c>
      <c r="BM50" s="9" t="s">
        <v>286</v>
      </c>
    </row>
    <row r="51" spans="1:65">
      <c r="A51" s="350" t="s">
        <v>383</v>
      </c>
      <c r="B51" s="78" t="s">
        <v>186</v>
      </c>
      <c r="C51" s="22" t="s">
        <v>30</v>
      </c>
      <c r="D51" s="1026" t="s">
        <v>145</v>
      </c>
      <c r="E51" s="1016" t="s">
        <v>146</v>
      </c>
      <c r="F51" s="1009" t="s">
        <v>187</v>
      </c>
      <c r="G51" s="199">
        <v>2024</v>
      </c>
      <c r="H51" s="851" t="s">
        <v>188</v>
      </c>
      <c r="I51" s="257" t="s">
        <v>148</v>
      </c>
      <c r="J51" s="56">
        <v>11</v>
      </c>
      <c r="K51" s="57" t="s">
        <v>412</v>
      </c>
      <c r="L51" s="57" t="s">
        <v>150</v>
      </c>
      <c r="M51" s="316" t="s">
        <v>320</v>
      </c>
      <c r="N51" s="173">
        <v>3.35</v>
      </c>
      <c r="O51" s="84">
        <v>3.35</v>
      </c>
      <c r="P51" s="84">
        <v>3</v>
      </c>
      <c r="Q51" s="84">
        <v>3</v>
      </c>
      <c r="R51" s="84">
        <v>3.4</v>
      </c>
      <c r="S51" s="84">
        <v>3.4</v>
      </c>
      <c r="T51" s="84">
        <v>3.4</v>
      </c>
      <c r="U51" s="84">
        <v>3.4</v>
      </c>
      <c r="V51" s="84">
        <v>3.4</v>
      </c>
      <c r="W51" s="84">
        <v>3.4</v>
      </c>
      <c r="X51" s="84">
        <v>3.4</v>
      </c>
      <c r="Y51" s="84">
        <v>3.4</v>
      </c>
      <c r="Z51" s="195">
        <v>0.61</v>
      </c>
      <c r="AA51" s="377">
        <v>0.61</v>
      </c>
      <c r="AB51" s="378">
        <v>0.26</v>
      </c>
      <c r="AC51" s="378">
        <v>0</v>
      </c>
      <c r="AD51" s="378">
        <v>0.25</v>
      </c>
      <c r="AE51" s="378">
        <v>0.25</v>
      </c>
      <c r="AF51" s="378">
        <v>0.25</v>
      </c>
      <c r="AG51" s="378">
        <v>0.25</v>
      </c>
      <c r="AH51" s="378">
        <v>0.25</v>
      </c>
      <c r="AI51" s="378">
        <v>0.25</v>
      </c>
      <c r="AJ51" s="378">
        <v>0.25</v>
      </c>
      <c r="AK51" s="378">
        <v>0.25</v>
      </c>
      <c r="AL51" s="517">
        <v>6279</v>
      </c>
      <c r="AM51" s="492">
        <f t="shared" si="0"/>
        <v>3830.19</v>
      </c>
      <c r="AN51" s="552">
        <v>280</v>
      </c>
      <c r="AO51" s="492">
        <f t="shared" si="1"/>
        <v>170.79999999999998</v>
      </c>
      <c r="AP51" s="556">
        <v>40</v>
      </c>
      <c r="AQ51" s="651">
        <f t="shared" si="2"/>
        <v>10.4</v>
      </c>
      <c r="AR51" s="508">
        <v>1080</v>
      </c>
      <c r="AS51" s="774">
        <f t="shared" si="3"/>
        <v>0</v>
      </c>
      <c r="AT51" s="556">
        <v>4630</v>
      </c>
      <c r="AU51" s="492">
        <f t="shared" si="4"/>
        <v>1157.5</v>
      </c>
      <c r="AV51" s="67">
        <v>1889</v>
      </c>
      <c r="AW51" s="424">
        <f t="shared" si="5"/>
        <v>472.25</v>
      </c>
      <c r="AX51" s="121">
        <v>2620</v>
      </c>
      <c r="AY51" s="423">
        <f t="shared" si="6"/>
        <v>655</v>
      </c>
      <c r="AZ51" s="67">
        <v>2276</v>
      </c>
      <c r="BA51" s="423">
        <f t="shared" si="7"/>
        <v>569</v>
      </c>
      <c r="BB51" s="122">
        <v>14384.747146701</v>
      </c>
      <c r="BC51" s="426">
        <f t="shared" si="8"/>
        <v>3596.18678667525</v>
      </c>
      <c r="BD51" s="121">
        <v>19928.476188594701</v>
      </c>
      <c r="BE51" s="423">
        <f t="shared" si="9"/>
        <v>4982.1190471486752</v>
      </c>
      <c r="BF51" s="67">
        <v>19928.476188594701</v>
      </c>
      <c r="BG51" s="423">
        <f t="shared" si="10"/>
        <v>4982.1190471486752</v>
      </c>
      <c r="BH51" s="122">
        <v>3985.69523771894</v>
      </c>
      <c r="BI51" s="441">
        <f t="shared" si="11"/>
        <v>996.423809429735</v>
      </c>
      <c r="BJ51" s="245" t="s">
        <v>546</v>
      </c>
      <c r="BK51" s="78"/>
      <c r="BL51" s="78" t="s">
        <v>92</v>
      </c>
      <c r="BM51" s="9" t="s">
        <v>287</v>
      </c>
    </row>
    <row r="52" spans="1:65">
      <c r="A52" s="197" t="s">
        <v>383</v>
      </c>
      <c r="B52" s="78" t="s">
        <v>186</v>
      </c>
      <c r="C52" s="9" t="s">
        <v>30</v>
      </c>
      <c r="D52" s="1023"/>
      <c r="E52" s="1017"/>
      <c r="F52" s="1001"/>
      <c r="G52" s="199">
        <v>2025</v>
      </c>
      <c r="H52" s="851" t="s">
        <v>188</v>
      </c>
      <c r="I52" s="257" t="s">
        <v>148</v>
      </c>
      <c r="J52" s="56">
        <v>11</v>
      </c>
      <c r="K52" s="57" t="s">
        <v>412</v>
      </c>
      <c r="L52" s="57" t="s">
        <v>160</v>
      </c>
      <c r="M52" s="316" t="s">
        <v>325</v>
      </c>
      <c r="N52" s="303">
        <v>3.35</v>
      </c>
      <c r="O52" s="81">
        <v>3.35</v>
      </c>
      <c r="P52" s="81">
        <v>3</v>
      </c>
      <c r="Q52" s="81">
        <v>3</v>
      </c>
      <c r="R52" s="81">
        <v>3.4</v>
      </c>
      <c r="S52" s="81">
        <v>3.4</v>
      </c>
      <c r="T52" s="81">
        <v>3.4</v>
      </c>
      <c r="U52" s="81">
        <v>3.4</v>
      </c>
      <c r="V52" s="81">
        <v>3.4</v>
      </c>
      <c r="W52" s="81">
        <v>3.4</v>
      </c>
      <c r="X52" s="81">
        <v>3.4</v>
      </c>
      <c r="Y52" s="81">
        <v>3.4</v>
      </c>
      <c r="Z52" s="195">
        <v>0.61</v>
      </c>
      <c r="AA52" s="377">
        <v>0.61</v>
      </c>
      <c r="AB52" s="92">
        <v>0.26</v>
      </c>
      <c r="AC52" s="92">
        <v>0</v>
      </c>
      <c r="AD52" s="92">
        <v>0.25</v>
      </c>
      <c r="AE52" s="92">
        <v>0.25</v>
      </c>
      <c r="AF52" s="92">
        <v>0.25</v>
      </c>
      <c r="AG52" s="92">
        <v>0.25</v>
      </c>
      <c r="AH52" s="92">
        <v>0.25</v>
      </c>
      <c r="AI52" s="92">
        <v>0.25</v>
      </c>
      <c r="AJ52" s="92">
        <v>0.25</v>
      </c>
      <c r="AK52" s="92">
        <v>0.25</v>
      </c>
      <c r="AL52" s="518">
        <v>2760</v>
      </c>
      <c r="AM52" s="494">
        <f t="shared" si="0"/>
        <v>1683.6</v>
      </c>
      <c r="AN52" s="553">
        <v>120</v>
      </c>
      <c r="AO52" s="494">
        <f t="shared" si="1"/>
        <v>73.2</v>
      </c>
      <c r="AP52" s="554">
        <v>280</v>
      </c>
      <c r="AQ52" s="620">
        <f t="shared" si="2"/>
        <v>72.8</v>
      </c>
      <c r="AR52" s="510">
        <v>360</v>
      </c>
      <c r="AS52" s="775">
        <f t="shared" si="3"/>
        <v>0</v>
      </c>
      <c r="AT52" s="554">
        <v>6680</v>
      </c>
      <c r="AU52" s="494">
        <f t="shared" si="4"/>
        <v>1670</v>
      </c>
      <c r="AV52" s="58">
        <v>11149</v>
      </c>
      <c r="AW52" s="355">
        <f t="shared" si="5"/>
        <v>2787.25</v>
      </c>
      <c r="AX52" s="123">
        <v>14452</v>
      </c>
      <c r="AY52" s="127">
        <f t="shared" si="6"/>
        <v>3613</v>
      </c>
      <c r="AZ52" s="58">
        <v>18668</v>
      </c>
      <c r="BA52" s="127">
        <f t="shared" si="7"/>
        <v>4667</v>
      </c>
      <c r="BB52" s="125">
        <v>0</v>
      </c>
      <c r="BC52" s="356">
        <f t="shared" si="8"/>
        <v>0</v>
      </c>
      <c r="BD52" s="123">
        <v>0</v>
      </c>
      <c r="BE52" s="127">
        <f t="shared" si="9"/>
        <v>0</v>
      </c>
      <c r="BF52" s="58">
        <v>0</v>
      </c>
      <c r="BG52" s="127">
        <f t="shared" si="10"/>
        <v>0</v>
      </c>
      <c r="BH52" s="125">
        <v>0</v>
      </c>
      <c r="BI52" s="442">
        <f t="shared" si="11"/>
        <v>0</v>
      </c>
      <c r="BJ52" s="245" t="s">
        <v>512</v>
      </c>
      <c r="BK52" s="78"/>
      <c r="BL52" s="78" t="s">
        <v>92</v>
      </c>
      <c r="BM52" s="9" t="s">
        <v>287</v>
      </c>
    </row>
    <row r="53" spans="1:65">
      <c r="A53" s="197" t="s">
        <v>383</v>
      </c>
      <c r="B53" s="78" t="s">
        <v>186</v>
      </c>
      <c r="C53" s="9" t="s">
        <v>30</v>
      </c>
      <c r="D53" s="1023"/>
      <c r="E53" s="1017"/>
      <c r="F53" s="1001"/>
      <c r="G53" s="199">
        <v>2024</v>
      </c>
      <c r="H53" s="851" t="s">
        <v>188</v>
      </c>
      <c r="I53" s="257" t="s">
        <v>148</v>
      </c>
      <c r="J53" s="56">
        <v>11</v>
      </c>
      <c r="K53" s="57" t="s">
        <v>183</v>
      </c>
      <c r="L53" s="57" t="s">
        <v>150</v>
      </c>
      <c r="M53" s="316" t="s">
        <v>320</v>
      </c>
      <c r="N53" s="303">
        <v>3.35</v>
      </c>
      <c r="O53" s="81">
        <v>3.35</v>
      </c>
      <c r="P53" s="81">
        <v>3</v>
      </c>
      <c r="Q53" s="81">
        <v>3</v>
      </c>
      <c r="R53" s="81">
        <v>3.4</v>
      </c>
      <c r="S53" s="81">
        <v>3.4</v>
      </c>
      <c r="T53" s="81">
        <v>3.4</v>
      </c>
      <c r="U53" s="81">
        <v>3.4</v>
      </c>
      <c r="V53" s="81">
        <v>3.4</v>
      </c>
      <c r="W53" s="81">
        <v>3.4</v>
      </c>
      <c r="X53" s="81">
        <v>3.4</v>
      </c>
      <c r="Y53" s="81">
        <v>3.4</v>
      </c>
      <c r="Z53" s="195">
        <v>0.61</v>
      </c>
      <c r="AA53" s="377">
        <v>0.61</v>
      </c>
      <c r="AB53" s="92">
        <v>0.26</v>
      </c>
      <c r="AC53" s="92">
        <v>0</v>
      </c>
      <c r="AD53" s="92">
        <v>0.25</v>
      </c>
      <c r="AE53" s="92">
        <v>0.25</v>
      </c>
      <c r="AF53" s="92">
        <v>0.25</v>
      </c>
      <c r="AG53" s="92">
        <v>0.25</v>
      </c>
      <c r="AH53" s="92">
        <v>0.25</v>
      </c>
      <c r="AI53" s="92">
        <v>0.25</v>
      </c>
      <c r="AJ53" s="92">
        <v>0.25</v>
      </c>
      <c r="AK53" s="92">
        <v>0.25</v>
      </c>
      <c r="AL53" s="518">
        <v>40</v>
      </c>
      <c r="AM53" s="496">
        <f t="shared" ref="AM53" si="72">Z53*AL53</f>
        <v>24.4</v>
      </c>
      <c r="AN53" s="553">
        <v>0</v>
      </c>
      <c r="AO53" s="496">
        <f t="shared" ref="AO53" si="73">AA53*AN53</f>
        <v>0</v>
      </c>
      <c r="AP53" s="554">
        <v>40</v>
      </c>
      <c r="AQ53" s="621">
        <f t="shared" ref="AQ53" si="74">AB53*AP53</f>
        <v>10.4</v>
      </c>
      <c r="AR53" s="510">
        <v>240</v>
      </c>
      <c r="AS53" s="777">
        <f t="shared" ref="AS53" si="75">AC53*AR53</f>
        <v>0</v>
      </c>
      <c r="AT53" s="554">
        <v>160</v>
      </c>
      <c r="AU53" s="496">
        <f t="shared" ref="AU53" si="76">AD53*AT53</f>
        <v>40</v>
      </c>
      <c r="AV53" s="58">
        <v>568</v>
      </c>
      <c r="AW53" s="390">
        <f t="shared" ref="AW53" si="77">AE53*AV53</f>
        <v>142</v>
      </c>
      <c r="AX53" s="123">
        <v>769</v>
      </c>
      <c r="AY53" s="389">
        <f t="shared" ref="AY53" si="78">AF53*AX53</f>
        <v>192.25</v>
      </c>
      <c r="AZ53" s="58">
        <v>633</v>
      </c>
      <c r="BA53" s="389">
        <f t="shared" ref="BA53" si="79">AG53*AZ53</f>
        <v>158.25</v>
      </c>
      <c r="BB53" s="125">
        <v>284.05285329898499</v>
      </c>
      <c r="BC53" s="391">
        <f t="shared" ref="BC53" si="80">AH53*BB53</f>
        <v>71.013213324746246</v>
      </c>
      <c r="BD53" s="123">
        <v>393.523811405294</v>
      </c>
      <c r="BE53" s="389">
        <f t="shared" ref="BE53" si="81">AI53*BD53</f>
        <v>98.380952851323499</v>
      </c>
      <c r="BF53" s="58">
        <v>393.523811405294</v>
      </c>
      <c r="BG53" s="389">
        <f t="shared" ref="BG53" si="82">AJ53*BF53</f>
        <v>98.380952851323499</v>
      </c>
      <c r="BH53" s="125">
        <v>78.704762281058706</v>
      </c>
      <c r="BI53" s="443">
        <f t="shared" ref="BI53" si="83">AK53*BH53</f>
        <v>19.676190570264676</v>
      </c>
      <c r="BJ53" s="245" t="s">
        <v>547</v>
      </c>
      <c r="BK53" s="78"/>
      <c r="BL53" s="78" t="s">
        <v>92</v>
      </c>
      <c r="BM53" s="9" t="s">
        <v>288</v>
      </c>
    </row>
    <row r="54" spans="1:65">
      <c r="A54" s="197" t="s">
        <v>383</v>
      </c>
      <c r="B54" s="78" t="s">
        <v>186</v>
      </c>
      <c r="C54" s="9" t="s">
        <v>30</v>
      </c>
      <c r="D54" s="1023"/>
      <c r="E54" s="1017"/>
      <c r="F54" s="1001"/>
      <c r="G54" s="911">
        <v>2026</v>
      </c>
      <c r="H54" s="912" t="s">
        <v>188</v>
      </c>
      <c r="I54" s="913" t="s">
        <v>148</v>
      </c>
      <c r="J54" s="914">
        <v>11</v>
      </c>
      <c r="K54" s="915" t="s">
        <v>698</v>
      </c>
      <c r="L54" s="915" t="s">
        <v>150</v>
      </c>
      <c r="M54" s="916" t="s">
        <v>320</v>
      </c>
      <c r="N54" s="303">
        <v>3.35</v>
      </c>
      <c r="O54" s="81">
        <v>3.35</v>
      </c>
      <c r="P54" s="81">
        <v>3</v>
      </c>
      <c r="Q54" s="81">
        <v>3</v>
      </c>
      <c r="R54" s="81">
        <v>3.4</v>
      </c>
      <c r="S54" s="81">
        <v>3.4</v>
      </c>
      <c r="T54" s="81">
        <v>3.4</v>
      </c>
      <c r="U54" s="81">
        <v>3.4</v>
      </c>
      <c r="V54" s="81">
        <v>3.4</v>
      </c>
      <c r="W54" s="81">
        <v>3.4</v>
      </c>
      <c r="X54" s="81">
        <v>3.4</v>
      </c>
      <c r="Y54" s="81">
        <v>3.4</v>
      </c>
      <c r="Z54" s="195">
        <v>0.61</v>
      </c>
      <c r="AA54" s="377">
        <v>0.61</v>
      </c>
      <c r="AB54" s="92">
        <v>0.26</v>
      </c>
      <c r="AC54" s="92">
        <v>0</v>
      </c>
      <c r="AD54" s="92">
        <v>0.25</v>
      </c>
      <c r="AE54" s="92">
        <v>0.25</v>
      </c>
      <c r="AF54" s="92">
        <v>0.25</v>
      </c>
      <c r="AG54" s="92">
        <v>0.25</v>
      </c>
      <c r="AH54" s="92">
        <v>0.25</v>
      </c>
      <c r="AI54" s="92">
        <v>0.25</v>
      </c>
      <c r="AJ54" s="92">
        <v>0.25</v>
      </c>
      <c r="AK54" s="92">
        <v>0.25</v>
      </c>
      <c r="AL54" s="902">
        <v>0</v>
      </c>
      <c r="AM54" s="528">
        <f t="shared" si="0"/>
        <v>0</v>
      </c>
      <c r="AN54" s="553">
        <v>0</v>
      </c>
      <c r="AO54" s="528">
        <f t="shared" si="1"/>
        <v>0</v>
      </c>
      <c r="AP54" s="900">
        <v>0</v>
      </c>
      <c r="AQ54" s="661">
        <f t="shared" si="2"/>
        <v>0</v>
      </c>
      <c r="AR54" s="903">
        <v>0</v>
      </c>
      <c r="AS54" s="793">
        <f t="shared" si="3"/>
        <v>0</v>
      </c>
      <c r="AT54" s="900">
        <v>11397</v>
      </c>
      <c r="AU54" s="528">
        <f t="shared" si="4"/>
        <v>2849.25</v>
      </c>
      <c r="AV54" s="904">
        <v>0</v>
      </c>
      <c r="AW54" s="905">
        <f t="shared" si="5"/>
        <v>0</v>
      </c>
      <c r="AX54" s="906">
        <v>0</v>
      </c>
      <c r="AY54" s="907">
        <f t="shared" si="6"/>
        <v>0</v>
      </c>
      <c r="AZ54" s="904">
        <v>0</v>
      </c>
      <c r="BA54" s="907">
        <f t="shared" si="7"/>
        <v>0</v>
      </c>
      <c r="BB54" s="908">
        <v>0</v>
      </c>
      <c r="BC54" s="909">
        <f t="shared" si="8"/>
        <v>0</v>
      </c>
      <c r="BD54" s="906">
        <v>0</v>
      </c>
      <c r="BE54" s="907">
        <f t="shared" si="9"/>
        <v>0</v>
      </c>
      <c r="BF54" s="904">
        <v>0</v>
      </c>
      <c r="BG54" s="907">
        <f t="shared" si="10"/>
        <v>0</v>
      </c>
      <c r="BH54" s="908">
        <v>0</v>
      </c>
      <c r="BI54" s="910">
        <f t="shared" si="11"/>
        <v>0</v>
      </c>
      <c r="BJ54" s="1" t="s">
        <v>696</v>
      </c>
      <c r="BK54" s="78"/>
      <c r="BL54" s="78" t="s">
        <v>92</v>
      </c>
      <c r="BM54" s="9" t="s">
        <v>697</v>
      </c>
    </row>
    <row r="55" spans="1:65">
      <c r="A55" s="197" t="s">
        <v>383</v>
      </c>
      <c r="B55" s="78" t="s">
        <v>186</v>
      </c>
      <c r="C55" s="9" t="s">
        <v>30</v>
      </c>
      <c r="D55" s="1023"/>
      <c r="E55" s="1017"/>
      <c r="F55" s="1001"/>
      <c r="G55" s="199">
        <v>2024</v>
      </c>
      <c r="H55" s="851" t="s">
        <v>188</v>
      </c>
      <c r="I55" s="257" t="s">
        <v>148</v>
      </c>
      <c r="J55" s="56">
        <v>11</v>
      </c>
      <c r="K55" s="57" t="s">
        <v>189</v>
      </c>
      <c r="L55" s="57" t="s">
        <v>150</v>
      </c>
      <c r="M55" s="316" t="s">
        <v>320</v>
      </c>
      <c r="N55" s="303">
        <v>3.35</v>
      </c>
      <c r="O55" s="81">
        <v>3.35</v>
      </c>
      <c r="P55" s="81">
        <v>3</v>
      </c>
      <c r="Q55" s="81">
        <v>3</v>
      </c>
      <c r="R55" s="81">
        <v>3.4</v>
      </c>
      <c r="S55" s="81">
        <v>3.4</v>
      </c>
      <c r="T55" s="81">
        <v>3.4</v>
      </c>
      <c r="U55" s="81">
        <v>3.4</v>
      </c>
      <c r="V55" s="81">
        <v>3.4</v>
      </c>
      <c r="W55" s="81">
        <v>3.4</v>
      </c>
      <c r="X55" s="81">
        <v>3.4</v>
      </c>
      <c r="Y55" s="81">
        <v>3.4</v>
      </c>
      <c r="Z55" s="195">
        <v>0.61</v>
      </c>
      <c r="AA55" s="377">
        <v>0.61</v>
      </c>
      <c r="AB55" s="92">
        <v>0.26</v>
      </c>
      <c r="AC55" s="92">
        <v>0</v>
      </c>
      <c r="AD55" s="92">
        <v>0.25</v>
      </c>
      <c r="AE55" s="92">
        <v>0.25</v>
      </c>
      <c r="AF55" s="92">
        <v>0.25</v>
      </c>
      <c r="AG55" s="92">
        <v>0.25</v>
      </c>
      <c r="AH55" s="92">
        <v>0.25</v>
      </c>
      <c r="AI55" s="92">
        <v>0.25</v>
      </c>
      <c r="AJ55" s="92">
        <v>0.25</v>
      </c>
      <c r="AK55" s="92">
        <v>0.25</v>
      </c>
      <c r="AL55" s="518">
        <v>0</v>
      </c>
      <c r="AM55" s="494">
        <f t="shared" si="0"/>
        <v>0</v>
      </c>
      <c r="AN55" s="553">
        <v>0</v>
      </c>
      <c r="AO55" s="494">
        <f t="shared" si="1"/>
        <v>0</v>
      </c>
      <c r="AP55" s="554">
        <v>0</v>
      </c>
      <c r="AQ55" s="620">
        <f t="shared" si="2"/>
        <v>0</v>
      </c>
      <c r="AR55" s="510">
        <v>0</v>
      </c>
      <c r="AS55" s="775">
        <f t="shared" si="3"/>
        <v>0</v>
      </c>
      <c r="AT55" s="554">
        <v>0</v>
      </c>
      <c r="AU55" s="494">
        <f t="shared" si="4"/>
        <v>0</v>
      </c>
      <c r="AV55" s="58">
        <v>0</v>
      </c>
      <c r="AW55" s="355">
        <f t="shared" si="5"/>
        <v>0</v>
      </c>
      <c r="AX55" s="123">
        <v>0</v>
      </c>
      <c r="AY55" s="127">
        <f t="shared" si="6"/>
        <v>0</v>
      </c>
      <c r="AZ55" s="58">
        <v>0</v>
      </c>
      <c r="BA55" s="127">
        <f t="shared" si="7"/>
        <v>0</v>
      </c>
      <c r="BB55" s="125">
        <v>0</v>
      </c>
      <c r="BC55" s="356">
        <f t="shared" si="8"/>
        <v>0</v>
      </c>
      <c r="BD55" s="123">
        <v>0</v>
      </c>
      <c r="BE55" s="127">
        <f t="shared" si="9"/>
        <v>0</v>
      </c>
      <c r="BF55" s="58">
        <v>0</v>
      </c>
      <c r="BG55" s="127">
        <f t="shared" si="10"/>
        <v>0</v>
      </c>
      <c r="BH55" s="125">
        <v>0</v>
      </c>
      <c r="BI55" s="442">
        <f t="shared" si="11"/>
        <v>0</v>
      </c>
      <c r="BJ55" s="245" t="s">
        <v>548</v>
      </c>
      <c r="BK55" s="78"/>
      <c r="BL55" s="78" t="s">
        <v>92</v>
      </c>
      <c r="BM55" s="9" t="s">
        <v>289</v>
      </c>
    </row>
    <row r="56" spans="1:65">
      <c r="A56" s="197" t="s">
        <v>383</v>
      </c>
      <c r="B56" s="78" t="s">
        <v>186</v>
      </c>
      <c r="C56" s="9" t="s">
        <v>30</v>
      </c>
      <c r="D56" s="1023"/>
      <c r="E56" s="1017"/>
      <c r="F56" s="1001"/>
      <c r="G56" s="199">
        <v>2025</v>
      </c>
      <c r="H56" s="851" t="s">
        <v>190</v>
      </c>
      <c r="I56" s="257" t="s">
        <v>148</v>
      </c>
      <c r="J56" s="56">
        <v>11</v>
      </c>
      <c r="K56" s="57" t="s">
        <v>192</v>
      </c>
      <c r="L56" s="57" t="s">
        <v>191</v>
      </c>
      <c r="M56" s="169" t="s">
        <v>396</v>
      </c>
      <c r="N56" s="303">
        <v>3</v>
      </c>
      <c r="O56" s="81">
        <v>3</v>
      </c>
      <c r="P56" s="81">
        <v>3</v>
      </c>
      <c r="Q56" s="81">
        <v>3</v>
      </c>
      <c r="R56" s="81">
        <v>3.4</v>
      </c>
      <c r="S56" s="81">
        <v>3.4</v>
      </c>
      <c r="T56" s="81">
        <v>3.4</v>
      </c>
      <c r="U56" s="81">
        <v>3.4</v>
      </c>
      <c r="V56" s="81">
        <v>3.4</v>
      </c>
      <c r="W56" s="81">
        <v>3.4</v>
      </c>
      <c r="X56" s="81">
        <v>3.4</v>
      </c>
      <c r="Y56" s="81">
        <v>3.4</v>
      </c>
      <c r="Z56" s="195">
        <v>0.26</v>
      </c>
      <c r="AA56" s="96">
        <v>0.26</v>
      </c>
      <c r="AB56" s="92">
        <v>0.26</v>
      </c>
      <c r="AC56" s="92">
        <v>0</v>
      </c>
      <c r="AD56" s="92">
        <v>0.25</v>
      </c>
      <c r="AE56" s="92">
        <v>0.25</v>
      </c>
      <c r="AF56" s="92">
        <v>0.25</v>
      </c>
      <c r="AG56" s="92">
        <v>0.25</v>
      </c>
      <c r="AH56" s="92">
        <v>0.25</v>
      </c>
      <c r="AI56" s="92">
        <v>0.25</v>
      </c>
      <c r="AJ56" s="92">
        <v>0.25</v>
      </c>
      <c r="AK56" s="674">
        <v>0.25</v>
      </c>
      <c r="AL56" s="518">
        <v>830</v>
      </c>
      <c r="AM56" s="496">
        <f t="shared" ref="AM56:AM57" si="84">Z56*AL56</f>
        <v>215.8</v>
      </c>
      <c r="AN56" s="565">
        <v>3832</v>
      </c>
      <c r="AO56" s="496">
        <f t="shared" ref="AO56:AO57" si="85">AA56*AN56</f>
        <v>996.32</v>
      </c>
      <c r="AP56" s="554">
        <v>40</v>
      </c>
      <c r="AQ56" s="621">
        <f t="shared" ref="AQ56:AQ57" si="86">AB56*AP56</f>
        <v>10.4</v>
      </c>
      <c r="AR56" s="510">
        <v>4031</v>
      </c>
      <c r="AS56" s="777">
        <f t="shared" ref="AS56:AS57" si="87">AC56*AR56</f>
        <v>0</v>
      </c>
      <c r="AT56" s="554">
        <v>8878</v>
      </c>
      <c r="AU56" s="496">
        <f t="shared" ref="AU56:AU57" si="88">AD56*AT56</f>
        <v>2219.5</v>
      </c>
      <c r="AV56" s="58">
        <v>3068</v>
      </c>
      <c r="AW56" s="390">
        <f t="shared" ref="AW56:AW57" si="89">AE56*AV56</f>
        <v>767</v>
      </c>
      <c r="AX56" s="123">
        <v>4034</v>
      </c>
      <c r="AY56" s="389">
        <f t="shared" ref="AY56:AY57" si="90">AF56*AX56</f>
        <v>1008.5</v>
      </c>
      <c r="AZ56" s="58">
        <v>4094</v>
      </c>
      <c r="BA56" s="389">
        <f t="shared" ref="BA56:BA57" si="91">AG56*AZ56</f>
        <v>1023.5</v>
      </c>
      <c r="BB56" s="125">
        <v>60673.5</v>
      </c>
      <c r="BC56" s="391">
        <f t="shared" ref="BC56:BC57" si="92">AH56*BB56</f>
        <v>15168.375</v>
      </c>
      <c r="BD56" s="123">
        <v>59966.5</v>
      </c>
      <c r="BE56" s="389">
        <f t="shared" ref="BE56:BE57" si="93">AI56*BD56</f>
        <v>14991.625</v>
      </c>
      <c r="BF56" s="58">
        <v>59967</v>
      </c>
      <c r="BG56" s="389">
        <f t="shared" ref="BG56:BG57" si="94">AJ56*BF56</f>
        <v>14991.75</v>
      </c>
      <c r="BH56" s="125">
        <v>29983.5</v>
      </c>
      <c r="BI56" s="443">
        <f t="shared" ref="BI56:BI57" si="95">AK56*BH56</f>
        <v>7495.875</v>
      </c>
      <c r="BJ56" s="177" t="s">
        <v>384</v>
      </c>
      <c r="BK56" s="78"/>
      <c r="BL56" s="78" t="s">
        <v>92</v>
      </c>
      <c r="BM56" s="9" t="s">
        <v>409</v>
      </c>
    </row>
    <row r="57" spans="1:65">
      <c r="A57" s="197" t="s">
        <v>383</v>
      </c>
      <c r="B57" s="78" t="s">
        <v>186</v>
      </c>
      <c r="C57" s="9" t="s">
        <v>30</v>
      </c>
      <c r="D57" s="1023"/>
      <c r="E57" s="1017"/>
      <c r="F57" s="1001"/>
      <c r="G57" s="199">
        <v>2025</v>
      </c>
      <c r="H57" s="851" t="s">
        <v>190</v>
      </c>
      <c r="I57" s="257" t="s">
        <v>148</v>
      </c>
      <c r="J57" s="56">
        <v>11</v>
      </c>
      <c r="K57" s="57" t="s">
        <v>192</v>
      </c>
      <c r="L57" s="57" t="s">
        <v>191</v>
      </c>
      <c r="M57" s="169" t="s">
        <v>322</v>
      </c>
      <c r="N57" s="303">
        <v>3</v>
      </c>
      <c r="O57" s="81">
        <v>3</v>
      </c>
      <c r="P57" s="81">
        <v>3</v>
      </c>
      <c r="Q57" s="81">
        <v>3</v>
      </c>
      <c r="R57" s="81">
        <v>3.4</v>
      </c>
      <c r="S57" s="81">
        <v>3.4</v>
      </c>
      <c r="T57" s="81">
        <v>3.4</v>
      </c>
      <c r="U57" s="81">
        <v>3.4</v>
      </c>
      <c r="V57" s="81">
        <v>3.4</v>
      </c>
      <c r="W57" s="81">
        <v>3.4</v>
      </c>
      <c r="X57" s="81">
        <v>3.4</v>
      </c>
      <c r="Y57" s="81">
        <v>3.4</v>
      </c>
      <c r="Z57" s="195">
        <v>0.26</v>
      </c>
      <c r="AA57" s="96">
        <v>0.26</v>
      </c>
      <c r="AB57" s="92">
        <v>0.26</v>
      </c>
      <c r="AC57" s="92">
        <v>0</v>
      </c>
      <c r="AD57" s="92">
        <v>0.25</v>
      </c>
      <c r="AE57" s="92">
        <v>0.25</v>
      </c>
      <c r="AF57" s="92">
        <v>0.25</v>
      </c>
      <c r="AG57" s="92">
        <v>0.25</v>
      </c>
      <c r="AH57" s="92">
        <v>0.25</v>
      </c>
      <c r="AI57" s="92">
        <v>0.25</v>
      </c>
      <c r="AJ57" s="92">
        <v>0.25</v>
      </c>
      <c r="AK57" s="92">
        <v>0.25</v>
      </c>
      <c r="AL57" s="518">
        <v>13592</v>
      </c>
      <c r="AM57" s="494">
        <f t="shared" si="84"/>
        <v>3533.92</v>
      </c>
      <c r="AN57" s="565">
        <v>7265</v>
      </c>
      <c r="AO57" s="494">
        <f t="shared" si="85"/>
        <v>1888.9</v>
      </c>
      <c r="AP57" s="554">
        <v>29066</v>
      </c>
      <c r="AQ57" s="620">
        <f t="shared" si="86"/>
        <v>7557.16</v>
      </c>
      <c r="AR57" s="510">
        <v>36825</v>
      </c>
      <c r="AS57" s="775">
        <f t="shared" si="87"/>
        <v>0</v>
      </c>
      <c r="AT57" s="900">
        <v>40806</v>
      </c>
      <c r="AU57" s="494">
        <f t="shared" si="88"/>
        <v>10201.5</v>
      </c>
      <c r="AV57" s="58">
        <v>26889</v>
      </c>
      <c r="AW57" s="355">
        <f t="shared" si="89"/>
        <v>6722.25</v>
      </c>
      <c r="AX57" s="123">
        <v>28061</v>
      </c>
      <c r="AY57" s="127">
        <f t="shared" si="90"/>
        <v>7015.25</v>
      </c>
      <c r="AZ57" s="58">
        <v>11736</v>
      </c>
      <c r="BA57" s="127">
        <f t="shared" si="91"/>
        <v>2934</v>
      </c>
      <c r="BB57" s="125">
        <v>0</v>
      </c>
      <c r="BC57" s="356">
        <f t="shared" si="92"/>
        <v>0</v>
      </c>
      <c r="BD57" s="123">
        <v>0</v>
      </c>
      <c r="BE57" s="127">
        <f t="shared" si="93"/>
        <v>0</v>
      </c>
      <c r="BF57" s="58">
        <v>0</v>
      </c>
      <c r="BG57" s="127">
        <f t="shared" si="94"/>
        <v>0</v>
      </c>
      <c r="BH57" s="125">
        <v>0</v>
      </c>
      <c r="BI57" s="442">
        <f t="shared" si="95"/>
        <v>0</v>
      </c>
      <c r="BJ57" s="177" t="s">
        <v>385</v>
      </c>
      <c r="BK57" s="78"/>
      <c r="BL57" s="78" t="s">
        <v>92</v>
      </c>
      <c r="BM57" s="9" t="s">
        <v>290</v>
      </c>
    </row>
    <row r="58" spans="1:65">
      <c r="A58" s="197" t="s">
        <v>383</v>
      </c>
      <c r="B58" s="78" t="s">
        <v>186</v>
      </c>
      <c r="C58" s="9" t="s">
        <v>30</v>
      </c>
      <c r="D58" s="1023"/>
      <c r="E58" s="1017"/>
      <c r="F58" s="1001"/>
      <c r="G58" s="199">
        <v>2026</v>
      </c>
      <c r="H58" s="851" t="s">
        <v>190</v>
      </c>
      <c r="I58" s="257" t="s">
        <v>148</v>
      </c>
      <c r="J58" s="56">
        <v>11</v>
      </c>
      <c r="K58" s="57" t="s">
        <v>192</v>
      </c>
      <c r="L58" s="57" t="s">
        <v>658</v>
      </c>
      <c r="M58" s="169" t="s">
        <v>656</v>
      </c>
      <c r="N58" s="303">
        <v>3</v>
      </c>
      <c r="O58" s="81">
        <v>3</v>
      </c>
      <c r="P58" s="81">
        <v>3</v>
      </c>
      <c r="Q58" s="81">
        <v>3</v>
      </c>
      <c r="R58" s="81">
        <v>3.4</v>
      </c>
      <c r="S58" s="81">
        <v>3.4</v>
      </c>
      <c r="T58" s="81">
        <v>3.4</v>
      </c>
      <c r="U58" s="81">
        <v>3.4</v>
      </c>
      <c r="V58" s="81">
        <v>3.4</v>
      </c>
      <c r="W58" s="81">
        <v>3.4</v>
      </c>
      <c r="X58" s="81">
        <v>3.4</v>
      </c>
      <c r="Y58" s="81">
        <v>3.4</v>
      </c>
      <c r="Z58" s="195">
        <v>0.26</v>
      </c>
      <c r="AA58" s="96">
        <v>0.26</v>
      </c>
      <c r="AB58" s="92">
        <v>0.26</v>
      </c>
      <c r="AC58" s="92">
        <v>0</v>
      </c>
      <c r="AD58" s="92">
        <v>0.25</v>
      </c>
      <c r="AE58" s="92">
        <v>0.25</v>
      </c>
      <c r="AF58" s="92">
        <v>0.25</v>
      </c>
      <c r="AG58" s="92">
        <v>0.25</v>
      </c>
      <c r="AH58" s="92">
        <v>0.25</v>
      </c>
      <c r="AI58" s="92">
        <v>0.25</v>
      </c>
      <c r="AJ58" s="92">
        <v>0.25</v>
      </c>
      <c r="AK58" s="674">
        <v>0.25</v>
      </c>
      <c r="AL58" s="518">
        <v>0</v>
      </c>
      <c r="AM58" s="496">
        <f t="shared" si="0"/>
        <v>0</v>
      </c>
      <c r="AN58" s="565">
        <v>0</v>
      </c>
      <c r="AO58" s="496">
        <f t="shared" si="1"/>
        <v>0</v>
      </c>
      <c r="AP58" s="554">
        <v>0</v>
      </c>
      <c r="AQ58" s="621">
        <f t="shared" si="2"/>
        <v>0</v>
      </c>
      <c r="AR58" s="510">
        <v>75045</v>
      </c>
      <c r="AS58" s="777">
        <f t="shared" si="3"/>
        <v>0</v>
      </c>
      <c r="AT58" s="554">
        <v>57509</v>
      </c>
      <c r="AU58" s="496">
        <f t="shared" si="4"/>
        <v>14377.25</v>
      </c>
      <c r="AV58" s="58">
        <v>58144</v>
      </c>
      <c r="AW58" s="390">
        <f t="shared" si="5"/>
        <v>14536</v>
      </c>
      <c r="AX58" s="123">
        <v>70000</v>
      </c>
      <c r="AY58" s="389">
        <f t="shared" si="6"/>
        <v>17500</v>
      </c>
      <c r="AZ58" s="58">
        <v>17580</v>
      </c>
      <c r="BA58" s="389">
        <f t="shared" si="7"/>
        <v>4395</v>
      </c>
      <c r="BB58" s="125">
        <v>0</v>
      </c>
      <c r="BC58" s="391">
        <f t="shared" si="8"/>
        <v>0</v>
      </c>
      <c r="BD58" s="123">
        <v>0</v>
      </c>
      <c r="BE58" s="389">
        <f t="shared" si="9"/>
        <v>0</v>
      </c>
      <c r="BF58" s="58">
        <v>0</v>
      </c>
      <c r="BG58" s="389">
        <f t="shared" si="10"/>
        <v>0</v>
      </c>
      <c r="BH58" s="125">
        <v>0</v>
      </c>
      <c r="BI58" s="443">
        <f t="shared" si="11"/>
        <v>0</v>
      </c>
      <c r="BJ58" s="729" t="s">
        <v>654</v>
      </c>
      <c r="BK58" s="78"/>
      <c r="BL58" s="78" t="s">
        <v>92</v>
      </c>
      <c r="BM58" s="727" t="s">
        <v>409</v>
      </c>
    </row>
    <row r="59" spans="1:65">
      <c r="A59" s="197" t="s">
        <v>383</v>
      </c>
      <c r="B59" s="78" t="s">
        <v>186</v>
      </c>
      <c r="C59" s="9" t="s">
        <v>30</v>
      </c>
      <c r="D59" s="1023"/>
      <c r="E59" s="1017"/>
      <c r="F59" s="1001"/>
      <c r="G59" s="199">
        <v>2026</v>
      </c>
      <c r="H59" s="851" t="s">
        <v>190</v>
      </c>
      <c r="I59" s="257" t="s">
        <v>148</v>
      </c>
      <c r="J59" s="56">
        <v>11</v>
      </c>
      <c r="K59" s="57" t="s">
        <v>192</v>
      </c>
      <c r="L59" s="57" t="s">
        <v>658</v>
      </c>
      <c r="M59" s="169" t="s">
        <v>657</v>
      </c>
      <c r="N59" s="303">
        <v>3</v>
      </c>
      <c r="O59" s="81">
        <v>3</v>
      </c>
      <c r="P59" s="81">
        <v>3</v>
      </c>
      <c r="Q59" s="81">
        <v>3</v>
      </c>
      <c r="R59" s="81">
        <v>3.4</v>
      </c>
      <c r="S59" s="81">
        <v>3.4</v>
      </c>
      <c r="T59" s="81">
        <v>3.4</v>
      </c>
      <c r="U59" s="81">
        <v>3.4</v>
      </c>
      <c r="V59" s="81">
        <v>3.4</v>
      </c>
      <c r="W59" s="81">
        <v>3.4</v>
      </c>
      <c r="X59" s="81">
        <v>3.4</v>
      </c>
      <c r="Y59" s="81">
        <v>3.4</v>
      </c>
      <c r="Z59" s="195">
        <v>0.26</v>
      </c>
      <c r="AA59" s="96">
        <v>0.26</v>
      </c>
      <c r="AB59" s="92">
        <v>0.26</v>
      </c>
      <c r="AC59" s="92">
        <v>0</v>
      </c>
      <c r="AD59" s="92">
        <v>0.25</v>
      </c>
      <c r="AE59" s="92">
        <v>0.25</v>
      </c>
      <c r="AF59" s="92">
        <v>0.25</v>
      </c>
      <c r="AG59" s="92">
        <v>0.25</v>
      </c>
      <c r="AH59" s="92">
        <v>0.25</v>
      </c>
      <c r="AI59" s="92">
        <v>0.25</v>
      </c>
      <c r="AJ59" s="92">
        <v>0.25</v>
      </c>
      <c r="AK59" s="92">
        <v>0.25</v>
      </c>
      <c r="AL59" s="518">
        <v>0</v>
      </c>
      <c r="AM59" s="494">
        <f t="shared" si="0"/>
        <v>0</v>
      </c>
      <c r="AN59" s="565">
        <v>0</v>
      </c>
      <c r="AO59" s="494">
        <f t="shared" si="1"/>
        <v>0</v>
      </c>
      <c r="AP59" s="554">
        <v>0</v>
      </c>
      <c r="AQ59" s="620">
        <f t="shared" si="2"/>
        <v>0</v>
      </c>
      <c r="AR59" s="510">
        <v>5000</v>
      </c>
      <c r="AS59" s="775">
        <f t="shared" si="3"/>
        <v>0</v>
      </c>
      <c r="AT59" s="900">
        <v>3600</v>
      </c>
      <c r="AU59" s="494">
        <f t="shared" si="4"/>
        <v>900</v>
      </c>
      <c r="AV59" s="58">
        <v>9169</v>
      </c>
      <c r="AW59" s="355">
        <f t="shared" si="5"/>
        <v>2292.25</v>
      </c>
      <c r="AX59" s="123">
        <v>18666</v>
      </c>
      <c r="AY59" s="127">
        <f t="shared" si="6"/>
        <v>4666.5</v>
      </c>
      <c r="AZ59" s="58">
        <v>7624</v>
      </c>
      <c r="BA59" s="127">
        <f t="shared" si="7"/>
        <v>1906</v>
      </c>
      <c r="BB59" s="125">
        <v>0</v>
      </c>
      <c r="BC59" s="356">
        <f t="shared" si="8"/>
        <v>0</v>
      </c>
      <c r="BD59" s="123">
        <v>0</v>
      </c>
      <c r="BE59" s="127">
        <f t="shared" si="9"/>
        <v>0</v>
      </c>
      <c r="BF59" s="58">
        <v>0</v>
      </c>
      <c r="BG59" s="127">
        <f t="shared" si="10"/>
        <v>0</v>
      </c>
      <c r="BH59" s="125">
        <v>0</v>
      </c>
      <c r="BI59" s="442">
        <f t="shared" si="11"/>
        <v>0</v>
      </c>
      <c r="BJ59" s="729" t="s">
        <v>655</v>
      </c>
      <c r="BK59" s="78"/>
      <c r="BL59" s="78" t="s">
        <v>92</v>
      </c>
      <c r="BM59" s="727" t="s">
        <v>290</v>
      </c>
    </row>
    <row r="60" spans="1:65">
      <c r="A60" s="197" t="s">
        <v>383</v>
      </c>
      <c r="B60" s="78" t="s">
        <v>186</v>
      </c>
      <c r="C60" s="9" t="s">
        <v>30</v>
      </c>
      <c r="D60" s="1023"/>
      <c r="E60" s="1017"/>
      <c r="F60" s="1001"/>
      <c r="G60" s="226">
        <v>2025</v>
      </c>
      <c r="H60" s="852" t="s">
        <v>193</v>
      </c>
      <c r="I60" s="260" t="s">
        <v>148</v>
      </c>
      <c r="J60" s="108">
        <v>11</v>
      </c>
      <c r="K60" s="107" t="s">
        <v>192</v>
      </c>
      <c r="L60" s="107" t="s">
        <v>150</v>
      </c>
      <c r="M60" s="167" t="s">
        <v>363</v>
      </c>
      <c r="N60" s="193">
        <v>3</v>
      </c>
      <c r="O60" s="82">
        <v>3</v>
      </c>
      <c r="P60" s="82">
        <v>3</v>
      </c>
      <c r="Q60" s="82">
        <v>3</v>
      </c>
      <c r="R60" s="81">
        <v>3.4</v>
      </c>
      <c r="S60" s="81">
        <v>3.4</v>
      </c>
      <c r="T60" s="81">
        <v>3.4</v>
      </c>
      <c r="U60" s="81">
        <v>3.4</v>
      </c>
      <c r="V60" s="81">
        <v>3.4</v>
      </c>
      <c r="W60" s="81">
        <v>3.4</v>
      </c>
      <c r="X60" s="81">
        <v>3.4</v>
      </c>
      <c r="Y60" s="81">
        <v>3.4</v>
      </c>
      <c r="Z60" s="195">
        <v>0.26</v>
      </c>
      <c r="AA60" s="96">
        <v>0.26</v>
      </c>
      <c r="AB60" s="92">
        <v>0.26</v>
      </c>
      <c r="AC60" s="92">
        <v>0</v>
      </c>
      <c r="AD60" s="92">
        <v>0.25</v>
      </c>
      <c r="AE60" s="92">
        <v>0.25</v>
      </c>
      <c r="AF60" s="92">
        <v>0.25</v>
      </c>
      <c r="AG60" s="92">
        <v>0.25</v>
      </c>
      <c r="AH60" s="92">
        <v>0.25</v>
      </c>
      <c r="AI60" s="92">
        <v>0.25</v>
      </c>
      <c r="AJ60" s="92">
        <v>0.25</v>
      </c>
      <c r="AK60" s="92">
        <v>0.25</v>
      </c>
      <c r="AL60" s="515">
        <v>1760</v>
      </c>
      <c r="AM60" s="494">
        <f t="shared" si="0"/>
        <v>457.6</v>
      </c>
      <c r="AN60" s="565">
        <v>1200</v>
      </c>
      <c r="AO60" s="494">
        <f t="shared" si="1"/>
        <v>312</v>
      </c>
      <c r="AP60" s="563">
        <v>120</v>
      </c>
      <c r="AQ60" s="620">
        <f t="shared" si="2"/>
        <v>31.200000000000003</v>
      </c>
      <c r="AR60" s="511">
        <v>0</v>
      </c>
      <c r="AS60" s="775">
        <f t="shared" si="3"/>
        <v>0</v>
      </c>
      <c r="AT60" s="563">
        <v>6600</v>
      </c>
      <c r="AU60" s="494">
        <f t="shared" si="4"/>
        <v>1650</v>
      </c>
      <c r="AV60" s="118">
        <v>14</v>
      </c>
      <c r="AW60" s="355">
        <f t="shared" si="5"/>
        <v>3.5</v>
      </c>
      <c r="AX60" s="116">
        <v>11</v>
      </c>
      <c r="AY60" s="127">
        <f t="shared" si="6"/>
        <v>2.75</v>
      </c>
      <c r="AZ60" s="118">
        <v>254</v>
      </c>
      <c r="BA60" s="127">
        <f t="shared" si="7"/>
        <v>63.5</v>
      </c>
      <c r="BB60" s="406">
        <v>2100</v>
      </c>
      <c r="BC60" s="356">
        <f t="shared" si="8"/>
        <v>525</v>
      </c>
      <c r="BD60" s="116">
        <v>1440.6</v>
      </c>
      <c r="BE60" s="127">
        <f t="shared" si="9"/>
        <v>360.15</v>
      </c>
      <c r="BF60" s="118">
        <v>1440</v>
      </c>
      <c r="BG60" s="127">
        <f t="shared" si="10"/>
        <v>360</v>
      </c>
      <c r="BH60" s="118">
        <v>720</v>
      </c>
      <c r="BI60" s="442">
        <f t="shared" si="11"/>
        <v>180</v>
      </c>
      <c r="BJ60" s="177" t="s">
        <v>549</v>
      </c>
      <c r="BK60" s="78"/>
      <c r="BL60" s="78" t="s">
        <v>92</v>
      </c>
      <c r="BM60" s="9" t="s">
        <v>291</v>
      </c>
    </row>
    <row r="61" spans="1:65" ht="15" thickBot="1">
      <c r="A61" s="351" t="s">
        <v>383</v>
      </c>
      <c r="B61" s="78" t="s">
        <v>186</v>
      </c>
      <c r="C61" s="10" t="s">
        <v>30</v>
      </c>
      <c r="D61" s="1027"/>
      <c r="E61" s="1018"/>
      <c r="F61" s="1002"/>
      <c r="G61" s="203"/>
      <c r="H61" s="853"/>
      <c r="I61" s="267"/>
      <c r="J61" s="87"/>
      <c r="K61" s="89"/>
      <c r="L61" s="89"/>
      <c r="M61" s="163"/>
      <c r="N61" s="250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253"/>
      <c r="AA61" s="377"/>
      <c r="AB61" s="378"/>
      <c r="AC61" s="378"/>
      <c r="AD61" s="378"/>
      <c r="AE61" s="378"/>
      <c r="AF61" s="378"/>
      <c r="AG61" s="378"/>
      <c r="AH61" s="376"/>
      <c r="AI61" s="378"/>
      <c r="AJ61" s="378"/>
      <c r="AK61" s="714"/>
      <c r="AL61" s="506">
        <v>0</v>
      </c>
      <c r="AM61" s="507">
        <f t="shared" si="0"/>
        <v>0</v>
      </c>
      <c r="AN61" s="566">
        <v>0</v>
      </c>
      <c r="AO61" s="507">
        <f t="shared" si="1"/>
        <v>0</v>
      </c>
      <c r="AP61" s="551">
        <v>0</v>
      </c>
      <c r="AQ61" s="619">
        <f t="shared" si="2"/>
        <v>0</v>
      </c>
      <c r="AR61" s="500"/>
      <c r="AS61" s="781">
        <f t="shared" si="3"/>
        <v>0</v>
      </c>
      <c r="AT61" s="551">
        <v>0</v>
      </c>
      <c r="AU61" s="507">
        <f t="shared" si="4"/>
        <v>0</v>
      </c>
      <c r="AV61" s="132">
        <v>0</v>
      </c>
      <c r="AW61" s="359">
        <f t="shared" si="5"/>
        <v>0</v>
      </c>
      <c r="AX61" s="130">
        <v>0</v>
      </c>
      <c r="AY61" s="131">
        <f t="shared" si="6"/>
        <v>0</v>
      </c>
      <c r="AZ61" s="132">
        <v>0</v>
      </c>
      <c r="BA61" s="131">
        <f t="shared" si="7"/>
        <v>0</v>
      </c>
      <c r="BB61" s="427">
        <v>0</v>
      </c>
      <c r="BC61" s="365">
        <f t="shared" si="8"/>
        <v>0</v>
      </c>
      <c r="BD61" s="130">
        <v>0</v>
      </c>
      <c r="BE61" s="131">
        <f t="shared" si="9"/>
        <v>0</v>
      </c>
      <c r="BF61" s="132">
        <v>0</v>
      </c>
      <c r="BG61" s="131">
        <f t="shared" si="10"/>
        <v>0</v>
      </c>
      <c r="BH61" s="133">
        <v>0</v>
      </c>
      <c r="BI61" s="444">
        <f t="shared" si="11"/>
        <v>0</v>
      </c>
      <c r="BJ61" s="177"/>
      <c r="BK61" s="78"/>
      <c r="BL61" s="78"/>
      <c r="BM61" s="9"/>
    </row>
    <row r="62" spans="1:65" ht="17" customHeight="1" thickBot="1">
      <c r="A62" s="350" t="s">
        <v>383</v>
      </c>
      <c r="B62" s="22" t="s">
        <v>610</v>
      </c>
      <c r="C62" s="85" t="s">
        <v>30</v>
      </c>
      <c r="D62" s="1016" t="s">
        <v>145</v>
      </c>
      <c r="E62" s="1016" t="s">
        <v>194</v>
      </c>
      <c r="F62" s="1009" t="s">
        <v>195</v>
      </c>
      <c r="G62" s="223" t="s">
        <v>196</v>
      </c>
      <c r="H62" s="854" t="s">
        <v>197</v>
      </c>
      <c r="I62" s="272" t="s">
        <v>148</v>
      </c>
      <c r="J62" s="71" t="s">
        <v>198</v>
      </c>
      <c r="K62" s="70" t="s">
        <v>199</v>
      </c>
      <c r="L62" s="70" t="s">
        <v>200</v>
      </c>
      <c r="M62" s="344" t="s">
        <v>347</v>
      </c>
      <c r="N62" s="80">
        <v>5.63</v>
      </c>
      <c r="O62" s="80">
        <v>5.63</v>
      </c>
      <c r="P62" s="80">
        <v>5.63</v>
      </c>
      <c r="Q62" s="80">
        <v>5.63</v>
      </c>
      <c r="R62" s="811">
        <v>5.63</v>
      </c>
      <c r="S62" s="811">
        <v>5.63</v>
      </c>
      <c r="T62" s="811">
        <v>5.63</v>
      </c>
      <c r="U62" s="811">
        <v>5.63</v>
      </c>
      <c r="V62" s="811">
        <v>5.63</v>
      </c>
      <c r="W62" s="811">
        <v>5.63</v>
      </c>
      <c r="X62" s="811">
        <v>5.63</v>
      </c>
      <c r="Y62" s="811">
        <v>5.63</v>
      </c>
      <c r="Z62" s="336">
        <v>0.21</v>
      </c>
      <c r="AA62" s="95">
        <v>0.21</v>
      </c>
      <c r="AB62" s="91">
        <v>0.21</v>
      </c>
      <c r="AC62" s="91">
        <v>0.21</v>
      </c>
      <c r="AD62" s="91">
        <v>0.21</v>
      </c>
      <c r="AE62" s="91">
        <v>0.21</v>
      </c>
      <c r="AF62" s="91">
        <v>0.21</v>
      </c>
      <c r="AG62" s="91">
        <v>0.21</v>
      </c>
      <c r="AH62" s="91">
        <v>0.21</v>
      </c>
      <c r="AI62" s="91">
        <v>0.21</v>
      </c>
      <c r="AJ62" s="91">
        <v>0.21</v>
      </c>
      <c r="AK62" s="717">
        <v>0.21</v>
      </c>
      <c r="AL62" s="543">
        <v>0</v>
      </c>
      <c r="AM62" s="492">
        <f t="shared" si="0"/>
        <v>0</v>
      </c>
      <c r="AN62" s="567">
        <v>0</v>
      </c>
      <c r="AO62" s="492">
        <f t="shared" si="1"/>
        <v>0</v>
      </c>
      <c r="AP62" s="567">
        <v>0</v>
      </c>
      <c r="AQ62" s="651">
        <f t="shared" si="2"/>
        <v>0</v>
      </c>
      <c r="AR62" s="784">
        <v>0</v>
      </c>
      <c r="AS62" s="774">
        <f t="shared" si="3"/>
        <v>0</v>
      </c>
      <c r="AT62" s="990">
        <v>0</v>
      </c>
      <c r="AU62" s="492">
        <f t="shared" si="4"/>
        <v>0</v>
      </c>
      <c r="AV62" s="113">
        <v>0</v>
      </c>
      <c r="AW62" s="424">
        <f t="shared" si="5"/>
        <v>0</v>
      </c>
      <c r="AX62" s="184">
        <v>0</v>
      </c>
      <c r="AY62" s="423">
        <f t="shared" si="6"/>
        <v>0</v>
      </c>
      <c r="AZ62" s="113">
        <v>0</v>
      </c>
      <c r="BA62" s="423">
        <f t="shared" si="7"/>
        <v>0</v>
      </c>
      <c r="BB62" s="428">
        <v>0</v>
      </c>
      <c r="BC62" s="426">
        <f t="shared" si="8"/>
        <v>0</v>
      </c>
      <c r="BD62" s="184">
        <v>0</v>
      </c>
      <c r="BE62" s="423">
        <f t="shared" si="9"/>
        <v>0</v>
      </c>
      <c r="BF62" s="113">
        <v>0</v>
      </c>
      <c r="BG62" s="423">
        <f t="shared" si="10"/>
        <v>0</v>
      </c>
      <c r="BH62" s="113">
        <v>0</v>
      </c>
      <c r="BI62" s="458">
        <f t="shared" si="11"/>
        <v>0</v>
      </c>
      <c r="BJ62" s="539" t="s">
        <v>550</v>
      </c>
      <c r="BK62" s="77"/>
      <c r="BL62" s="77" t="s">
        <v>201</v>
      </c>
      <c r="BM62" s="22" t="s">
        <v>339</v>
      </c>
    </row>
    <row r="63" spans="1:65" ht="17" customHeight="1">
      <c r="A63" s="197" t="s">
        <v>383</v>
      </c>
      <c r="B63" s="9" t="s">
        <v>611</v>
      </c>
      <c r="C63" s="1" t="s">
        <v>30</v>
      </c>
      <c r="D63" s="1017"/>
      <c r="E63" s="1017"/>
      <c r="F63" s="1001"/>
      <c r="G63" s="175" t="s">
        <v>203</v>
      </c>
      <c r="H63" s="855" t="s">
        <v>205</v>
      </c>
      <c r="I63" s="258" t="s">
        <v>148</v>
      </c>
      <c r="J63" s="264" t="s">
        <v>198</v>
      </c>
      <c r="K63" s="120" t="s">
        <v>199</v>
      </c>
      <c r="L63" s="120" t="s">
        <v>200</v>
      </c>
      <c r="M63" s="347" t="s">
        <v>351</v>
      </c>
      <c r="N63" s="81">
        <v>5.86</v>
      </c>
      <c r="O63" s="81">
        <v>5.86</v>
      </c>
      <c r="P63" s="81">
        <v>5.86</v>
      </c>
      <c r="Q63" s="81">
        <v>5.86</v>
      </c>
      <c r="R63" s="812">
        <v>7.25</v>
      </c>
      <c r="S63" s="812">
        <v>7.25</v>
      </c>
      <c r="T63" s="812">
        <v>7.25</v>
      </c>
      <c r="U63" s="812">
        <v>7.25</v>
      </c>
      <c r="V63" s="812">
        <v>7.25</v>
      </c>
      <c r="W63" s="812">
        <v>7.25</v>
      </c>
      <c r="X63" s="812">
        <v>7.25</v>
      </c>
      <c r="Y63" s="812">
        <v>7.25</v>
      </c>
      <c r="Z63" s="195">
        <v>0.06</v>
      </c>
      <c r="AA63" s="96">
        <v>0.06</v>
      </c>
      <c r="AB63" s="92">
        <v>0.06</v>
      </c>
      <c r="AC63" s="92">
        <v>0.06</v>
      </c>
      <c r="AD63" s="92">
        <v>0.06</v>
      </c>
      <c r="AE63" s="92">
        <v>0.06</v>
      </c>
      <c r="AF63" s="92">
        <v>0.06</v>
      </c>
      <c r="AG63" s="92">
        <v>0.06</v>
      </c>
      <c r="AH63" s="92">
        <v>0.06</v>
      </c>
      <c r="AI63" s="92">
        <v>0.06</v>
      </c>
      <c r="AJ63" s="92">
        <v>0.06</v>
      </c>
      <c r="AK63" s="674">
        <v>0.06</v>
      </c>
      <c r="AL63" s="544">
        <v>0</v>
      </c>
      <c r="AM63" s="496">
        <f t="shared" si="0"/>
        <v>0</v>
      </c>
      <c r="AN63" s="568">
        <v>0</v>
      </c>
      <c r="AO63" s="496">
        <f t="shared" si="1"/>
        <v>0</v>
      </c>
      <c r="AP63" s="568">
        <v>0</v>
      </c>
      <c r="AQ63" s="744">
        <f t="shared" si="2"/>
        <v>0</v>
      </c>
      <c r="AR63" s="785">
        <v>0</v>
      </c>
      <c r="AS63" s="777">
        <f t="shared" si="3"/>
        <v>0</v>
      </c>
      <c r="AT63" s="571">
        <v>0</v>
      </c>
      <c r="AU63" s="496">
        <f t="shared" si="4"/>
        <v>0</v>
      </c>
      <c r="AV63" s="115">
        <v>0</v>
      </c>
      <c r="AW63" s="390">
        <f t="shared" si="5"/>
        <v>0</v>
      </c>
      <c r="AX63" s="114">
        <v>0</v>
      </c>
      <c r="AY63" s="389">
        <f t="shared" si="6"/>
        <v>0</v>
      </c>
      <c r="AZ63" s="115">
        <v>0</v>
      </c>
      <c r="BA63" s="389">
        <f t="shared" si="7"/>
        <v>0</v>
      </c>
      <c r="BB63" s="115">
        <v>0</v>
      </c>
      <c r="BC63" s="391">
        <f t="shared" si="8"/>
        <v>0</v>
      </c>
      <c r="BD63" s="114">
        <v>0</v>
      </c>
      <c r="BE63" s="389">
        <f t="shared" si="9"/>
        <v>0</v>
      </c>
      <c r="BF63" s="115">
        <v>0</v>
      </c>
      <c r="BG63" s="389">
        <f t="shared" si="10"/>
        <v>0</v>
      </c>
      <c r="BH63" s="115">
        <v>0</v>
      </c>
      <c r="BI63" s="392">
        <f t="shared" si="11"/>
        <v>0</v>
      </c>
      <c r="BJ63" s="177" t="s">
        <v>551</v>
      </c>
      <c r="BK63" s="78"/>
      <c r="BL63" s="78" t="s">
        <v>201</v>
      </c>
      <c r="BM63" s="9" t="s">
        <v>340</v>
      </c>
    </row>
    <row r="64" spans="1:65" ht="17" customHeight="1">
      <c r="A64" s="197" t="s">
        <v>383</v>
      </c>
      <c r="B64" s="9" t="s">
        <v>611</v>
      </c>
      <c r="C64" s="1" t="s">
        <v>30</v>
      </c>
      <c r="D64" s="1017"/>
      <c r="E64" s="1017"/>
      <c r="F64" s="1001"/>
      <c r="G64" s="175" t="s">
        <v>203</v>
      </c>
      <c r="H64" s="855" t="s">
        <v>205</v>
      </c>
      <c r="I64" s="259" t="s">
        <v>148</v>
      </c>
      <c r="J64" s="61" t="s">
        <v>198</v>
      </c>
      <c r="K64" s="60" t="s">
        <v>199</v>
      </c>
      <c r="L64" s="60" t="s">
        <v>200</v>
      </c>
      <c r="M64" s="345" t="s">
        <v>348</v>
      </c>
      <c r="N64" s="81">
        <v>5.86</v>
      </c>
      <c r="O64" s="81">
        <v>5.86</v>
      </c>
      <c r="P64" s="81">
        <v>5.86</v>
      </c>
      <c r="Q64" s="81">
        <v>5.86</v>
      </c>
      <c r="R64" s="812">
        <v>6.24</v>
      </c>
      <c r="S64" s="812">
        <v>6.24</v>
      </c>
      <c r="T64" s="812">
        <v>6.24</v>
      </c>
      <c r="U64" s="812">
        <v>6.24</v>
      </c>
      <c r="V64" s="812">
        <v>6.24</v>
      </c>
      <c r="W64" s="812">
        <v>6.24</v>
      </c>
      <c r="X64" s="812">
        <v>6.24</v>
      </c>
      <c r="Y64" s="812">
        <v>6.24</v>
      </c>
      <c r="Z64" s="195">
        <v>0.06</v>
      </c>
      <c r="AA64" s="96">
        <v>0.06</v>
      </c>
      <c r="AB64" s="92">
        <v>0.06</v>
      </c>
      <c r="AC64" s="92">
        <v>0.06</v>
      </c>
      <c r="AD64" s="92">
        <v>0.06</v>
      </c>
      <c r="AE64" s="92">
        <v>0.06</v>
      </c>
      <c r="AF64" s="92">
        <v>0.06</v>
      </c>
      <c r="AG64" s="92">
        <v>0.06</v>
      </c>
      <c r="AH64" s="92">
        <v>0.06</v>
      </c>
      <c r="AI64" s="92">
        <v>0.06</v>
      </c>
      <c r="AJ64" s="92">
        <v>0.06</v>
      </c>
      <c r="AK64" s="674">
        <v>0.06</v>
      </c>
      <c r="AL64" s="545">
        <v>204</v>
      </c>
      <c r="AM64" s="494">
        <f t="shared" si="0"/>
        <v>12.24</v>
      </c>
      <c r="AN64" s="569">
        <v>204</v>
      </c>
      <c r="AO64" s="494">
        <f t="shared" si="1"/>
        <v>12.24</v>
      </c>
      <c r="AP64" s="569">
        <v>0</v>
      </c>
      <c r="AQ64" s="620">
        <f t="shared" si="2"/>
        <v>0</v>
      </c>
      <c r="AR64" s="569">
        <v>0</v>
      </c>
      <c r="AS64" s="775">
        <f t="shared" si="3"/>
        <v>0</v>
      </c>
      <c r="AT64" s="570">
        <v>0</v>
      </c>
      <c r="AU64" s="494">
        <f t="shared" si="4"/>
        <v>0</v>
      </c>
      <c r="AV64" s="262">
        <v>200</v>
      </c>
      <c r="AW64" s="355">
        <f t="shared" si="5"/>
        <v>12</v>
      </c>
      <c r="AX64" s="262">
        <v>200</v>
      </c>
      <c r="AY64" s="127">
        <f t="shared" si="6"/>
        <v>12</v>
      </c>
      <c r="AZ64" s="262">
        <v>200</v>
      </c>
      <c r="BA64" s="127">
        <f t="shared" si="7"/>
        <v>12</v>
      </c>
      <c r="BB64" s="262">
        <v>200</v>
      </c>
      <c r="BC64" s="356">
        <f t="shared" si="8"/>
        <v>12</v>
      </c>
      <c r="BD64" s="262">
        <v>200</v>
      </c>
      <c r="BE64" s="127">
        <f t="shared" si="9"/>
        <v>12</v>
      </c>
      <c r="BF64" s="262">
        <v>200</v>
      </c>
      <c r="BG64" s="127">
        <f t="shared" si="10"/>
        <v>12</v>
      </c>
      <c r="BH64" s="262">
        <v>200</v>
      </c>
      <c r="BI64" s="329">
        <f t="shared" si="11"/>
        <v>12</v>
      </c>
      <c r="BJ64" s="177" t="s">
        <v>551</v>
      </c>
      <c r="BK64" s="78"/>
      <c r="BL64" s="78" t="s">
        <v>202</v>
      </c>
      <c r="BM64" s="9" t="s">
        <v>340</v>
      </c>
    </row>
    <row r="65" spans="1:65" ht="17" customHeight="1">
      <c r="A65" s="197" t="s">
        <v>383</v>
      </c>
      <c r="B65" s="9" t="s">
        <v>611</v>
      </c>
      <c r="C65" s="1" t="s">
        <v>30</v>
      </c>
      <c r="D65" s="1017"/>
      <c r="E65" s="1017"/>
      <c r="F65" s="1001"/>
      <c r="G65" s="175" t="s">
        <v>203</v>
      </c>
      <c r="H65" s="855" t="s">
        <v>205</v>
      </c>
      <c r="I65" s="259" t="s">
        <v>148</v>
      </c>
      <c r="J65" s="61" t="s">
        <v>198</v>
      </c>
      <c r="K65" s="60" t="s">
        <v>199</v>
      </c>
      <c r="L65" s="60" t="s">
        <v>200</v>
      </c>
      <c r="M65" s="345" t="s">
        <v>354</v>
      </c>
      <c r="N65" s="81">
        <v>5.86</v>
      </c>
      <c r="O65" s="81">
        <v>5.86</v>
      </c>
      <c r="P65" s="81">
        <v>5.86</v>
      </c>
      <c r="Q65" s="81">
        <v>5.86</v>
      </c>
      <c r="R65" s="812">
        <v>6.3900000000000006</v>
      </c>
      <c r="S65" s="812">
        <v>6.3900000000000006</v>
      </c>
      <c r="T65" s="812">
        <v>6.3900000000000006</v>
      </c>
      <c r="U65" s="812">
        <v>6.3900000000000006</v>
      </c>
      <c r="V65" s="812">
        <v>6.3900000000000006</v>
      </c>
      <c r="W65" s="812">
        <v>6.3900000000000006</v>
      </c>
      <c r="X65" s="812">
        <v>6.3900000000000006</v>
      </c>
      <c r="Y65" s="812">
        <v>6.3900000000000006</v>
      </c>
      <c r="Z65" s="195">
        <v>0.03</v>
      </c>
      <c r="AA65" s="96">
        <v>0.03</v>
      </c>
      <c r="AB65" s="92">
        <v>0.03</v>
      </c>
      <c r="AC65" s="92">
        <v>0.03</v>
      </c>
      <c r="AD65" s="92">
        <v>0.03</v>
      </c>
      <c r="AE65" s="92">
        <v>0.03</v>
      </c>
      <c r="AF65" s="92">
        <v>0.03</v>
      </c>
      <c r="AG65" s="92">
        <v>0.03</v>
      </c>
      <c r="AH65" s="92">
        <v>0.03</v>
      </c>
      <c r="AI65" s="92">
        <v>0.03</v>
      </c>
      <c r="AJ65" s="92">
        <v>0.03</v>
      </c>
      <c r="AK65" s="674">
        <v>0.03</v>
      </c>
      <c r="AL65" s="545">
        <v>636</v>
      </c>
      <c r="AM65" s="496">
        <f t="shared" si="0"/>
        <v>19.079999999999998</v>
      </c>
      <c r="AN65" s="569">
        <v>24</v>
      </c>
      <c r="AO65" s="496">
        <f t="shared" si="1"/>
        <v>0.72</v>
      </c>
      <c r="AP65" s="569">
        <v>0</v>
      </c>
      <c r="AQ65" s="621">
        <f t="shared" si="2"/>
        <v>0</v>
      </c>
      <c r="AR65" s="569">
        <v>0</v>
      </c>
      <c r="AS65" s="777">
        <f t="shared" si="3"/>
        <v>0</v>
      </c>
      <c r="AT65" s="570">
        <v>756</v>
      </c>
      <c r="AU65" s="496">
        <f t="shared" si="4"/>
        <v>22.68</v>
      </c>
      <c r="AV65" s="262">
        <v>288</v>
      </c>
      <c r="AW65" s="390">
        <f t="shared" si="5"/>
        <v>8.64</v>
      </c>
      <c r="AX65" s="262">
        <v>288</v>
      </c>
      <c r="AY65" s="389">
        <f t="shared" si="6"/>
        <v>8.64</v>
      </c>
      <c r="AZ65" s="262">
        <v>288</v>
      </c>
      <c r="BA65" s="389">
        <f t="shared" si="7"/>
        <v>8.64</v>
      </c>
      <c r="BB65" s="262">
        <v>288</v>
      </c>
      <c r="BC65" s="391">
        <f t="shared" si="8"/>
        <v>8.64</v>
      </c>
      <c r="BD65" s="262">
        <v>288</v>
      </c>
      <c r="BE65" s="389">
        <f t="shared" si="9"/>
        <v>8.64</v>
      </c>
      <c r="BF65" s="262">
        <v>288</v>
      </c>
      <c r="BG65" s="389">
        <f t="shared" si="10"/>
        <v>8.64</v>
      </c>
      <c r="BH65" s="262">
        <v>288</v>
      </c>
      <c r="BI65" s="392">
        <f t="shared" si="11"/>
        <v>8.64</v>
      </c>
      <c r="BJ65" s="177" t="s">
        <v>551</v>
      </c>
      <c r="BK65" s="78"/>
      <c r="BL65" s="78" t="s">
        <v>201</v>
      </c>
      <c r="BM65" s="9" t="s">
        <v>708</v>
      </c>
    </row>
    <row r="66" spans="1:65" ht="17" customHeight="1">
      <c r="A66" s="197" t="s">
        <v>383</v>
      </c>
      <c r="B66" s="9" t="s">
        <v>611</v>
      </c>
      <c r="C66" s="1" t="s">
        <v>30</v>
      </c>
      <c r="D66" s="1017"/>
      <c r="E66" s="1017"/>
      <c r="F66" s="1001"/>
      <c r="G66" s="175" t="s">
        <v>203</v>
      </c>
      <c r="H66" s="855" t="s">
        <v>206</v>
      </c>
      <c r="I66" s="259" t="s">
        <v>148</v>
      </c>
      <c r="J66" s="61" t="s">
        <v>198</v>
      </c>
      <c r="K66" s="60" t="s">
        <v>199</v>
      </c>
      <c r="L66" s="60" t="s">
        <v>207</v>
      </c>
      <c r="M66" s="345" t="s">
        <v>356</v>
      </c>
      <c r="N66" s="81">
        <v>13.43</v>
      </c>
      <c r="O66" s="81">
        <v>13.43</v>
      </c>
      <c r="P66" s="81">
        <v>13.43</v>
      </c>
      <c r="Q66" s="81">
        <v>13.43</v>
      </c>
      <c r="R66" s="812">
        <v>13.73</v>
      </c>
      <c r="S66" s="812">
        <v>13.73</v>
      </c>
      <c r="T66" s="812">
        <v>13.73</v>
      </c>
      <c r="U66" s="812">
        <v>13.73</v>
      </c>
      <c r="V66" s="812">
        <v>13.73</v>
      </c>
      <c r="W66" s="812">
        <v>13.73</v>
      </c>
      <c r="X66" s="812">
        <v>13.73</v>
      </c>
      <c r="Y66" s="812">
        <v>13.73</v>
      </c>
      <c r="Z66" s="195">
        <v>1.1199999999999992</v>
      </c>
      <c r="AA66" s="96">
        <v>1.1199999999999992</v>
      </c>
      <c r="AB66" s="92">
        <v>1.1199999999999992</v>
      </c>
      <c r="AC66" s="92">
        <v>1.1199999999999992</v>
      </c>
      <c r="AD66" s="770">
        <f>1.12-0.36</f>
        <v>0.76000000000000012</v>
      </c>
      <c r="AE66" s="770">
        <f t="shared" ref="AE66:AK66" si="96">1.12-0.36</f>
        <v>0.76000000000000012</v>
      </c>
      <c r="AF66" s="770">
        <f t="shared" si="96"/>
        <v>0.76000000000000012</v>
      </c>
      <c r="AG66" s="770">
        <f t="shared" si="96"/>
        <v>0.76000000000000012</v>
      </c>
      <c r="AH66" s="770">
        <f t="shared" si="96"/>
        <v>0.76000000000000012</v>
      </c>
      <c r="AI66" s="770">
        <f t="shared" si="96"/>
        <v>0.76000000000000012</v>
      </c>
      <c r="AJ66" s="770">
        <f t="shared" si="96"/>
        <v>0.76000000000000012</v>
      </c>
      <c r="AK66" s="770">
        <f t="shared" si="96"/>
        <v>0.76000000000000012</v>
      </c>
      <c r="AL66" s="545">
        <v>0</v>
      </c>
      <c r="AM66" s="494">
        <f t="shared" si="0"/>
        <v>0</v>
      </c>
      <c r="AN66" s="568">
        <v>0</v>
      </c>
      <c r="AO66" s="494">
        <f t="shared" si="1"/>
        <v>0</v>
      </c>
      <c r="AP66" s="569">
        <v>0</v>
      </c>
      <c r="AQ66" s="620">
        <f t="shared" si="2"/>
        <v>0</v>
      </c>
      <c r="AR66" s="569">
        <v>0</v>
      </c>
      <c r="AS66" s="775">
        <f t="shared" si="3"/>
        <v>0</v>
      </c>
      <c r="AT66" s="571">
        <v>0</v>
      </c>
      <c r="AU66" s="494">
        <f t="shared" si="4"/>
        <v>0</v>
      </c>
      <c r="AV66" s="115">
        <v>240</v>
      </c>
      <c r="AW66" s="355">
        <f t="shared" si="5"/>
        <v>182.40000000000003</v>
      </c>
      <c r="AX66" s="115">
        <v>240</v>
      </c>
      <c r="AY66" s="127">
        <f t="shared" si="6"/>
        <v>182.40000000000003</v>
      </c>
      <c r="AZ66" s="115">
        <v>240</v>
      </c>
      <c r="BA66" s="127">
        <f t="shared" si="7"/>
        <v>182.40000000000003</v>
      </c>
      <c r="BB66" s="115">
        <v>240</v>
      </c>
      <c r="BC66" s="356">
        <f t="shared" si="8"/>
        <v>182.40000000000003</v>
      </c>
      <c r="BD66" s="114">
        <v>240</v>
      </c>
      <c r="BE66" s="127">
        <f t="shared" si="9"/>
        <v>182.40000000000003</v>
      </c>
      <c r="BF66" s="262">
        <v>240</v>
      </c>
      <c r="BG66" s="127">
        <f t="shared" si="10"/>
        <v>182.40000000000003</v>
      </c>
      <c r="BH66" s="115">
        <v>240</v>
      </c>
      <c r="BI66" s="329">
        <f t="shared" si="11"/>
        <v>182.40000000000003</v>
      </c>
      <c r="BJ66" s="177" t="s">
        <v>552</v>
      </c>
      <c r="BK66" s="78"/>
      <c r="BL66" s="78" t="s">
        <v>201</v>
      </c>
      <c r="BM66" s="9" t="s">
        <v>709</v>
      </c>
    </row>
    <row r="67" spans="1:65" ht="17" customHeight="1">
      <c r="A67" s="197" t="s">
        <v>383</v>
      </c>
      <c r="B67" s="9" t="s">
        <v>611</v>
      </c>
      <c r="C67" s="1" t="s">
        <v>30</v>
      </c>
      <c r="D67" s="1017"/>
      <c r="E67" s="1017"/>
      <c r="F67" s="1001"/>
      <c r="G67" s="175" t="s">
        <v>203</v>
      </c>
      <c r="H67" s="855" t="s">
        <v>206</v>
      </c>
      <c r="I67" s="259" t="s">
        <v>148</v>
      </c>
      <c r="J67" s="61" t="s">
        <v>198</v>
      </c>
      <c r="K67" s="60" t="s">
        <v>199</v>
      </c>
      <c r="L67" s="60" t="s">
        <v>207</v>
      </c>
      <c r="M67" s="345" t="s">
        <v>354</v>
      </c>
      <c r="N67" s="81">
        <v>13.43</v>
      </c>
      <c r="O67" s="81">
        <v>13.43</v>
      </c>
      <c r="P67" s="81">
        <v>13.43</v>
      </c>
      <c r="Q67" s="81">
        <v>13.43</v>
      </c>
      <c r="R67" s="812">
        <v>13.959999999999999</v>
      </c>
      <c r="S67" s="812">
        <v>13.959999999999999</v>
      </c>
      <c r="T67" s="812">
        <v>13.959999999999999</v>
      </c>
      <c r="U67" s="812">
        <v>13.959999999999999</v>
      </c>
      <c r="V67" s="812">
        <v>13.959999999999999</v>
      </c>
      <c r="W67" s="812">
        <v>13.959999999999999</v>
      </c>
      <c r="X67" s="812">
        <v>13.959999999999999</v>
      </c>
      <c r="Y67" s="812">
        <v>13.959999999999999</v>
      </c>
      <c r="Z67" s="195">
        <v>1.1199999999999992</v>
      </c>
      <c r="AA67" s="96">
        <v>1.1199999999999992</v>
      </c>
      <c r="AB67" s="92">
        <v>1.1199999999999992</v>
      </c>
      <c r="AC67" s="92">
        <v>1.1199999999999992</v>
      </c>
      <c r="AD67" s="770">
        <f t="shared" ref="AD67:AK76" si="97">1.12-0.36</f>
        <v>0.76000000000000012</v>
      </c>
      <c r="AE67" s="770">
        <f t="shared" si="97"/>
        <v>0.76000000000000012</v>
      </c>
      <c r="AF67" s="770">
        <f t="shared" si="97"/>
        <v>0.76000000000000012</v>
      </c>
      <c r="AG67" s="770">
        <f t="shared" si="97"/>
        <v>0.76000000000000012</v>
      </c>
      <c r="AH67" s="770">
        <f t="shared" si="97"/>
        <v>0.76000000000000012</v>
      </c>
      <c r="AI67" s="770">
        <f t="shared" si="97"/>
        <v>0.76000000000000012</v>
      </c>
      <c r="AJ67" s="770">
        <f t="shared" si="97"/>
        <v>0.76000000000000012</v>
      </c>
      <c r="AK67" s="770">
        <f t="shared" si="97"/>
        <v>0.76000000000000012</v>
      </c>
      <c r="AL67" s="545">
        <v>0</v>
      </c>
      <c r="AM67" s="496">
        <f t="shared" si="0"/>
        <v>0</v>
      </c>
      <c r="AN67" s="568">
        <v>10</v>
      </c>
      <c r="AO67" s="496">
        <f t="shared" si="1"/>
        <v>11.199999999999992</v>
      </c>
      <c r="AP67" s="569">
        <v>0</v>
      </c>
      <c r="AQ67" s="621">
        <f t="shared" si="2"/>
        <v>0</v>
      </c>
      <c r="AR67" s="569">
        <v>0</v>
      </c>
      <c r="AS67" s="777">
        <f t="shared" si="3"/>
        <v>0</v>
      </c>
      <c r="AT67" s="571">
        <v>140</v>
      </c>
      <c r="AU67" s="496">
        <f t="shared" si="4"/>
        <v>106.40000000000002</v>
      </c>
      <c r="AV67" s="115">
        <v>0</v>
      </c>
      <c r="AW67" s="390">
        <f t="shared" si="5"/>
        <v>0</v>
      </c>
      <c r="AX67" s="114">
        <v>0</v>
      </c>
      <c r="AY67" s="389">
        <f t="shared" si="6"/>
        <v>0</v>
      </c>
      <c r="AZ67" s="262">
        <v>0</v>
      </c>
      <c r="BA67" s="389">
        <f t="shared" si="7"/>
        <v>0</v>
      </c>
      <c r="BB67" s="262">
        <v>0</v>
      </c>
      <c r="BC67" s="391">
        <f t="shared" si="8"/>
        <v>0</v>
      </c>
      <c r="BD67" s="114">
        <v>0</v>
      </c>
      <c r="BE67" s="389">
        <f t="shared" si="9"/>
        <v>0</v>
      </c>
      <c r="BF67" s="262">
        <v>0</v>
      </c>
      <c r="BG67" s="389">
        <f t="shared" si="10"/>
        <v>0</v>
      </c>
      <c r="BH67" s="262">
        <v>0</v>
      </c>
      <c r="BI67" s="392">
        <f t="shared" si="11"/>
        <v>0</v>
      </c>
      <c r="BJ67" s="177" t="s">
        <v>552</v>
      </c>
      <c r="BK67" s="78"/>
      <c r="BL67" s="78" t="s">
        <v>201</v>
      </c>
      <c r="BM67" s="9" t="s">
        <v>341</v>
      </c>
    </row>
    <row r="68" spans="1:65" ht="17" customHeight="1">
      <c r="A68" s="197" t="s">
        <v>383</v>
      </c>
      <c r="B68" s="9" t="s">
        <v>611</v>
      </c>
      <c r="C68" s="1" t="s">
        <v>30</v>
      </c>
      <c r="D68" s="1017"/>
      <c r="E68" s="1017"/>
      <c r="F68" s="1001"/>
      <c r="G68" s="175" t="s">
        <v>203</v>
      </c>
      <c r="H68" s="855" t="s">
        <v>206</v>
      </c>
      <c r="I68" s="259" t="s">
        <v>148</v>
      </c>
      <c r="J68" s="61" t="s">
        <v>198</v>
      </c>
      <c r="K68" s="60" t="s">
        <v>199</v>
      </c>
      <c r="L68" s="60" t="s">
        <v>207</v>
      </c>
      <c r="M68" s="345" t="s">
        <v>357</v>
      </c>
      <c r="N68" s="81">
        <v>13.43</v>
      </c>
      <c r="O68" s="81">
        <v>13.43</v>
      </c>
      <c r="P68" s="81">
        <v>13.43</v>
      </c>
      <c r="Q68" s="81">
        <v>13.43</v>
      </c>
      <c r="R68" s="812">
        <v>14.01</v>
      </c>
      <c r="S68" s="812">
        <v>14.01</v>
      </c>
      <c r="T68" s="812">
        <v>14.01</v>
      </c>
      <c r="U68" s="812">
        <v>14.01</v>
      </c>
      <c r="V68" s="812">
        <v>14.01</v>
      </c>
      <c r="W68" s="812">
        <v>14.01</v>
      </c>
      <c r="X68" s="812">
        <v>14.01</v>
      </c>
      <c r="Y68" s="812">
        <v>14.01</v>
      </c>
      <c r="Z68" s="195">
        <v>1.1199999999999992</v>
      </c>
      <c r="AA68" s="96">
        <v>1.1199999999999992</v>
      </c>
      <c r="AB68" s="92">
        <v>1.1199999999999992</v>
      </c>
      <c r="AC68" s="92">
        <v>1.1199999999999992</v>
      </c>
      <c r="AD68" s="770">
        <f t="shared" si="97"/>
        <v>0.76000000000000012</v>
      </c>
      <c r="AE68" s="770">
        <f t="shared" si="97"/>
        <v>0.76000000000000012</v>
      </c>
      <c r="AF68" s="770">
        <f t="shared" si="97"/>
        <v>0.76000000000000012</v>
      </c>
      <c r="AG68" s="770">
        <f t="shared" si="97"/>
        <v>0.76000000000000012</v>
      </c>
      <c r="AH68" s="770">
        <f t="shared" si="97"/>
        <v>0.76000000000000012</v>
      </c>
      <c r="AI68" s="770">
        <f t="shared" si="97"/>
        <v>0.76000000000000012</v>
      </c>
      <c r="AJ68" s="770">
        <f t="shared" si="97"/>
        <v>0.76000000000000012</v>
      </c>
      <c r="AK68" s="770">
        <f t="shared" si="97"/>
        <v>0.76000000000000012</v>
      </c>
      <c r="AL68" s="545">
        <v>0</v>
      </c>
      <c r="AM68" s="494">
        <f t="shared" si="0"/>
        <v>0</v>
      </c>
      <c r="AN68" s="568">
        <v>0</v>
      </c>
      <c r="AO68" s="494">
        <f t="shared" si="1"/>
        <v>0</v>
      </c>
      <c r="AP68" s="569">
        <v>0</v>
      </c>
      <c r="AQ68" s="620">
        <f t="shared" si="2"/>
        <v>0</v>
      </c>
      <c r="AR68" s="569">
        <v>0</v>
      </c>
      <c r="AS68" s="775">
        <f t="shared" si="3"/>
        <v>0</v>
      </c>
      <c r="AT68" s="571">
        <v>0</v>
      </c>
      <c r="AU68" s="494">
        <f t="shared" si="4"/>
        <v>0</v>
      </c>
      <c r="AV68" s="115">
        <v>0</v>
      </c>
      <c r="AW68" s="355">
        <f t="shared" si="5"/>
        <v>0</v>
      </c>
      <c r="AX68" s="114">
        <v>200</v>
      </c>
      <c r="AY68" s="127">
        <f t="shared" si="6"/>
        <v>152.00000000000003</v>
      </c>
      <c r="AZ68" s="262">
        <v>200</v>
      </c>
      <c r="BA68" s="127">
        <f t="shared" si="7"/>
        <v>152.00000000000003</v>
      </c>
      <c r="BB68" s="262">
        <v>0</v>
      </c>
      <c r="BC68" s="356">
        <f t="shared" si="8"/>
        <v>0</v>
      </c>
      <c r="BD68" s="114">
        <v>200</v>
      </c>
      <c r="BE68" s="127">
        <f t="shared" si="9"/>
        <v>152.00000000000003</v>
      </c>
      <c r="BF68" s="262">
        <v>200</v>
      </c>
      <c r="BG68" s="127">
        <f t="shared" si="10"/>
        <v>152.00000000000003</v>
      </c>
      <c r="BH68" s="262">
        <v>200</v>
      </c>
      <c r="BI68" s="329">
        <f t="shared" si="11"/>
        <v>152.00000000000003</v>
      </c>
      <c r="BJ68" s="177" t="s">
        <v>552</v>
      </c>
      <c r="BK68" s="78"/>
      <c r="BL68" s="78" t="s">
        <v>201</v>
      </c>
      <c r="BM68" s="9" t="s">
        <v>341</v>
      </c>
    </row>
    <row r="69" spans="1:65" ht="17" customHeight="1">
      <c r="A69" s="197" t="s">
        <v>383</v>
      </c>
      <c r="B69" s="9" t="s">
        <v>611</v>
      </c>
      <c r="C69" s="1" t="s">
        <v>30</v>
      </c>
      <c r="D69" s="1017"/>
      <c r="E69" s="1017"/>
      <c r="F69" s="1001"/>
      <c r="G69" s="175" t="s">
        <v>203</v>
      </c>
      <c r="H69" s="855" t="s">
        <v>206</v>
      </c>
      <c r="I69" s="259" t="s">
        <v>148</v>
      </c>
      <c r="J69" s="61" t="s">
        <v>198</v>
      </c>
      <c r="K69" s="60" t="s">
        <v>199</v>
      </c>
      <c r="L69" s="60" t="s">
        <v>207</v>
      </c>
      <c r="M69" s="345" t="s">
        <v>351</v>
      </c>
      <c r="N69" s="81">
        <v>13.43</v>
      </c>
      <c r="O69" s="81">
        <v>13.43</v>
      </c>
      <c r="P69" s="81">
        <v>13.43</v>
      </c>
      <c r="Q69" s="81">
        <v>13.43</v>
      </c>
      <c r="R69" s="812">
        <v>14.82</v>
      </c>
      <c r="S69" s="812">
        <v>14.82</v>
      </c>
      <c r="T69" s="812">
        <v>14.82</v>
      </c>
      <c r="U69" s="812">
        <v>14.82</v>
      </c>
      <c r="V69" s="812">
        <v>14.82</v>
      </c>
      <c r="W69" s="812">
        <v>14.82</v>
      </c>
      <c r="X69" s="812">
        <v>14.82</v>
      </c>
      <c r="Y69" s="812">
        <v>14.82</v>
      </c>
      <c r="Z69" s="195">
        <v>1.1199999999999992</v>
      </c>
      <c r="AA69" s="96">
        <v>1.1199999999999992</v>
      </c>
      <c r="AB69" s="92">
        <v>1.1199999999999992</v>
      </c>
      <c r="AC69" s="92">
        <v>1.1199999999999992</v>
      </c>
      <c r="AD69" s="770">
        <f t="shared" si="97"/>
        <v>0.76000000000000012</v>
      </c>
      <c r="AE69" s="770">
        <f t="shared" si="97"/>
        <v>0.76000000000000012</v>
      </c>
      <c r="AF69" s="770">
        <f t="shared" si="97"/>
        <v>0.76000000000000012</v>
      </c>
      <c r="AG69" s="770">
        <f t="shared" si="97"/>
        <v>0.76000000000000012</v>
      </c>
      <c r="AH69" s="770">
        <f t="shared" si="97"/>
        <v>0.76000000000000012</v>
      </c>
      <c r="AI69" s="770">
        <f t="shared" si="97"/>
        <v>0.76000000000000012</v>
      </c>
      <c r="AJ69" s="770">
        <f t="shared" si="97"/>
        <v>0.76000000000000012</v>
      </c>
      <c r="AK69" s="770">
        <f t="shared" si="97"/>
        <v>0.76000000000000012</v>
      </c>
      <c r="AL69" s="545">
        <v>4050</v>
      </c>
      <c r="AM69" s="496">
        <f t="shared" si="0"/>
        <v>4535.9999999999973</v>
      </c>
      <c r="AN69" s="569">
        <v>5020</v>
      </c>
      <c r="AO69" s="496">
        <f t="shared" si="1"/>
        <v>5622.399999999996</v>
      </c>
      <c r="AP69" s="569">
        <v>2470</v>
      </c>
      <c r="AQ69" s="621">
        <f t="shared" si="2"/>
        <v>2766.3999999999983</v>
      </c>
      <c r="AR69" s="569">
        <v>1200</v>
      </c>
      <c r="AS69" s="777">
        <f t="shared" si="3"/>
        <v>1343.9999999999991</v>
      </c>
      <c r="AT69" s="570">
        <v>2580</v>
      </c>
      <c r="AU69" s="496">
        <f t="shared" si="4"/>
        <v>1960.8000000000004</v>
      </c>
      <c r="AV69" s="262">
        <v>2000</v>
      </c>
      <c r="AW69" s="390">
        <f t="shared" si="5"/>
        <v>1520.0000000000002</v>
      </c>
      <c r="AX69" s="262">
        <v>2000</v>
      </c>
      <c r="AY69" s="389">
        <f t="shared" si="6"/>
        <v>1520.0000000000002</v>
      </c>
      <c r="AZ69" s="262">
        <v>2000</v>
      </c>
      <c r="BA69" s="389">
        <f t="shared" si="7"/>
        <v>1520.0000000000002</v>
      </c>
      <c r="BB69" s="262">
        <v>2000</v>
      </c>
      <c r="BC69" s="391">
        <f t="shared" si="8"/>
        <v>1520.0000000000002</v>
      </c>
      <c r="BD69" s="262">
        <v>1000</v>
      </c>
      <c r="BE69" s="389">
        <f t="shared" si="9"/>
        <v>760.00000000000011</v>
      </c>
      <c r="BF69" s="262">
        <v>2000</v>
      </c>
      <c r="BG69" s="389">
        <f t="shared" si="10"/>
        <v>1520.0000000000002</v>
      </c>
      <c r="BH69" s="262">
        <v>2000</v>
      </c>
      <c r="BI69" s="392">
        <f t="shared" si="11"/>
        <v>1520.0000000000002</v>
      </c>
      <c r="BJ69" s="177" t="s">
        <v>552</v>
      </c>
      <c r="BK69" s="78"/>
      <c r="BL69" s="78" t="s">
        <v>201</v>
      </c>
      <c r="BM69" s="9" t="s">
        <v>341</v>
      </c>
    </row>
    <row r="70" spans="1:65" ht="17" customHeight="1">
      <c r="A70" s="197" t="s">
        <v>383</v>
      </c>
      <c r="B70" s="9" t="s">
        <v>611</v>
      </c>
      <c r="C70" s="1" t="s">
        <v>30</v>
      </c>
      <c r="D70" s="1017"/>
      <c r="E70" s="1017"/>
      <c r="F70" s="1001"/>
      <c r="G70" s="175" t="s">
        <v>203</v>
      </c>
      <c r="H70" s="855" t="s">
        <v>206</v>
      </c>
      <c r="I70" s="259" t="s">
        <v>148</v>
      </c>
      <c r="J70" s="61" t="s">
        <v>198</v>
      </c>
      <c r="K70" s="60" t="s">
        <v>199</v>
      </c>
      <c r="L70" s="60" t="s">
        <v>207</v>
      </c>
      <c r="M70" s="345" t="s">
        <v>352</v>
      </c>
      <c r="N70" s="81">
        <v>13.43</v>
      </c>
      <c r="O70" s="81">
        <v>13.43</v>
      </c>
      <c r="P70" s="81">
        <v>13.43</v>
      </c>
      <c r="Q70" s="81">
        <v>13.43</v>
      </c>
      <c r="R70" s="812">
        <v>13.77</v>
      </c>
      <c r="S70" s="812">
        <v>13.77</v>
      </c>
      <c r="T70" s="812">
        <v>13.77</v>
      </c>
      <c r="U70" s="812">
        <v>13.77</v>
      </c>
      <c r="V70" s="812">
        <v>13.77</v>
      </c>
      <c r="W70" s="812">
        <v>13.77</v>
      </c>
      <c r="X70" s="812">
        <v>13.77</v>
      </c>
      <c r="Y70" s="812">
        <v>13.77</v>
      </c>
      <c r="Z70" s="195">
        <v>1.1199999999999992</v>
      </c>
      <c r="AA70" s="96">
        <v>1.1199999999999992</v>
      </c>
      <c r="AB70" s="92">
        <v>1.1199999999999992</v>
      </c>
      <c r="AC70" s="92">
        <v>1.1199999999999992</v>
      </c>
      <c r="AD70" s="770">
        <f t="shared" si="97"/>
        <v>0.76000000000000012</v>
      </c>
      <c r="AE70" s="770">
        <f t="shared" si="97"/>
        <v>0.76000000000000012</v>
      </c>
      <c r="AF70" s="770">
        <f t="shared" si="97"/>
        <v>0.76000000000000012</v>
      </c>
      <c r="AG70" s="770">
        <f t="shared" si="97"/>
        <v>0.76000000000000012</v>
      </c>
      <c r="AH70" s="770">
        <f t="shared" si="97"/>
        <v>0.76000000000000012</v>
      </c>
      <c r="AI70" s="770">
        <f t="shared" si="97"/>
        <v>0.76000000000000012</v>
      </c>
      <c r="AJ70" s="770">
        <f t="shared" si="97"/>
        <v>0.76000000000000012</v>
      </c>
      <c r="AK70" s="770">
        <f t="shared" si="97"/>
        <v>0.76000000000000012</v>
      </c>
      <c r="AL70" s="545">
        <v>10800</v>
      </c>
      <c r="AM70" s="494">
        <f t="shared" si="0"/>
        <v>12095.999999999991</v>
      </c>
      <c r="AN70" s="569">
        <v>8500</v>
      </c>
      <c r="AO70" s="494">
        <f t="shared" si="1"/>
        <v>9519.9999999999927</v>
      </c>
      <c r="AP70" s="569">
        <v>3140</v>
      </c>
      <c r="AQ70" s="620">
        <f t="shared" si="2"/>
        <v>3516.7999999999975</v>
      </c>
      <c r="AR70" s="569">
        <v>1200</v>
      </c>
      <c r="AS70" s="775">
        <f t="shared" si="3"/>
        <v>1343.9999999999991</v>
      </c>
      <c r="AT70" s="570">
        <v>720</v>
      </c>
      <c r="AU70" s="494">
        <f t="shared" si="4"/>
        <v>547.20000000000005</v>
      </c>
      <c r="AV70" s="115">
        <v>1000</v>
      </c>
      <c r="AW70" s="355">
        <f t="shared" si="5"/>
        <v>760.00000000000011</v>
      </c>
      <c r="AX70" s="262">
        <v>1000</v>
      </c>
      <c r="AY70" s="127">
        <f t="shared" si="6"/>
        <v>760.00000000000011</v>
      </c>
      <c r="AZ70" s="262">
        <v>1000</v>
      </c>
      <c r="BA70" s="127">
        <f t="shared" si="7"/>
        <v>760.00000000000011</v>
      </c>
      <c r="BB70" s="262">
        <v>1000</v>
      </c>
      <c r="BC70" s="356">
        <f t="shared" si="8"/>
        <v>760.00000000000011</v>
      </c>
      <c r="BD70" s="262">
        <v>1000</v>
      </c>
      <c r="BE70" s="127">
        <f t="shared" si="9"/>
        <v>760.00000000000011</v>
      </c>
      <c r="BF70" s="262">
        <v>1000</v>
      </c>
      <c r="BG70" s="127">
        <f t="shared" si="10"/>
        <v>760.00000000000011</v>
      </c>
      <c r="BH70" s="262">
        <v>1000</v>
      </c>
      <c r="BI70" s="329">
        <f t="shared" si="11"/>
        <v>760.00000000000011</v>
      </c>
      <c r="BJ70" s="177" t="s">
        <v>552</v>
      </c>
      <c r="BK70" s="78"/>
      <c r="BL70" s="78" t="s">
        <v>201</v>
      </c>
      <c r="BM70" s="9" t="s">
        <v>341</v>
      </c>
    </row>
    <row r="71" spans="1:65" ht="17" customHeight="1">
      <c r="A71" s="197" t="s">
        <v>383</v>
      </c>
      <c r="B71" s="9" t="s">
        <v>611</v>
      </c>
      <c r="C71" s="1" t="s">
        <v>30</v>
      </c>
      <c r="D71" s="1017"/>
      <c r="E71" s="1017"/>
      <c r="F71" s="1001"/>
      <c r="G71" s="175" t="s">
        <v>203</v>
      </c>
      <c r="H71" s="855" t="s">
        <v>206</v>
      </c>
      <c r="I71" s="259" t="s">
        <v>148</v>
      </c>
      <c r="J71" s="61" t="s">
        <v>198</v>
      </c>
      <c r="K71" s="60" t="s">
        <v>199</v>
      </c>
      <c r="L71" s="60" t="s">
        <v>207</v>
      </c>
      <c r="M71" s="345" t="s">
        <v>355</v>
      </c>
      <c r="N71" s="81">
        <v>13.43</v>
      </c>
      <c r="O71" s="81">
        <v>13.43</v>
      </c>
      <c r="P71" s="81">
        <v>13.43</v>
      </c>
      <c r="Q71" s="81">
        <v>13.43</v>
      </c>
      <c r="R71" s="812">
        <v>13.77</v>
      </c>
      <c r="S71" s="812">
        <v>13.77</v>
      </c>
      <c r="T71" s="812">
        <v>13.77</v>
      </c>
      <c r="U71" s="812">
        <v>13.77</v>
      </c>
      <c r="V71" s="812">
        <v>13.77</v>
      </c>
      <c r="W71" s="812">
        <v>13.77</v>
      </c>
      <c r="X71" s="812">
        <v>13.77</v>
      </c>
      <c r="Y71" s="812">
        <v>13.77</v>
      </c>
      <c r="Z71" s="195">
        <v>1.1199999999999992</v>
      </c>
      <c r="AA71" s="96">
        <v>1.1199999999999992</v>
      </c>
      <c r="AB71" s="92">
        <v>1.1199999999999992</v>
      </c>
      <c r="AC71" s="92">
        <v>1.1199999999999992</v>
      </c>
      <c r="AD71" s="770">
        <f t="shared" si="97"/>
        <v>0.76000000000000012</v>
      </c>
      <c r="AE71" s="770">
        <f t="shared" si="97"/>
        <v>0.76000000000000012</v>
      </c>
      <c r="AF71" s="770">
        <f t="shared" si="97"/>
        <v>0.76000000000000012</v>
      </c>
      <c r="AG71" s="770">
        <f t="shared" si="97"/>
        <v>0.76000000000000012</v>
      </c>
      <c r="AH71" s="770">
        <f t="shared" si="97"/>
        <v>0.76000000000000012</v>
      </c>
      <c r="AI71" s="770">
        <f t="shared" si="97"/>
        <v>0.76000000000000012</v>
      </c>
      <c r="AJ71" s="770">
        <f t="shared" si="97"/>
        <v>0.76000000000000012</v>
      </c>
      <c r="AK71" s="770">
        <f t="shared" si="97"/>
        <v>0.76000000000000012</v>
      </c>
      <c r="AL71" s="545">
        <v>0</v>
      </c>
      <c r="AM71" s="496">
        <f t="shared" si="0"/>
        <v>0</v>
      </c>
      <c r="AN71" s="568">
        <v>0</v>
      </c>
      <c r="AO71" s="496">
        <f t="shared" si="1"/>
        <v>0</v>
      </c>
      <c r="AP71" s="568">
        <v>0</v>
      </c>
      <c r="AQ71" s="621">
        <f t="shared" si="2"/>
        <v>0</v>
      </c>
      <c r="AR71" s="569">
        <v>0</v>
      </c>
      <c r="AS71" s="777">
        <f t="shared" si="3"/>
        <v>0</v>
      </c>
      <c r="AT71" s="571">
        <v>0</v>
      </c>
      <c r="AU71" s="496">
        <f t="shared" si="4"/>
        <v>0</v>
      </c>
      <c r="AV71" s="262">
        <v>0</v>
      </c>
      <c r="AW71" s="390">
        <f t="shared" si="5"/>
        <v>0</v>
      </c>
      <c r="AX71" s="262">
        <v>0</v>
      </c>
      <c r="AY71" s="389">
        <f t="shared" si="6"/>
        <v>0</v>
      </c>
      <c r="AZ71" s="262">
        <v>0</v>
      </c>
      <c r="BA71" s="389">
        <f t="shared" si="7"/>
        <v>0</v>
      </c>
      <c r="BB71" s="262">
        <v>0</v>
      </c>
      <c r="BC71" s="391">
        <f t="shared" si="8"/>
        <v>0</v>
      </c>
      <c r="BD71" s="262">
        <v>0</v>
      </c>
      <c r="BE71" s="389">
        <f t="shared" si="9"/>
        <v>0</v>
      </c>
      <c r="BF71" s="262">
        <v>0</v>
      </c>
      <c r="BG71" s="389">
        <f t="shared" si="10"/>
        <v>0</v>
      </c>
      <c r="BH71" s="262">
        <v>0</v>
      </c>
      <c r="BI71" s="392">
        <f t="shared" si="11"/>
        <v>0</v>
      </c>
      <c r="BJ71" s="177" t="s">
        <v>552</v>
      </c>
      <c r="BK71" s="78"/>
      <c r="BL71" s="78" t="s">
        <v>201</v>
      </c>
      <c r="BM71" s="9" t="s">
        <v>341</v>
      </c>
    </row>
    <row r="72" spans="1:65" ht="17" customHeight="1">
      <c r="A72" s="197" t="s">
        <v>383</v>
      </c>
      <c r="B72" s="9" t="s">
        <v>611</v>
      </c>
      <c r="C72" s="1" t="s">
        <v>30</v>
      </c>
      <c r="D72" s="1017"/>
      <c r="E72" s="1017"/>
      <c r="F72" s="1001"/>
      <c r="G72" s="175" t="s">
        <v>203</v>
      </c>
      <c r="H72" s="855" t="s">
        <v>206</v>
      </c>
      <c r="I72" s="259" t="s">
        <v>208</v>
      </c>
      <c r="J72" s="61" t="s">
        <v>198</v>
      </c>
      <c r="K72" s="60" t="s">
        <v>199</v>
      </c>
      <c r="L72" s="60" t="s">
        <v>207</v>
      </c>
      <c r="M72" s="345" t="s">
        <v>348</v>
      </c>
      <c r="N72" s="81">
        <v>13.43</v>
      </c>
      <c r="O72" s="81">
        <v>13.43</v>
      </c>
      <c r="P72" s="81">
        <v>13.43</v>
      </c>
      <c r="Q72" s="81">
        <v>13.43</v>
      </c>
      <c r="R72" s="812">
        <v>13.81</v>
      </c>
      <c r="S72" s="812">
        <v>13.81</v>
      </c>
      <c r="T72" s="812">
        <v>13.81</v>
      </c>
      <c r="U72" s="812">
        <v>13.81</v>
      </c>
      <c r="V72" s="812">
        <v>13.81</v>
      </c>
      <c r="W72" s="812">
        <v>13.81</v>
      </c>
      <c r="X72" s="812">
        <v>13.81</v>
      </c>
      <c r="Y72" s="812">
        <v>13.81</v>
      </c>
      <c r="Z72" s="195">
        <v>1.1199999999999992</v>
      </c>
      <c r="AA72" s="96">
        <v>1.1199999999999992</v>
      </c>
      <c r="AB72" s="92">
        <v>1.1199999999999992</v>
      </c>
      <c r="AC72" s="92">
        <v>1.1199999999999992</v>
      </c>
      <c r="AD72" s="770">
        <f t="shared" si="97"/>
        <v>0.76000000000000012</v>
      </c>
      <c r="AE72" s="770">
        <f t="shared" si="97"/>
        <v>0.76000000000000012</v>
      </c>
      <c r="AF72" s="770">
        <f t="shared" si="97"/>
        <v>0.76000000000000012</v>
      </c>
      <c r="AG72" s="770">
        <f t="shared" si="97"/>
        <v>0.76000000000000012</v>
      </c>
      <c r="AH72" s="770">
        <f t="shared" si="97"/>
        <v>0.76000000000000012</v>
      </c>
      <c r="AI72" s="770">
        <f t="shared" si="97"/>
        <v>0.76000000000000012</v>
      </c>
      <c r="AJ72" s="770">
        <f t="shared" si="97"/>
        <v>0.76000000000000012</v>
      </c>
      <c r="AK72" s="770">
        <f t="shared" si="97"/>
        <v>0.76000000000000012</v>
      </c>
      <c r="AL72" s="545">
        <v>150</v>
      </c>
      <c r="AM72" s="494">
        <f t="shared" si="0"/>
        <v>167.99999999999989</v>
      </c>
      <c r="AN72" s="569">
        <v>510</v>
      </c>
      <c r="AO72" s="494">
        <f t="shared" si="1"/>
        <v>571.19999999999959</v>
      </c>
      <c r="AP72" s="569">
        <v>10</v>
      </c>
      <c r="AQ72" s="620">
        <f t="shared" si="2"/>
        <v>11.199999999999992</v>
      </c>
      <c r="AR72" s="569">
        <v>0</v>
      </c>
      <c r="AS72" s="775">
        <f t="shared" si="3"/>
        <v>0</v>
      </c>
      <c r="AT72" s="570">
        <v>40</v>
      </c>
      <c r="AU72" s="494">
        <f t="shared" si="4"/>
        <v>30.400000000000006</v>
      </c>
      <c r="AV72" s="262">
        <v>300</v>
      </c>
      <c r="AW72" s="355">
        <f t="shared" si="5"/>
        <v>228.00000000000003</v>
      </c>
      <c r="AX72" s="262">
        <v>300</v>
      </c>
      <c r="AY72" s="127">
        <f t="shared" si="6"/>
        <v>228.00000000000003</v>
      </c>
      <c r="AZ72" s="262">
        <v>300</v>
      </c>
      <c r="BA72" s="127">
        <f t="shared" si="7"/>
        <v>228.00000000000003</v>
      </c>
      <c r="BB72" s="262">
        <v>300</v>
      </c>
      <c r="BC72" s="356">
        <f t="shared" si="8"/>
        <v>228.00000000000003</v>
      </c>
      <c r="BD72" s="262">
        <v>300</v>
      </c>
      <c r="BE72" s="127">
        <f t="shared" si="9"/>
        <v>228.00000000000003</v>
      </c>
      <c r="BF72" s="262">
        <v>300</v>
      </c>
      <c r="BG72" s="127">
        <f t="shared" si="10"/>
        <v>228.00000000000003</v>
      </c>
      <c r="BH72" s="262">
        <v>300</v>
      </c>
      <c r="BI72" s="329">
        <f t="shared" si="11"/>
        <v>228.00000000000003</v>
      </c>
      <c r="BJ72" s="177" t="s">
        <v>552</v>
      </c>
      <c r="BK72" s="78"/>
      <c r="BL72" s="78" t="s">
        <v>202</v>
      </c>
      <c r="BM72" s="9" t="s">
        <v>341</v>
      </c>
    </row>
    <row r="73" spans="1:65" ht="17" customHeight="1">
      <c r="A73" s="197" t="s">
        <v>383</v>
      </c>
      <c r="B73" s="9" t="s">
        <v>611</v>
      </c>
      <c r="C73" s="1" t="s">
        <v>30</v>
      </c>
      <c r="D73" s="1017"/>
      <c r="E73" s="1017"/>
      <c r="F73" s="1001"/>
      <c r="G73" s="175" t="s">
        <v>203</v>
      </c>
      <c r="H73" s="855" t="s">
        <v>206</v>
      </c>
      <c r="I73" s="259" t="s">
        <v>148</v>
      </c>
      <c r="J73" s="61" t="s">
        <v>198</v>
      </c>
      <c r="K73" s="60" t="s">
        <v>199</v>
      </c>
      <c r="L73" s="60" t="s">
        <v>207</v>
      </c>
      <c r="M73" s="345" t="s">
        <v>349</v>
      </c>
      <c r="N73" s="81">
        <v>13.43</v>
      </c>
      <c r="O73" s="81">
        <v>13.43</v>
      </c>
      <c r="P73" s="81">
        <v>13.43</v>
      </c>
      <c r="Q73" s="81">
        <v>13.43</v>
      </c>
      <c r="R73" s="812">
        <v>14.08</v>
      </c>
      <c r="S73" s="812">
        <v>14.08</v>
      </c>
      <c r="T73" s="812">
        <v>14.08</v>
      </c>
      <c r="U73" s="812">
        <v>14.08</v>
      </c>
      <c r="V73" s="812">
        <v>14.08</v>
      </c>
      <c r="W73" s="812">
        <v>14.08</v>
      </c>
      <c r="X73" s="812">
        <v>14.08</v>
      </c>
      <c r="Y73" s="812">
        <v>14.08</v>
      </c>
      <c r="Z73" s="195">
        <v>1.1199999999999992</v>
      </c>
      <c r="AA73" s="96">
        <v>1.1199999999999992</v>
      </c>
      <c r="AB73" s="92">
        <v>1.1199999999999992</v>
      </c>
      <c r="AC73" s="92">
        <v>1.1199999999999992</v>
      </c>
      <c r="AD73" s="770">
        <f t="shared" si="97"/>
        <v>0.76000000000000012</v>
      </c>
      <c r="AE73" s="770">
        <f t="shared" si="97"/>
        <v>0.76000000000000012</v>
      </c>
      <c r="AF73" s="770">
        <f t="shared" si="97"/>
        <v>0.76000000000000012</v>
      </c>
      <c r="AG73" s="770">
        <f t="shared" si="97"/>
        <v>0.76000000000000012</v>
      </c>
      <c r="AH73" s="770">
        <f t="shared" si="97"/>
        <v>0.76000000000000012</v>
      </c>
      <c r="AI73" s="770">
        <f t="shared" si="97"/>
        <v>0.76000000000000012</v>
      </c>
      <c r="AJ73" s="770">
        <f t="shared" si="97"/>
        <v>0.76000000000000012</v>
      </c>
      <c r="AK73" s="770">
        <f t="shared" si="97"/>
        <v>0.76000000000000012</v>
      </c>
      <c r="AL73" s="545">
        <v>720</v>
      </c>
      <c r="AM73" s="496">
        <f t="shared" si="0"/>
        <v>806.39999999999941</v>
      </c>
      <c r="AN73" s="569">
        <v>380</v>
      </c>
      <c r="AO73" s="496">
        <f t="shared" si="1"/>
        <v>425.59999999999968</v>
      </c>
      <c r="AP73" s="569">
        <v>460</v>
      </c>
      <c r="AQ73" s="621">
        <f t="shared" si="2"/>
        <v>515.19999999999959</v>
      </c>
      <c r="AR73" s="569">
        <v>900</v>
      </c>
      <c r="AS73" s="777">
        <f t="shared" si="3"/>
        <v>1007.9999999999993</v>
      </c>
      <c r="AT73" s="570">
        <v>230</v>
      </c>
      <c r="AU73" s="496">
        <f t="shared" si="4"/>
        <v>174.80000000000004</v>
      </c>
      <c r="AV73" s="262">
        <v>1000</v>
      </c>
      <c r="AW73" s="390">
        <f t="shared" si="5"/>
        <v>760.00000000000011</v>
      </c>
      <c r="AX73" s="262">
        <v>1000</v>
      </c>
      <c r="AY73" s="389">
        <f t="shared" si="6"/>
        <v>760.00000000000011</v>
      </c>
      <c r="AZ73" s="262">
        <v>1000</v>
      </c>
      <c r="BA73" s="389">
        <f t="shared" si="7"/>
        <v>760.00000000000011</v>
      </c>
      <c r="BB73" s="262">
        <v>1000</v>
      </c>
      <c r="BC73" s="391">
        <f t="shared" si="8"/>
        <v>760.00000000000011</v>
      </c>
      <c r="BD73" s="262">
        <v>1000</v>
      </c>
      <c r="BE73" s="389">
        <f t="shared" si="9"/>
        <v>760.00000000000011</v>
      </c>
      <c r="BF73" s="262">
        <v>1000</v>
      </c>
      <c r="BG73" s="389">
        <f t="shared" si="10"/>
        <v>760.00000000000011</v>
      </c>
      <c r="BH73" s="262">
        <v>1000</v>
      </c>
      <c r="BI73" s="392">
        <f t="shared" si="11"/>
        <v>760.00000000000011</v>
      </c>
      <c r="BJ73" s="177" t="s">
        <v>552</v>
      </c>
      <c r="BK73" s="78"/>
      <c r="BL73" s="78" t="s">
        <v>202</v>
      </c>
      <c r="BM73" s="9" t="s">
        <v>341</v>
      </c>
    </row>
    <row r="74" spans="1:65" ht="17" customHeight="1">
      <c r="A74" s="197" t="s">
        <v>383</v>
      </c>
      <c r="B74" s="9" t="s">
        <v>611</v>
      </c>
      <c r="C74" s="1" t="s">
        <v>30</v>
      </c>
      <c r="D74" s="1017"/>
      <c r="E74" s="1017"/>
      <c r="F74" s="1001"/>
      <c r="G74" s="175" t="s">
        <v>203</v>
      </c>
      <c r="H74" s="855" t="s">
        <v>206</v>
      </c>
      <c r="I74" s="259" t="s">
        <v>148</v>
      </c>
      <c r="J74" s="61" t="s">
        <v>198</v>
      </c>
      <c r="K74" s="60" t="s">
        <v>199</v>
      </c>
      <c r="L74" s="60" t="s">
        <v>207</v>
      </c>
      <c r="M74" s="345" t="s">
        <v>350</v>
      </c>
      <c r="N74" s="81">
        <v>13.43</v>
      </c>
      <c r="O74" s="81">
        <v>13.43</v>
      </c>
      <c r="P74" s="81">
        <v>13.43</v>
      </c>
      <c r="Q74" s="81">
        <v>13.43</v>
      </c>
      <c r="R74" s="812">
        <v>14.08</v>
      </c>
      <c r="S74" s="812">
        <v>14.08</v>
      </c>
      <c r="T74" s="812">
        <v>14.08</v>
      </c>
      <c r="U74" s="812">
        <v>14.08</v>
      </c>
      <c r="V74" s="812">
        <v>14.08</v>
      </c>
      <c r="W74" s="812">
        <v>14.08</v>
      </c>
      <c r="X74" s="812">
        <v>14.08</v>
      </c>
      <c r="Y74" s="812">
        <v>14.08</v>
      </c>
      <c r="Z74" s="195">
        <v>1.1199999999999992</v>
      </c>
      <c r="AA74" s="96">
        <v>1.1199999999999992</v>
      </c>
      <c r="AB74" s="92">
        <v>1.1199999999999992</v>
      </c>
      <c r="AC74" s="92">
        <v>1.1199999999999992</v>
      </c>
      <c r="AD74" s="770">
        <f t="shared" si="97"/>
        <v>0.76000000000000012</v>
      </c>
      <c r="AE74" s="770">
        <f t="shared" si="97"/>
        <v>0.76000000000000012</v>
      </c>
      <c r="AF74" s="770">
        <f t="shared" si="97"/>
        <v>0.76000000000000012</v>
      </c>
      <c r="AG74" s="770">
        <f t="shared" si="97"/>
        <v>0.76000000000000012</v>
      </c>
      <c r="AH74" s="770">
        <f t="shared" si="97"/>
        <v>0.76000000000000012</v>
      </c>
      <c r="AI74" s="770">
        <f t="shared" si="97"/>
        <v>0.76000000000000012</v>
      </c>
      <c r="AJ74" s="770">
        <f t="shared" si="97"/>
        <v>0.76000000000000012</v>
      </c>
      <c r="AK74" s="770">
        <f t="shared" si="97"/>
        <v>0.76000000000000012</v>
      </c>
      <c r="AL74" s="545">
        <v>210</v>
      </c>
      <c r="AM74" s="494">
        <f t="shared" ref="AM74:AM138" si="98">Z74*AL74</f>
        <v>235.19999999999985</v>
      </c>
      <c r="AN74" s="569">
        <v>420</v>
      </c>
      <c r="AO74" s="494">
        <f t="shared" ref="AO74:AO138" si="99">AA74*AN74</f>
        <v>470.39999999999969</v>
      </c>
      <c r="AP74" s="569">
        <v>10</v>
      </c>
      <c r="AQ74" s="620">
        <f t="shared" ref="AQ74:AQ138" si="100">AB74*AP74</f>
        <v>11.199999999999992</v>
      </c>
      <c r="AR74" s="569">
        <v>20</v>
      </c>
      <c r="AS74" s="775">
        <f t="shared" ref="AS74:AS138" si="101">AC74*AR74</f>
        <v>22.399999999999984</v>
      </c>
      <c r="AT74" s="570">
        <v>20</v>
      </c>
      <c r="AU74" s="494">
        <f t="shared" ref="AU74:AU138" si="102">AD74*AT74</f>
        <v>15.200000000000003</v>
      </c>
      <c r="AV74" s="262">
        <v>1000</v>
      </c>
      <c r="AW74" s="355">
        <f t="shared" ref="AW74:AW138" si="103">AE74*AV74</f>
        <v>760.00000000000011</v>
      </c>
      <c r="AX74" s="262">
        <v>1000</v>
      </c>
      <c r="AY74" s="127">
        <f t="shared" ref="AY74:AY138" si="104">AF74*AX74</f>
        <v>760.00000000000011</v>
      </c>
      <c r="AZ74" s="262">
        <v>1000</v>
      </c>
      <c r="BA74" s="127">
        <f t="shared" ref="BA74:BA138" si="105">AG74*AZ74</f>
        <v>760.00000000000011</v>
      </c>
      <c r="BB74" s="262">
        <v>1000</v>
      </c>
      <c r="BC74" s="356">
        <f t="shared" ref="BC74:BC138" si="106">AH74*BB74</f>
        <v>760.00000000000011</v>
      </c>
      <c r="BD74" s="262">
        <v>1000</v>
      </c>
      <c r="BE74" s="127">
        <f t="shared" ref="BE74:BE138" si="107">AI74*BD74</f>
        <v>760.00000000000011</v>
      </c>
      <c r="BF74" s="262">
        <v>1000</v>
      </c>
      <c r="BG74" s="127">
        <f t="shared" ref="BG74:BG138" si="108">AJ74*BF74</f>
        <v>760.00000000000011</v>
      </c>
      <c r="BH74" s="262">
        <v>1000</v>
      </c>
      <c r="BI74" s="329">
        <f t="shared" ref="BI74:BI138" si="109">AK74*BH74</f>
        <v>760.00000000000011</v>
      </c>
      <c r="BJ74" s="177" t="s">
        <v>552</v>
      </c>
      <c r="BK74" s="78"/>
      <c r="BL74" s="78" t="s">
        <v>202</v>
      </c>
      <c r="BM74" s="9" t="s">
        <v>341</v>
      </c>
    </row>
    <row r="75" spans="1:65" ht="17" customHeight="1">
      <c r="A75" s="197" t="s">
        <v>383</v>
      </c>
      <c r="B75" s="9" t="s">
        <v>611</v>
      </c>
      <c r="C75" s="1" t="s">
        <v>30</v>
      </c>
      <c r="D75" s="1017"/>
      <c r="E75" s="1017"/>
      <c r="F75" s="1001"/>
      <c r="G75" s="208" t="s">
        <v>203</v>
      </c>
      <c r="H75" s="856" t="s">
        <v>209</v>
      </c>
      <c r="I75" s="273" t="s">
        <v>148</v>
      </c>
      <c r="J75" s="73" t="s">
        <v>198</v>
      </c>
      <c r="K75" s="72" t="s">
        <v>199</v>
      </c>
      <c r="L75" s="72" t="s">
        <v>210</v>
      </c>
      <c r="M75" s="346" t="s">
        <v>353</v>
      </c>
      <c r="N75" s="82">
        <v>13.43</v>
      </c>
      <c r="O75" s="82">
        <v>13.43</v>
      </c>
      <c r="P75" s="82">
        <v>13.43</v>
      </c>
      <c r="Q75" s="82">
        <v>13.43</v>
      </c>
      <c r="R75" s="812">
        <v>14.08</v>
      </c>
      <c r="S75" s="812">
        <v>14.08</v>
      </c>
      <c r="T75" s="812">
        <v>14.08</v>
      </c>
      <c r="U75" s="812">
        <v>14.08</v>
      </c>
      <c r="V75" s="812">
        <v>14.08</v>
      </c>
      <c r="W75" s="812">
        <v>14.08</v>
      </c>
      <c r="X75" s="812">
        <v>14.08</v>
      </c>
      <c r="Y75" s="812">
        <v>14.08</v>
      </c>
      <c r="Z75" s="195">
        <v>1.1199999999999992</v>
      </c>
      <c r="AA75" s="379">
        <v>1.1199999999999992</v>
      </c>
      <c r="AB75" s="382">
        <v>1.1199999999999992</v>
      </c>
      <c r="AC75" s="379">
        <v>1.1199999999999992</v>
      </c>
      <c r="AD75" s="770">
        <f t="shared" si="97"/>
        <v>0.76000000000000012</v>
      </c>
      <c r="AE75" s="770">
        <f t="shared" si="97"/>
        <v>0.76000000000000012</v>
      </c>
      <c r="AF75" s="770">
        <f t="shared" si="97"/>
        <v>0.76000000000000012</v>
      </c>
      <c r="AG75" s="770">
        <f t="shared" si="97"/>
        <v>0.76000000000000012</v>
      </c>
      <c r="AH75" s="770">
        <f t="shared" si="97"/>
        <v>0.76000000000000012</v>
      </c>
      <c r="AI75" s="770">
        <f t="shared" si="97"/>
        <v>0.76000000000000012</v>
      </c>
      <c r="AJ75" s="770">
        <f t="shared" si="97"/>
        <v>0.76000000000000012</v>
      </c>
      <c r="AK75" s="770">
        <f t="shared" si="97"/>
        <v>0.76000000000000012</v>
      </c>
      <c r="AL75" s="545">
        <v>0</v>
      </c>
      <c r="AM75" s="496">
        <f t="shared" si="98"/>
        <v>0</v>
      </c>
      <c r="AN75" s="569">
        <v>0</v>
      </c>
      <c r="AO75" s="496">
        <f t="shared" si="99"/>
        <v>0</v>
      </c>
      <c r="AP75" s="569">
        <v>0</v>
      </c>
      <c r="AQ75" s="621">
        <f t="shared" si="100"/>
        <v>0</v>
      </c>
      <c r="AR75" s="569">
        <v>0</v>
      </c>
      <c r="AS75" s="777">
        <f t="shared" si="101"/>
        <v>0</v>
      </c>
      <c r="AT75" s="570">
        <v>0</v>
      </c>
      <c r="AU75" s="496">
        <f t="shared" si="102"/>
        <v>0</v>
      </c>
      <c r="AV75" s="262">
        <v>1000</v>
      </c>
      <c r="AW75" s="390">
        <f t="shared" si="103"/>
        <v>760.00000000000011</v>
      </c>
      <c r="AX75" s="262">
        <v>1000</v>
      </c>
      <c r="AY75" s="389">
        <f t="shared" si="104"/>
        <v>760.00000000000011</v>
      </c>
      <c r="AZ75" s="262">
        <v>1000</v>
      </c>
      <c r="BA75" s="389">
        <f t="shared" si="105"/>
        <v>760.00000000000011</v>
      </c>
      <c r="BB75" s="262">
        <v>1000</v>
      </c>
      <c r="BC75" s="391">
        <f t="shared" si="106"/>
        <v>760.00000000000011</v>
      </c>
      <c r="BD75" s="123">
        <v>1000</v>
      </c>
      <c r="BE75" s="389">
        <f t="shared" si="107"/>
        <v>760.00000000000011</v>
      </c>
      <c r="BF75" s="58">
        <v>1000</v>
      </c>
      <c r="BG75" s="389">
        <f t="shared" si="108"/>
        <v>760.00000000000011</v>
      </c>
      <c r="BH75" s="58">
        <v>1000</v>
      </c>
      <c r="BI75" s="392">
        <f t="shared" si="109"/>
        <v>760.00000000000011</v>
      </c>
      <c r="BJ75" s="177" t="s">
        <v>552</v>
      </c>
      <c r="BK75" s="78"/>
      <c r="BL75" s="78" t="s">
        <v>202</v>
      </c>
      <c r="BM75" s="9" t="s">
        <v>341</v>
      </c>
    </row>
    <row r="76" spans="1:65" ht="17" customHeight="1">
      <c r="A76" s="197" t="s">
        <v>383</v>
      </c>
      <c r="B76" s="9" t="s">
        <v>611</v>
      </c>
      <c r="C76" s="1" t="s">
        <v>30</v>
      </c>
      <c r="D76" s="1017"/>
      <c r="E76" s="1017"/>
      <c r="F76" s="1001"/>
      <c r="G76" s="170" t="s">
        <v>203</v>
      </c>
      <c r="H76" s="857" t="s">
        <v>209</v>
      </c>
      <c r="I76" s="274" t="s">
        <v>148</v>
      </c>
      <c r="J76" s="110" t="s">
        <v>198</v>
      </c>
      <c r="K76" s="111" t="s">
        <v>199</v>
      </c>
      <c r="L76" s="111" t="s">
        <v>154</v>
      </c>
      <c r="M76" s="348" t="s">
        <v>358</v>
      </c>
      <c r="N76" s="82">
        <v>13.43</v>
      </c>
      <c r="O76" s="6">
        <v>13.43</v>
      </c>
      <c r="P76" s="6">
        <v>13.43</v>
      </c>
      <c r="Q76" s="6">
        <v>13.43</v>
      </c>
      <c r="R76" s="812">
        <v>14.08</v>
      </c>
      <c r="S76" s="812">
        <v>14.08</v>
      </c>
      <c r="T76" s="812">
        <v>14.08</v>
      </c>
      <c r="U76" s="812">
        <v>14.08</v>
      </c>
      <c r="V76" s="812">
        <v>14.08</v>
      </c>
      <c r="W76" s="812">
        <v>14.08</v>
      </c>
      <c r="X76" s="812">
        <v>14.08</v>
      </c>
      <c r="Y76" s="812">
        <v>14.08</v>
      </c>
      <c r="Z76" s="195">
        <v>1.1199999999999992</v>
      </c>
      <c r="AA76" s="383">
        <v>1.1199999999999992</v>
      </c>
      <c r="AB76" s="383">
        <v>1.1199999999999992</v>
      </c>
      <c r="AC76" s="383">
        <v>1.1199999999999992</v>
      </c>
      <c r="AD76" s="770">
        <f t="shared" si="97"/>
        <v>0.76000000000000012</v>
      </c>
      <c r="AE76" s="770">
        <f t="shared" si="97"/>
        <v>0.76000000000000012</v>
      </c>
      <c r="AF76" s="770">
        <f t="shared" si="97"/>
        <v>0.76000000000000012</v>
      </c>
      <c r="AG76" s="770">
        <f t="shared" si="97"/>
        <v>0.76000000000000012</v>
      </c>
      <c r="AH76" s="770">
        <f t="shared" si="97"/>
        <v>0.76000000000000012</v>
      </c>
      <c r="AI76" s="770">
        <f t="shared" si="97"/>
        <v>0.76000000000000012</v>
      </c>
      <c r="AJ76" s="770">
        <f t="shared" si="97"/>
        <v>0.76000000000000012</v>
      </c>
      <c r="AK76" s="770">
        <f t="shared" si="97"/>
        <v>0.76000000000000012</v>
      </c>
      <c r="AL76" s="518">
        <v>1120</v>
      </c>
      <c r="AM76" s="494">
        <f t="shared" si="98"/>
        <v>1254.3999999999992</v>
      </c>
      <c r="AN76" s="510">
        <v>120</v>
      </c>
      <c r="AO76" s="494">
        <f t="shared" si="99"/>
        <v>134.39999999999992</v>
      </c>
      <c r="AP76" s="510">
        <v>1110</v>
      </c>
      <c r="AQ76" s="620">
        <f t="shared" si="100"/>
        <v>1243.1999999999991</v>
      </c>
      <c r="AR76" s="510">
        <v>400</v>
      </c>
      <c r="AS76" s="775">
        <f t="shared" si="101"/>
        <v>447.99999999999966</v>
      </c>
      <c r="AT76" s="510">
        <v>2420</v>
      </c>
      <c r="AU76" s="494">
        <f t="shared" si="102"/>
        <v>1839.2000000000003</v>
      </c>
      <c r="AV76" s="354">
        <v>5000</v>
      </c>
      <c r="AW76" s="355">
        <f t="shared" si="103"/>
        <v>3800.0000000000005</v>
      </c>
      <c r="AX76" s="354">
        <v>5000</v>
      </c>
      <c r="AY76" s="127">
        <f t="shared" si="104"/>
        <v>3800.0000000000005</v>
      </c>
      <c r="AZ76" s="354">
        <v>5000</v>
      </c>
      <c r="BA76" s="127">
        <f t="shared" si="105"/>
        <v>3800.0000000000005</v>
      </c>
      <c r="BB76" s="354">
        <v>5000</v>
      </c>
      <c r="BC76" s="356">
        <f t="shared" si="106"/>
        <v>3800.0000000000005</v>
      </c>
      <c r="BD76" s="354">
        <v>5000</v>
      </c>
      <c r="BE76" s="127">
        <f t="shared" si="107"/>
        <v>3800.0000000000005</v>
      </c>
      <c r="BF76" s="354">
        <v>5000</v>
      </c>
      <c r="BG76" s="127">
        <f t="shared" si="108"/>
        <v>3800.0000000000005</v>
      </c>
      <c r="BH76" s="354">
        <v>5000</v>
      </c>
      <c r="BI76" s="329">
        <f t="shared" si="109"/>
        <v>3800.0000000000005</v>
      </c>
      <c r="BJ76" s="177" t="s">
        <v>552</v>
      </c>
      <c r="BK76" s="78"/>
      <c r="BL76" s="78" t="s">
        <v>202</v>
      </c>
      <c r="BM76" s="9" t="s">
        <v>341</v>
      </c>
    </row>
    <row r="77" spans="1:65" ht="17" customHeight="1">
      <c r="A77" s="197" t="s">
        <v>383</v>
      </c>
      <c r="B77" s="9" t="s">
        <v>611</v>
      </c>
      <c r="C77" s="78" t="s">
        <v>30</v>
      </c>
      <c r="D77" s="1017"/>
      <c r="E77" s="1017"/>
      <c r="F77" s="1001"/>
      <c r="G77" s="170" t="s">
        <v>203</v>
      </c>
      <c r="H77" s="857" t="s">
        <v>209</v>
      </c>
      <c r="I77" s="274" t="s">
        <v>148</v>
      </c>
      <c r="J77" s="110" t="s">
        <v>198</v>
      </c>
      <c r="K77" s="111" t="s">
        <v>199</v>
      </c>
      <c r="L77" s="72" t="s">
        <v>210</v>
      </c>
      <c r="M77" s="348" t="s">
        <v>359</v>
      </c>
      <c r="N77" s="6">
        <v>14.9</v>
      </c>
      <c r="O77" s="6">
        <v>14.9</v>
      </c>
      <c r="P77" s="6">
        <v>14.9</v>
      </c>
      <c r="Q77" s="6">
        <v>14.9</v>
      </c>
      <c r="R77" s="813">
        <v>14.9</v>
      </c>
      <c r="S77" s="813">
        <v>14.9</v>
      </c>
      <c r="T77" s="813">
        <v>14.9</v>
      </c>
      <c r="U77" s="813">
        <v>14.9</v>
      </c>
      <c r="V77" s="813">
        <v>14.9</v>
      </c>
      <c r="W77" s="813">
        <v>14.9</v>
      </c>
      <c r="X77" s="813">
        <v>14.9</v>
      </c>
      <c r="Y77" s="813">
        <v>14.9</v>
      </c>
      <c r="Z77" s="195">
        <v>1.58</v>
      </c>
      <c r="AA77" s="383">
        <v>1.58</v>
      </c>
      <c r="AB77" s="383">
        <v>1.58</v>
      </c>
      <c r="AC77" s="383">
        <v>1.58</v>
      </c>
      <c r="AD77" s="771">
        <f>1.58-0.36</f>
        <v>1.2200000000000002</v>
      </c>
      <c r="AE77" s="771">
        <f t="shared" ref="AE77:AK77" si="110">1.58-0.36</f>
        <v>1.2200000000000002</v>
      </c>
      <c r="AF77" s="771">
        <f t="shared" si="110"/>
        <v>1.2200000000000002</v>
      </c>
      <c r="AG77" s="771">
        <f t="shared" si="110"/>
        <v>1.2200000000000002</v>
      </c>
      <c r="AH77" s="771">
        <f t="shared" si="110"/>
        <v>1.2200000000000002</v>
      </c>
      <c r="AI77" s="771">
        <f t="shared" si="110"/>
        <v>1.2200000000000002</v>
      </c>
      <c r="AJ77" s="771">
        <f t="shared" si="110"/>
        <v>1.2200000000000002</v>
      </c>
      <c r="AK77" s="771">
        <f t="shared" si="110"/>
        <v>1.2200000000000002</v>
      </c>
      <c r="AL77" s="518">
        <v>0</v>
      </c>
      <c r="AM77" s="496">
        <f t="shared" si="98"/>
        <v>0</v>
      </c>
      <c r="AN77" s="554">
        <v>0</v>
      </c>
      <c r="AO77" s="496">
        <f t="shared" si="99"/>
        <v>0</v>
      </c>
      <c r="AP77" s="554">
        <v>0</v>
      </c>
      <c r="AQ77" s="621">
        <f t="shared" si="100"/>
        <v>0</v>
      </c>
      <c r="AR77" s="569">
        <v>0</v>
      </c>
      <c r="AS77" s="777">
        <f t="shared" si="101"/>
        <v>0</v>
      </c>
      <c r="AT77" s="554">
        <v>0</v>
      </c>
      <c r="AU77" s="496">
        <f t="shared" si="102"/>
        <v>0</v>
      </c>
      <c r="AV77" s="58">
        <v>0</v>
      </c>
      <c r="AW77" s="390">
        <f t="shared" si="103"/>
        <v>0</v>
      </c>
      <c r="AX77" s="123">
        <v>0</v>
      </c>
      <c r="AY77" s="389">
        <f t="shared" si="104"/>
        <v>0</v>
      </c>
      <c r="AZ77" s="58">
        <v>0</v>
      </c>
      <c r="BA77" s="389">
        <f t="shared" si="105"/>
        <v>0</v>
      </c>
      <c r="BB77" s="58">
        <v>0</v>
      </c>
      <c r="BC77" s="391">
        <f t="shared" si="106"/>
        <v>0</v>
      </c>
      <c r="BD77" s="123">
        <v>0</v>
      </c>
      <c r="BE77" s="389">
        <f t="shared" si="107"/>
        <v>0</v>
      </c>
      <c r="BF77" s="58">
        <v>0</v>
      </c>
      <c r="BG77" s="389">
        <f t="shared" si="108"/>
        <v>0</v>
      </c>
      <c r="BH77" s="58">
        <v>0</v>
      </c>
      <c r="BI77" s="392">
        <f t="shared" si="109"/>
        <v>0</v>
      </c>
      <c r="BJ77" s="177" t="s">
        <v>553</v>
      </c>
      <c r="BK77" s="78" t="s">
        <v>211</v>
      </c>
      <c r="BL77" s="78" t="s">
        <v>201</v>
      </c>
      <c r="BM77" s="9" t="s">
        <v>416</v>
      </c>
    </row>
    <row r="78" spans="1:65" ht="17" customHeight="1">
      <c r="A78" s="197" t="s">
        <v>383</v>
      </c>
      <c r="B78" s="9" t="s">
        <v>611</v>
      </c>
      <c r="C78" s="1" t="s">
        <v>30</v>
      </c>
      <c r="D78" s="1017"/>
      <c r="E78" s="1017"/>
      <c r="F78" s="1001"/>
      <c r="G78" s="175" t="s">
        <v>203</v>
      </c>
      <c r="H78" s="855" t="s">
        <v>212</v>
      </c>
      <c r="I78" s="259" t="s">
        <v>148</v>
      </c>
      <c r="J78" s="61" t="s">
        <v>198</v>
      </c>
      <c r="K78" s="60" t="s">
        <v>199</v>
      </c>
      <c r="L78" s="60" t="s">
        <v>200</v>
      </c>
      <c r="M78" s="345" t="s">
        <v>347</v>
      </c>
      <c r="N78" s="81">
        <v>5.55</v>
      </c>
      <c r="O78" s="81">
        <v>5.55</v>
      </c>
      <c r="P78" s="81">
        <v>5.55</v>
      </c>
      <c r="Q78" s="81">
        <v>5.55</v>
      </c>
      <c r="R78" s="812">
        <v>5.55</v>
      </c>
      <c r="S78" s="812">
        <v>5.55</v>
      </c>
      <c r="T78" s="812">
        <v>5.55</v>
      </c>
      <c r="U78" s="812">
        <v>5.55</v>
      </c>
      <c r="V78" s="812">
        <v>5.55</v>
      </c>
      <c r="W78" s="812">
        <v>5.55</v>
      </c>
      <c r="X78" s="812">
        <v>5.55</v>
      </c>
      <c r="Y78" s="812">
        <v>5.55</v>
      </c>
      <c r="Z78" s="195">
        <v>0.36</v>
      </c>
      <c r="AA78" s="96">
        <v>0.36</v>
      </c>
      <c r="AB78" s="92">
        <v>0.36</v>
      </c>
      <c r="AC78" s="92">
        <v>0.36</v>
      </c>
      <c r="AD78" s="92">
        <v>0.36</v>
      </c>
      <c r="AE78" s="92">
        <v>0.36</v>
      </c>
      <c r="AF78" s="92">
        <v>0.36</v>
      </c>
      <c r="AG78" s="92">
        <v>0.36</v>
      </c>
      <c r="AH78" s="92">
        <v>0.36</v>
      </c>
      <c r="AI78" s="92">
        <v>0.36</v>
      </c>
      <c r="AJ78" s="92">
        <v>0.36</v>
      </c>
      <c r="AK78" s="674">
        <v>0.36</v>
      </c>
      <c r="AL78" s="545">
        <v>0</v>
      </c>
      <c r="AM78" s="494">
        <f t="shared" si="98"/>
        <v>0</v>
      </c>
      <c r="AN78" s="568">
        <v>0</v>
      </c>
      <c r="AO78" s="494">
        <f t="shared" si="99"/>
        <v>0</v>
      </c>
      <c r="AP78" s="554">
        <v>0</v>
      </c>
      <c r="AQ78" s="620">
        <f t="shared" si="100"/>
        <v>0</v>
      </c>
      <c r="AR78" s="569">
        <v>0</v>
      </c>
      <c r="AS78" s="775">
        <f t="shared" si="101"/>
        <v>0</v>
      </c>
      <c r="AT78" s="571">
        <v>0</v>
      </c>
      <c r="AU78" s="494">
        <f t="shared" si="102"/>
        <v>0</v>
      </c>
      <c r="AV78" s="115">
        <v>0</v>
      </c>
      <c r="AW78" s="355">
        <f t="shared" si="103"/>
        <v>0</v>
      </c>
      <c r="AX78" s="123">
        <v>0</v>
      </c>
      <c r="AY78" s="127">
        <f t="shared" si="104"/>
        <v>0</v>
      </c>
      <c r="AZ78" s="58">
        <v>0</v>
      </c>
      <c r="BA78" s="127">
        <f t="shared" si="105"/>
        <v>0</v>
      </c>
      <c r="BB78" s="58">
        <v>0</v>
      </c>
      <c r="BC78" s="356">
        <f t="shared" si="106"/>
        <v>0</v>
      </c>
      <c r="BD78" s="123">
        <v>0</v>
      </c>
      <c r="BE78" s="127">
        <f t="shared" si="107"/>
        <v>0</v>
      </c>
      <c r="BF78" s="58">
        <v>0</v>
      </c>
      <c r="BG78" s="127">
        <f t="shared" si="108"/>
        <v>0</v>
      </c>
      <c r="BH78" s="58">
        <v>0</v>
      </c>
      <c r="BI78" s="329">
        <f t="shared" si="109"/>
        <v>0</v>
      </c>
      <c r="BJ78" s="177" t="s">
        <v>554</v>
      </c>
      <c r="BK78" s="78"/>
      <c r="BL78" s="78" t="s">
        <v>201</v>
      </c>
      <c r="BM78" s="9" t="s">
        <v>710</v>
      </c>
    </row>
    <row r="79" spans="1:65" ht="17" customHeight="1">
      <c r="A79" s="197" t="s">
        <v>383</v>
      </c>
      <c r="B79" s="9" t="s">
        <v>611</v>
      </c>
      <c r="C79" s="1" t="s">
        <v>30</v>
      </c>
      <c r="D79" s="1017"/>
      <c r="E79" s="1017"/>
      <c r="F79" s="1001"/>
      <c r="G79" s="175" t="s">
        <v>203</v>
      </c>
      <c r="H79" s="855" t="s">
        <v>212</v>
      </c>
      <c r="I79" s="259" t="s">
        <v>148</v>
      </c>
      <c r="J79" s="61" t="s">
        <v>198</v>
      </c>
      <c r="K79" s="60" t="s">
        <v>199</v>
      </c>
      <c r="L79" s="60" t="s">
        <v>200</v>
      </c>
      <c r="M79" s="345" t="s">
        <v>351</v>
      </c>
      <c r="N79" s="81">
        <v>5.55</v>
      </c>
      <c r="O79" s="81">
        <v>5.55</v>
      </c>
      <c r="P79" s="81">
        <v>5.55</v>
      </c>
      <c r="Q79" s="81">
        <v>5.55</v>
      </c>
      <c r="R79" s="812">
        <v>6.9399999999999995</v>
      </c>
      <c r="S79" s="812">
        <v>6.9399999999999995</v>
      </c>
      <c r="T79" s="812">
        <v>6.9399999999999995</v>
      </c>
      <c r="U79" s="812">
        <v>6.9399999999999995</v>
      </c>
      <c r="V79" s="812">
        <v>6.9399999999999995</v>
      </c>
      <c r="W79" s="812">
        <v>6.9399999999999995</v>
      </c>
      <c r="X79" s="812">
        <v>6.9399999999999995</v>
      </c>
      <c r="Y79" s="812">
        <v>6.9399999999999995</v>
      </c>
      <c r="Z79" s="195">
        <v>0.36</v>
      </c>
      <c r="AA79" s="96">
        <v>0.36</v>
      </c>
      <c r="AB79" s="92">
        <v>0.36</v>
      </c>
      <c r="AC79" s="92">
        <v>0.36</v>
      </c>
      <c r="AD79" s="92">
        <v>0.36</v>
      </c>
      <c r="AE79" s="92">
        <v>0.36</v>
      </c>
      <c r="AF79" s="92">
        <v>0.36</v>
      </c>
      <c r="AG79" s="92">
        <v>0.36</v>
      </c>
      <c r="AH79" s="92">
        <v>0.36</v>
      </c>
      <c r="AI79" s="92">
        <v>0.36</v>
      </c>
      <c r="AJ79" s="92">
        <v>0.36</v>
      </c>
      <c r="AK79" s="674">
        <v>0.36</v>
      </c>
      <c r="AL79" s="545">
        <v>0</v>
      </c>
      <c r="AM79" s="496">
        <f t="shared" si="98"/>
        <v>0</v>
      </c>
      <c r="AN79" s="568">
        <v>0</v>
      </c>
      <c r="AO79" s="496">
        <f t="shared" si="99"/>
        <v>0</v>
      </c>
      <c r="AP79" s="554">
        <v>0</v>
      </c>
      <c r="AQ79" s="621">
        <f t="shared" si="100"/>
        <v>0</v>
      </c>
      <c r="AR79" s="569">
        <v>0</v>
      </c>
      <c r="AS79" s="777">
        <f t="shared" si="101"/>
        <v>0</v>
      </c>
      <c r="AT79" s="571">
        <v>0</v>
      </c>
      <c r="AU79" s="496">
        <f t="shared" si="102"/>
        <v>0</v>
      </c>
      <c r="AV79" s="115">
        <v>0</v>
      </c>
      <c r="AW79" s="390">
        <f t="shared" si="103"/>
        <v>0</v>
      </c>
      <c r="AX79" s="123">
        <v>0</v>
      </c>
      <c r="AY79" s="389">
        <f t="shared" si="104"/>
        <v>0</v>
      </c>
      <c r="AZ79" s="58">
        <v>0</v>
      </c>
      <c r="BA79" s="389">
        <f t="shared" si="105"/>
        <v>0</v>
      </c>
      <c r="BB79" s="58">
        <v>0</v>
      </c>
      <c r="BC79" s="391">
        <f t="shared" si="106"/>
        <v>0</v>
      </c>
      <c r="BD79" s="123">
        <v>0</v>
      </c>
      <c r="BE79" s="389">
        <f t="shared" si="107"/>
        <v>0</v>
      </c>
      <c r="BF79" s="58">
        <v>0</v>
      </c>
      <c r="BG79" s="389">
        <f t="shared" si="108"/>
        <v>0</v>
      </c>
      <c r="BH79" s="58">
        <v>0</v>
      </c>
      <c r="BI79" s="392">
        <f t="shared" si="109"/>
        <v>0</v>
      </c>
      <c r="BJ79" s="177" t="s">
        <v>554</v>
      </c>
      <c r="BK79" s="78"/>
      <c r="BL79" s="78" t="s">
        <v>201</v>
      </c>
      <c r="BM79" s="9" t="s">
        <v>342</v>
      </c>
    </row>
    <row r="80" spans="1:65" ht="17" customHeight="1">
      <c r="A80" s="197" t="s">
        <v>383</v>
      </c>
      <c r="B80" s="9" t="s">
        <v>611</v>
      </c>
      <c r="C80" s="1" t="s">
        <v>30</v>
      </c>
      <c r="D80" s="1017"/>
      <c r="E80" s="1017"/>
      <c r="F80" s="1001"/>
      <c r="G80" s="175" t="s">
        <v>203</v>
      </c>
      <c r="H80" s="855" t="s">
        <v>212</v>
      </c>
      <c r="I80" s="259" t="s">
        <v>148</v>
      </c>
      <c r="J80" s="61" t="s">
        <v>198</v>
      </c>
      <c r="K80" s="60" t="s">
        <v>199</v>
      </c>
      <c r="L80" s="60" t="s">
        <v>200</v>
      </c>
      <c r="M80" s="345" t="s">
        <v>352</v>
      </c>
      <c r="N80" s="81">
        <v>5.55</v>
      </c>
      <c r="O80" s="81">
        <v>5.55</v>
      </c>
      <c r="P80" s="81">
        <v>5.55</v>
      </c>
      <c r="Q80" s="81">
        <v>5.55</v>
      </c>
      <c r="R80" s="812">
        <v>5.89</v>
      </c>
      <c r="S80" s="812">
        <v>5.89</v>
      </c>
      <c r="T80" s="812">
        <v>5.89</v>
      </c>
      <c r="U80" s="812">
        <v>5.89</v>
      </c>
      <c r="V80" s="812">
        <v>5.89</v>
      </c>
      <c r="W80" s="812">
        <v>5.89</v>
      </c>
      <c r="X80" s="812">
        <v>5.89</v>
      </c>
      <c r="Y80" s="812">
        <v>5.89</v>
      </c>
      <c r="Z80" s="195">
        <v>0.36</v>
      </c>
      <c r="AA80" s="96">
        <v>0.36</v>
      </c>
      <c r="AB80" s="92">
        <v>0.36</v>
      </c>
      <c r="AC80" s="92">
        <v>0.36</v>
      </c>
      <c r="AD80" s="92">
        <v>0.36</v>
      </c>
      <c r="AE80" s="92">
        <v>0.36</v>
      </c>
      <c r="AF80" s="92">
        <v>0.36</v>
      </c>
      <c r="AG80" s="92">
        <v>0.36</v>
      </c>
      <c r="AH80" s="92">
        <v>0.36</v>
      </c>
      <c r="AI80" s="92">
        <v>0.36</v>
      </c>
      <c r="AJ80" s="92">
        <v>0.36</v>
      </c>
      <c r="AK80" s="674">
        <v>0.36</v>
      </c>
      <c r="AL80" s="545">
        <v>288</v>
      </c>
      <c r="AM80" s="494">
        <f t="shared" si="98"/>
        <v>103.67999999999999</v>
      </c>
      <c r="AN80" s="568">
        <v>3288</v>
      </c>
      <c r="AO80" s="494">
        <f t="shared" si="99"/>
        <v>1183.68</v>
      </c>
      <c r="AP80" s="568">
        <v>1896</v>
      </c>
      <c r="AQ80" s="620">
        <f t="shared" si="100"/>
        <v>682.56</v>
      </c>
      <c r="AR80" s="569">
        <v>0</v>
      </c>
      <c r="AS80" s="775">
        <f t="shared" si="101"/>
        <v>0</v>
      </c>
      <c r="AT80" s="571">
        <v>2304</v>
      </c>
      <c r="AU80" s="494">
        <f t="shared" si="102"/>
        <v>829.43999999999994</v>
      </c>
      <c r="AV80" s="115">
        <v>0</v>
      </c>
      <c r="AW80" s="355">
        <f t="shared" si="103"/>
        <v>0</v>
      </c>
      <c r="AX80" s="114">
        <v>0</v>
      </c>
      <c r="AY80" s="127">
        <f t="shared" si="104"/>
        <v>0</v>
      </c>
      <c r="AZ80" s="115">
        <v>0</v>
      </c>
      <c r="BA80" s="127">
        <f t="shared" si="105"/>
        <v>0</v>
      </c>
      <c r="BB80" s="115">
        <v>0</v>
      </c>
      <c r="BC80" s="356">
        <f t="shared" si="106"/>
        <v>0</v>
      </c>
      <c r="BD80" s="114">
        <v>0</v>
      </c>
      <c r="BE80" s="127">
        <f t="shared" si="107"/>
        <v>0</v>
      </c>
      <c r="BF80" s="115">
        <v>0</v>
      </c>
      <c r="BG80" s="127">
        <f t="shared" si="108"/>
        <v>0</v>
      </c>
      <c r="BH80" s="115">
        <v>0</v>
      </c>
      <c r="BI80" s="329">
        <f t="shared" si="109"/>
        <v>0</v>
      </c>
      <c r="BJ80" s="177" t="s">
        <v>554</v>
      </c>
      <c r="BK80" s="78"/>
      <c r="BL80" s="78" t="s">
        <v>201</v>
      </c>
      <c r="BM80" s="9" t="s">
        <v>342</v>
      </c>
    </row>
    <row r="81" spans="1:65" ht="17" customHeight="1">
      <c r="A81" s="197" t="s">
        <v>383</v>
      </c>
      <c r="B81" s="9" t="s">
        <v>611</v>
      </c>
      <c r="C81" s="1" t="s">
        <v>30</v>
      </c>
      <c r="D81" s="1017"/>
      <c r="E81" s="1017"/>
      <c r="F81" s="1001"/>
      <c r="G81" s="175" t="s">
        <v>213</v>
      </c>
      <c r="H81" s="858" t="s">
        <v>214</v>
      </c>
      <c r="I81" s="259" t="s">
        <v>148</v>
      </c>
      <c r="J81" s="61" t="s">
        <v>198</v>
      </c>
      <c r="K81" s="60" t="s">
        <v>199</v>
      </c>
      <c r="L81" s="60" t="s">
        <v>200</v>
      </c>
      <c r="M81" s="814" t="s">
        <v>354</v>
      </c>
      <c r="N81" s="335">
        <v>4.5799999999999992</v>
      </c>
      <c r="O81" s="81">
        <v>4.5799999999999992</v>
      </c>
      <c r="P81" s="81">
        <v>4.5799999999999992</v>
      </c>
      <c r="Q81" s="81">
        <v>4.5799999999999992</v>
      </c>
      <c r="R81" s="812">
        <v>5.61</v>
      </c>
      <c r="S81" s="812">
        <v>5.61</v>
      </c>
      <c r="T81" s="812">
        <v>5.61</v>
      </c>
      <c r="U81" s="812">
        <v>5.61</v>
      </c>
      <c r="V81" s="812">
        <v>5.61</v>
      </c>
      <c r="W81" s="812">
        <v>5.61</v>
      </c>
      <c r="X81" s="812">
        <v>5.61</v>
      </c>
      <c r="Y81" s="812">
        <v>5.61</v>
      </c>
      <c r="Z81" s="195">
        <v>0.15</v>
      </c>
      <c r="AA81" s="96">
        <v>0.15</v>
      </c>
      <c r="AB81" s="92">
        <v>0.15</v>
      </c>
      <c r="AC81" s="92">
        <v>0.15</v>
      </c>
      <c r="AD81" s="770">
        <v>0.65000000000000036</v>
      </c>
      <c r="AE81" s="815">
        <v>0.38000000000000078</v>
      </c>
      <c r="AF81" s="815">
        <v>0.38000000000000078</v>
      </c>
      <c r="AG81" s="815">
        <v>0.38000000000000078</v>
      </c>
      <c r="AH81" s="815">
        <v>0.38000000000000078</v>
      </c>
      <c r="AI81" s="815">
        <v>0.38000000000000078</v>
      </c>
      <c r="AJ81" s="815">
        <v>0.38000000000000078</v>
      </c>
      <c r="AK81" s="815">
        <v>0.38000000000000078</v>
      </c>
      <c r="AL81" s="545">
        <v>120</v>
      </c>
      <c r="AM81" s="496">
        <f t="shared" si="98"/>
        <v>18</v>
      </c>
      <c r="AN81" s="569">
        <v>288</v>
      </c>
      <c r="AO81" s="496">
        <f t="shared" si="99"/>
        <v>43.199999999999996</v>
      </c>
      <c r="AP81" s="569">
        <v>300</v>
      </c>
      <c r="AQ81" s="621">
        <f t="shared" si="100"/>
        <v>45</v>
      </c>
      <c r="AR81" s="569">
        <v>12</v>
      </c>
      <c r="AS81" s="777">
        <f t="shared" si="101"/>
        <v>1.7999999999999998</v>
      </c>
      <c r="AT81" s="570">
        <v>396</v>
      </c>
      <c r="AU81" s="496">
        <f t="shared" si="102"/>
        <v>257.40000000000015</v>
      </c>
      <c r="AV81" s="262">
        <v>576</v>
      </c>
      <c r="AW81" s="390">
        <f t="shared" si="103"/>
        <v>218.88000000000045</v>
      </c>
      <c r="AX81" s="262">
        <v>576</v>
      </c>
      <c r="AY81" s="389">
        <f t="shared" si="104"/>
        <v>218.88000000000045</v>
      </c>
      <c r="AZ81" s="262">
        <v>576</v>
      </c>
      <c r="BA81" s="389">
        <f t="shared" si="105"/>
        <v>218.88000000000045</v>
      </c>
      <c r="BB81" s="262">
        <v>576</v>
      </c>
      <c r="BC81" s="391">
        <f t="shared" si="106"/>
        <v>218.88000000000045</v>
      </c>
      <c r="BD81" s="262">
        <v>576</v>
      </c>
      <c r="BE81" s="389">
        <f t="shared" si="107"/>
        <v>218.88000000000045</v>
      </c>
      <c r="BF81" s="262">
        <v>576</v>
      </c>
      <c r="BG81" s="389">
        <f t="shared" si="108"/>
        <v>218.88000000000045</v>
      </c>
      <c r="BH81" s="262">
        <v>576</v>
      </c>
      <c r="BI81" s="392">
        <f t="shared" si="109"/>
        <v>218.88000000000045</v>
      </c>
      <c r="BJ81" s="177" t="s">
        <v>555</v>
      </c>
      <c r="BK81" s="78"/>
      <c r="BL81" s="78" t="s">
        <v>201</v>
      </c>
      <c r="BM81" s="9" t="s">
        <v>711</v>
      </c>
    </row>
    <row r="82" spans="1:65" ht="17" customHeight="1">
      <c r="A82" s="197" t="s">
        <v>383</v>
      </c>
      <c r="B82" s="9" t="s">
        <v>611</v>
      </c>
      <c r="C82" s="1" t="s">
        <v>30</v>
      </c>
      <c r="D82" s="1017"/>
      <c r="E82" s="1017"/>
      <c r="F82" s="1001"/>
      <c r="G82" s="175" t="s">
        <v>213</v>
      </c>
      <c r="H82" s="858" t="s">
        <v>214</v>
      </c>
      <c r="I82" s="259" t="s">
        <v>148</v>
      </c>
      <c r="J82" s="61" t="s">
        <v>198</v>
      </c>
      <c r="K82" s="60" t="s">
        <v>199</v>
      </c>
      <c r="L82" s="60" t="s">
        <v>200</v>
      </c>
      <c r="M82" s="816" t="s">
        <v>357</v>
      </c>
      <c r="N82" s="335">
        <v>4.5799999999999992</v>
      </c>
      <c r="O82" s="81">
        <v>4.5799999999999992</v>
      </c>
      <c r="P82" s="81">
        <v>4.5799999999999992</v>
      </c>
      <c r="Q82" s="81">
        <v>4.5799999999999992</v>
      </c>
      <c r="R82" s="812">
        <v>5.66</v>
      </c>
      <c r="S82" s="812">
        <v>5.66</v>
      </c>
      <c r="T82" s="812">
        <v>5.66</v>
      </c>
      <c r="U82" s="812">
        <v>5.66</v>
      </c>
      <c r="V82" s="812">
        <v>5.66</v>
      </c>
      <c r="W82" s="812">
        <v>5.66</v>
      </c>
      <c r="X82" s="812">
        <v>5.66</v>
      </c>
      <c r="Y82" s="812">
        <v>5.66</v>
      </c>
      <c r="Z82" s="195">
        <v>0.15</v>
      </c>
      <c r="AA82" s="96">
        <v>0.15</v>
      </c>
      <c r="AB82" s="92">
        <v>0.15</v>
      </c>
      <c r="AC82" s="92">
        <v>0.15</v>
      </c>
      <c r="AD82" s="770">
        <v>0.65000000000000036</v>
      </c>
      <c r="AE82" s="817">
        <v>0.22000000000000064</v>
      </c>
      <c r="AF82" s="817">
        <v>0.22000000000000064</v>
      </c>
      <c r="AG82" s="817">
        <v>0.22000000000000064</v>
      </c>
      <c r="AH82" s="817">
        <v>0.22000000000000064</v>
      </c>
      <c r="AI82" s="817">
        <v>0.22000000000000064</v>
      </c>
      <c r="AJ82" s="817">
        <v>0.22000000000000064</v>
      </c>
      <c r="AK82" s="817">
        <v>0.22000000000000064</v>
      </c>
      <c r="AL82" s="545">
        <v>0</v>
      </c>
      <c r="AM82" s="494">
        <f t="shared" si="98"/>
        <v>0</v>
      </c>
      <c r="AN82" s="568">
        <v>5760</v>
      </c>
      <c r="AO82" s="494">
        <f t="shared" si="99"/>
        <v>864</v>
      </c>
      <c r="AP82" s="568">
        <v>0</v>
      </c>
      <c r="AQ82" s="620">
        <f t="shared" si="100"/>
        <v>0</v>
      </c>
      <c r="AR82" s="569">
        <v>0</v>
      </c>
      <c r="AS82" s="775">
        <f t="shared" si="101"/>
        <v>0</v>
      </c>
      <c r="AT82" s="571">
        <v>0</v>
      </c>
      <c r="AU82" s="494">
        <f t="shared" si="102"/>
        <v>0</v>
      </c>
      <c r="AV82" s="115">
        <v>5760</v>
      </c>
      <c r="AW82" s="355">
        <f t="shared" si="103"/>
        <v>1267.2000000000037</v>
      </c>
      <c r="AX82" s="114">
        <v>0</v>
      </c>
      <c r="AY82" s="127">
        <f t="shared" si="104"/>
        <v>0</v>
      </c>
      <c r="AZ82" s="115">
        <v>5760</v>
      </c>
      <c r="BA82" s="127">
        <f t="shared" si="105"/>
        <v>1267.2000000000037</v>
      </c>
      <c r="BB82" s="115">
        <v>5760</v>
      </c>
      <c r="BC82" s="356">
        <f t="shared" si="106"/>
        <v>1267.2000000000037</v>
      </c>
      <c r="BD82" s="114">
        <v>0</v>
      </c>
      <c r="BE82" s="127">
        <f t="shared" si="107"/>
        <v>0</v>
      </c>
      <c r="BF82" s="115">
        <v>5760</v>
      </c>
      <c r="BG82" s="127">
        <f t="shared" si="108"/>
        <v>1267.2000000000037</v>
      </c>
      <c r="BH82" s="115">
        <v>0</v>
      </c>
      <c r="BI82" s="329">
        <f t="shared" si="109"/>
        <v>0</v>
      </c>
      <c r="BJ82" s="177" t="s">
        <v>555</v>
      </c>
      <c r="BK82" s="78"/>
      <c r="BL82" s="78" t="s">
        <v>201</v>
      </c>
      <c r="BM82" s="9" t="s">
        <v>343</v>
      </c>
    </row>
    <row r="83" spans="1:65" ht="17" customHeight="1">
      <c r="A83" s="197" t="s">
        <v>383</v>
      </c>
      <c r="B83" s="9" t="s">
        <v>611</v>
      </c>
      <c r="C83" s="1" t="s">
        <v>30</v>
      </c>
      <c r="D83" s="1017"/>
      <c r="E83" s="1017"/>
      <c r="F83" s="1001"/>
      <c r="G83" s="175" t="s">
        <v>213</v>
      </c>
      <c r="H83" s="858" t="s">
        <v>214</v>
      </c>
      <c r="I83" s="259" t="s">
        <v>148</v>
      </c>
      <c r="J83" s="61" t="s">
        <v>198</v>
      </c>
      <c r="K83" s="60" t="s">
        <v>199</v>
      </c>
      <c r="L83" s="60" t="s">
        <v>200</v>
      </c>
      <c r="M83" s="816" t="s">
        <v>360</v>
      </c>
      <c r="N83" s="335">
        <v>4.5799999999999992</v>
      </c>
      <c r="O83" s="81">
        <v>4.5799999999999992</v>
      </c>
      <c r="P83" s="81">
        <v>4.5799999999999992</v>
      </c>
      <c r="Q83" s="81">
        <v>4.5799999999999992</v>
      </c>
      <c r="R83" s="812">
        <v>5.23</v>
      </c>
      <c r="S83" s="812">
        <v>5.23</v>
      </c>
      <c r="T83" s="812">
        <v>5.23</v>
      </c>
      <c r="U83" s="812">
        <v>5.23</v>
      </c>
      <c r="V83" s="812">
        <v>5.23</v>
      </c>
      <c r="W83" s="812">
        <v>5.23</v>
      </c>
      <c r="X83" s="812">
        <v>5.23</v>
      </c>
      <c r="Y83" s="812">
        <v>5.23</v>
      </c>
      <c r="Z83" s="195">
        <v>0.15</v>
      </c>
      <c r="AA83" s="96">
        <v>0.15</v>
      </c>
      <c r="AB83" s="92">
        <v>0.15</v>
      </c>
      <c r="AC83" s="92">
        <v>0.15</v>
      </c>
      <c r="AD83" s="770">
        <v>0.65000000000000036</v>
      </c>
      <c r="AE83" s="817">
        <v>0.22000000000000064</v>
      </c>
      <c r="AF83" s="817">
        <v>0.22000000000000064</v>
      </c>
      <c r="AG83" s="817">
        <v>0.22000000000000064</v>
      </c>
      <c r="AH83" s="817">
        <v>0.22000000000000064</v>
      </c>
      <c r="AI83" s="817">
        <v>0.22000000000000064</v>
      </c>
      <c r="AJ83" s="817">
        <v>0.22000000000000064</v>
      </c>
      <c r="AK83" s="817">
        <v>0.22000000000000064</v>
      </c>
      <c r="AL83" s="545">
        <v>5292</v>
      </c>
      <c r="AM83" s="496">
        <f t="shared" si="98"/>
        <v>793.8</v>
      </c>
      <c r="AN83" s="569">
        <v>12672</v>
      </c>
      <c r="AO83" s="496">
        <f t="shared" si="99"/>
        <v>1900.8</v>
      </c>
      <c r="AP83" s="569">
        <v>32472</v>
      </c>
      <c r="AQ83" s="621">
        <f t="shared" si="100"/>
        <v>4870.8</v>
      </c>
      <c r="AR83" s="569">
        <v>22752</v>
      </c>
      <c r="AS83" s="777">
        <f t="shared" si="101"/>
        <v>3412.7999999999997</v>
      </c>
      <c r="AT83" s="570">
        <v>15228</v>
      </c>
      <c r="AU83" s="496">
        <f t="shared" si="102"/>
        <v>9898.2000000000062</v>
      </c>
      <c r="AV83" s="262">
        <v>25344</v>
      </c>
      <c r="AW83" s="390">
        <f t="shared" si="103"/>
        <v>5575.6800000000167</v>
      </c>
      <c r="AX83" s="262">
        <v>10000</v>
      </c>
      <c r="AY83" s="389">
        <f t="shared" si="104"/>
        <v>2200.0000000000064</v>
      </c>
      <c r="AZ83" s="262">
        <v>10000</v>
      </c>
      <c r="BA83" s="389">
        <f t="shared" si="105"/>
        <v>2200.0000000000064</v>
      </c>
      <c r="BB83" s="262">
        <v>10000</v>
      </c>
      <c r="BC83" s="391">
        <f t="shared" si="106"/>
        <v>2200.0000000000064</v>
      </c>
      <c r="BD83" s="262">
        <v>10000</v>
      </c>
      <c r="BE83" s="389">
        <f t="shared" si="107"/>
        <v>2200.0000000000064</v>
      </c>
      <c r="BF83" s="262">
        <v>10000</v>
      </c>
      <c r="BG83" s="389">
        <f t="shared" si="108"/>
        <v>2200.0000000000064</v>
      </c>
      <c r="BH83" s="262">
        <v>10000</v>
      </c>
      <c r="BI83" s="392">
        <f t="shared" si="109"/>
        <v>2200.0000000000064</v>
      </c>
      <c r="BJ83" s="177" t="s">
        <v>555</v>
      </c>
      <c r="BK83" s="78"/>
      <c r="BL83" s="78" t="s">
        <v>201</v>
      </c>
      <c r="BM83" s="9" t="s">
        <v>343</v>
      </c>
    </row>
    <row r="84" spans="1:65" ht="17" customHeight="1">
      <c r="A84" s="197" t="s">
        <v>383</v>
      </c>
      <c r="B84" s="9" t="s">
        <v>611</v>
      </c>
      <c r="C84" s="1" t="s">
        <v>30</v>
      </c>
      <c r="D84" s="1017"/>
      <c r="E84" s="1017"/>
      <c r="F84" s="1001"/>
      <c r="G84" s="175" t="s">
        <v>213</v>
      </c>
      <c r="H84" s="858" t="s">
        <v>214</v>
      </c>
      <c r="I84" s="259" t="s">
        <v>148</v>
      </c>
      <c r="J84" s="61" t="s">
        <v>198</v>
      </c>
      <c r="K84" s="60" t="s">
        <v>199</v>
      </c>
      <c r="L84" s="60" t="s">
        <v>200</v>
      </c>
      <c r="M84" s="816" t="s">
        <v>351</v>
      </c>
      <c r="N84" s="335">
        <v>4.5799999999999992</v>
      </c>
      <c r="O84" s="81">
        <v>4.5799999999999992</v>
      </c>
      <c r="P84" s="81">
        <v>4.5799999999999992</v>
      </c>
      <c r="Q84" s="81">
        <v>4.5799999999999992</v>
      </c>
      <c r="R84" s="812">
        <v>6.47</v>
      </c>
      <c r="S84" s="812">
        <v>6.47</v>
      </c>
      <c r="T84" s="812">
        <v>6.47</v>
      </c>
      <c r="U84" s="812">
        <v>6.47</v>
      </c>
      <c r="V84" s="812">
        <v>6.47</v>
      </c>
      <c r="W84" s="812">
        <v>6.47</v>
      </c>
      <c r="X84" s="812">
        <v>6.47</v>
      </c>
      <c r="Y84" s="812">
        <v>6.47</v>
      </c>
      <c r="Z84" s="195">
        <v>0.15</v>
      </c>
      <c r="AA84" s="96">
        <v>0.15</v>
      </c>
      <c r="AB84" s="92">
        <v>0.15</v>
      </c>
      <c r="AC84" s="92">
        <v>0.15</v>
      </c>
      <c r="AD84" s="770">
        <v>0.65000000000000036</v>
      </c>
      <c r="AE84" s="817">
        <v>0.22000000000000064</v>
      </c>
      <c r="AF84" s="817">
        <v>0.22000000000000064</v>
      </c>
      <c r="AG84" s="817">
        <v>0.22000000000000064</v>
      </c>
      <c r="AH84" s="817">
        <v>0.22000000000000064</v>
      </c>
      <c r="AI84" s="817">
        <v>0.22000000000000064</v>
      </c>
      <c r="AJ84" s="817">
        <v>0.22000000000000064</v>
      </c>
      <c r="AK84" s="817">
        <v>0.22000000000000064</v>
      </c>
      <c r="AL84" s="545">
        <v>8088</v>
      </c>
      <c r="AM84" s="494">
        <f t="shared" si="98"/>
        <v>1213.2</v>
      </c>
      <c r="AN84" s="569">
        <v>6636</v>
      </c>
      <c r="AO84" s="494">
        <f t="shared" si="99"/>
        <v>995.4</v>
      </c>
      <c r="AP84" s="569">
        <v>8376</v>
      </c>
      <c r="AQ84" s="620">
        <f t="shared" si="100"/>
        <v>1256.3999999999999</v>
      </c>
      <c r="AR84" s="569">
        <v>6216</v>
      </c>
      <c r="AS84" s="775">
        <f t="shared" si="101"/>
        <v>932.4</v>
      </c>
      <c r="AT84" s="570">
        <v>3768</v>
      </c>
      <c r="AU84" s="494">
        <f t="shared" si="102"/>
        <v>2449.2000000000012</v>
      </c>
      <c r="AV84" s="262">
        <v>6000</v>
      </c>
      <c r="AW84" s="355">
        <f t="shared" si="103"/>
        <v>1320.0000000000039</v>
      </c>
      <c r="AX84" s="262">
        <v>6000</v>
      </c>
      <c r="AY84" s="127">
        <f t="shared" si="104"/>
        <v>1320.0000000000039</v>
      </c>
      <c r="AZ84" s="262">
        <v>6000</v>
      </c>
      <c r="BA84" s="127">
        <f t="shared" si="105"/>
        <v>1320.0000000000039</v>
      </c>
      <c r="BB84" s="262">
        <v>6000</v>
      </c>
      <c r="BC84" s="356">
        <f t="shared" si="106"/>
        <v>1320.0000000000039</v>
      </c>
      <c r="BD84" s="262">
        <v>6000</v>
      </c>
      <c r="BE84" s="127">
        <f t="shared" si="107"/>
        <v>1320.0000000000039</v>
      </c>
      <c r="BF84" s="262">
        <v>6000</v>
      </c>
      <c r="BG84" s="127">
        <f t="shared" si="108"/>
        <v>1320.0000000000039</v>
      </c>
      <c r="BH84" s="262">
        <v>6000</v>
      </c>
      <c r="BI84" s="329">
        <f t="shared" si="109"/>
        <v>1320.0000000000039</v>
      </c>
      <c r="BJ84" s="177" t="s">
        <v>555</v>
      </c>
      <c r="BK84" s="78"/>
      <c r="BL84" s="78" t="s">
        <v>201</v>
      </c>
      <c r="BM84" s="9" t="s">
        <v>343</v>
      </c>
    </row>
    <row r="85" spans="1:65" ht="17" customHeight="1">
      <c r="A85" s="197" t="s">
        <v>383</v>
      </c>
      <c r="B85" s="9" t="s">
        <v>611</v>
      </c>
      <c r="C85" s="1" t="s">
        <v>30</v>
      </c>
      <c r="D85" s="1017"/>
      <c r="E85" s="1017"/>
      <c r="F85" s="1001"/>
      <c r="G85" s="175" t="s">
        <v>213</v>
      </c>
      <c r="H85" s="858" t="s">
        <v>214</v>
      </c>
      <c r="I85" s="259" t="s">
        <v>148</v>
      </c>
      <c r="J85" s="61" t="s">
        <v>198</v>
      </c>
      <c r="K85" s="60" t="s">
        <v>199</v>
      </c>
      <c r="L85" s="60" t="s">
        <v>200</v>
      </c>
      <c r="M85" s="818" t="s">
        <v>352</v>
      </c>
      <c r="N85" s="335">
        <v>4.5799999999999992</v>
      </c>
      <c r="O85" s="81">
        <v>4.5799999999999992</v>
      </c>
      <c r="P85" s="81">
        <v>4.5799999999999992</v>
      </c>
      <c r="Q85" s="81">
        <v>4.5799999999999992</v>
      </c>
      <c r="R85" s="812">
        <v>5.42</v>
      </c>
      <c r="S85" s="812">
        <v>5.42</v>
      </c>
      <c r="T85" s="812">
        <v>5.42</v>
      </c>
      <c r="U85" s="812">
        <v>5.42</v>
      </c>
      <c r="V85" s="812">
        <v>5.42</v>
      </c>
      <c r="W85" s="812">
        <v>5.42</v>
      </c>
      <c r="X85" s="812">
        <v>5.42</v>
      </c>
      <c r="Y85" s="812">
        <v>5.42</v>
      </c>
      <c r="Z85" s="195">
        <v>0.15</v>
      </c>
      <c r="AA85" s="96">
        <v>0.15</v>
      </c>
      <c r="AB85" s="92">
        <v>0.15</v>
      </c>
      <c r="AC85" s="92">
        <v>0.15</v>
      </c>
      <c r="AD85" s="770">
        <v>0.65000000000000036</v>
      </c>
      <c r="AE85" s="815">
        <v>0.38000000000000078</v>
      </c>
      <c r="AF85" s="815">
        <v>0.38000000000000078</v>
      </c>
      <c r="AG85" s="815">
        <v>0.38000000000000078</v>
      </c>
      <c r="AH85" s="815">
        <v>0.38000000000000078</v>
      </c>
      <c r="AI85" s="815">
        <v>0.38000000000000078</v>
      </c>
      <c r="AJ85" s="815">
        <v>0.38000000000000078</v>
      </c>
      <c r="AK85" s="815">
        <v>0.38000000000000078</v>
      </c>
      <c r="AL85" s="545">
        <v>2496</v>
      </c>
      <c r="AM85" s="496">
        <f t="shared" si="98"/>
        <v>374.4</v>
      </c>
      <c r="AN85" s="569">
        <v>27060</v>
      </c>
      <c r="AO85" s="496">
        <f t="shared" si="99"/>
        <v>4059</v>
      </c>
      <c r="AP85" s="569">
        <v>0</v>
      </c>
      <c r="AQ85" s="621">
        <f t="shared" si="100"/>
        <v>0</v>
      </c>
      <c r="AR85" s="569">
        <v>60</v>
      </c>
      <c r="AS85" s="777">
        <f t="shared" si="101"/>
        <v>9</v>
      </c>
      <c r="AT85" s="570">
        <v>96</v>
      </c>
      <c r="AU85" s="496">
        <f t="shared" si="102"/>
        <v>62.400000000000034</v>
      </c>
      <c r="AV85" s="262">
        <v>2000</v>
      </c>
      <c r="AW85" s="390">
        <f t="shared" si="103"/>
        <v>760.00000000000159</v>
      </c>
      <c r="AX85" s="262">
        <v>2000</v>
      </c>
      <c r="AY85" s="389">
        <f t="shared" si="104"/>
        <v>760.00000000000159</v>
      </c>
      <c r="AZ85" s="262">
        <v>2000</v>
      </c>
      <c r="BA85" s="389">
        <f t="shared" si="105"/>
        <v>760.00000000000159</v>
      </c>
      <c r="BB85" s="262">
        <v>2000</v>
      </c>
      <c r="BC85" s="391">
        <f t="shared" si="106"/>
        <v>760.00000000000159</v>
      </c>
      <c r="BD85" s="262">
        <v>2000</v>
      </c>
      <c r="BE85" s="389">
        <f t="shared" si="107"/>
        <v>760.00000000000159</v>
      </c>
      <c r="BF85" s="262">
        <v>2000</v>
      </c>
      <c r="BG85" s="389">
        <f t="shared" si="108"/>
        <v>760.00000000000159</v>
      </c>
      <c r="BH85" s="262">
        <v>2000</v>
      </c>
      <c r="BI85" s="392">
        <f t="shared" si="109"/>
        <v>760.00000000000159</v>
      </c>
      <c r="BJ85" s="177" t="s">
        <v>555</v>
      </c>
      <c r="BK85" s="78"/>
      <c r="BL85" s="78" t="s">
        <v>201</v>
      </c>
      <c r="BM85" s="9" t="s">
        <v>343</v>
      </c>
    </row>
    <row r="86" spans="1:65" ht="17" customHeight="1">
      <c r="A86" s="197" t="s">
        <v>383</v>
      </c>
      <c r="B86" s="9" t="s">
        <v>611</v>
      </c>
      <c r="C86" s="1" t="s">
        <v>30</v>
      </c>
      <c r="D86" s="1017"/>
      <c r="E86" s="1017"/>
      <c r="F86" s="1001"/>
      <c r="G86" s="175" t="s">
        <v>213</v>
      </c>
      <c r="H86" s="858" t="s">
        <v>214</v>
      </c>
      <c r="I86" s="259" t="s">
        <v>148</v>
      </c>
      <c r="J86" s="61" t="s">
        <v>198</v>
      </c>
      <c r="K86" s="60" t="s">
        <v>199</v>
      </c>
      <c r="L86" s="60" t="s">
        <v>200</v>
      </c>
      <c r="M86" s="814" t="s">
        <v>348</v>
      </c>
      <c r="N86" s="335">
        <v>4.5799999999999992</v>
      </c>
      <c r="O86" s="81">
        <v>4.5799999999999992</v>
      </c>
      <c r="P86" s="81">
        <v>4.5799999999999992</v>
      </c>
      <c r="Q86" s="81">
        <v>4.5799999999999992</v>
      </c>
      <c r="R86" s="812">
        <v>5.46</v>
      </c>
      <c r="S86" s="812">
        <v>5.46</v>
      </c>
      <c r="T86" s="812">
        <v>5.46</v>
      </c>
      <c r="U86" s="812">
        <v>5.46</v>
      </c>
      <c r="V86" s="812">
        <v>5.46</v>
      </c>
      <c r="W86" s="812">
        <v>5.46</v>
      </c>
      <c r="X86" s="812">
        <v>5.46</v>
      </c>
      <c r="Y86" s="812">
        <v>5.46</v>
      </c>
      <c r="Z86" s="195">
        <v>0.15</v>
      </c>
      <c r="AA86" s="96">
        <v>0.15</v>
      </c>
      <c r="AB86" s="92">
        <v>0.15</v>
      </c>
      <c r="AC86" s="92">
        <v>0.15</v>
      </c>
      <c r="AD86" s="770">
        <v>0.65000000000000036</v>
      </c>
      <c r="AE86" s="815">
        <v>0.38000000000000078</v>
      </c>
      <c r="AF86" s="815">
        <v>0.38000000000000078</v>
      </c>
      <c r="AG86" s="815">
        <v>0.38000000000000078</v>
      </c>
      <c r="AH86" s="815">
        <v>0.38000000000000078</v>
      </c>
      <c r="AI86" s="815">
        <v>0.38000000000000078</v>
      </c>
      <c r="AJ86" s="815">
        <v>0.38000000000000078</v>
      </c>
      <c r="AK86" s="815">
        <v>0.38000000000000078</v>
      </c>
      <c r="AL86" s="545">
        <v>2136</v>
      </c>
      <c r="AM86" s="496">
        <f t="shared" si="98"/>
        <v>320.39999999999998</v>
      </c>
      <c r="AN86" s="569">
        <v>3888</v>
      </c>
      <c r="AO86" s="496">
        <f t="shared" si="99"/>
        <v>583.19999999999993</v>
      </c>
      <c r="AP86" s="569">
        <v>1776</v>
      </c>
      <c r="AQ86" s="621">
        <f t="shared" si="100"/>
        <v>266.39999999999998</v>
      </c>
      <c r="AR86" s="569">
        <v>720</v>
      </c>
      <c r="AS86" s="777">
        <f t="shared" si="101"/>
        <v>108</v>
      </c>
      <c r="AT86" s="570">
        <v>1836</v>
      </c>
      <c r="AU86" s="496">
        <f t="shared" si="102"/>
        <v>1193.4000000000005</v>
      </c>
      <c r="AV86" s="262">
        <v>3500</v>
      </c>
      <c r="AW86" s="390">
        <f t="shared" si="103"/>
        <v>1330.0000000000027</v>
      </c>
      <c r="AX86" s="262">
        <v>2000</v>
      </c>
      <c r="AY86" s="389">
        <f t="shared" si="104"/>
        <v>760.00000000000159</v>
      </c>
      <c r="AZ86" s="262">
        <v>2000</v>
      </c>
      <c r="BA86" s="389">
        <f t="shared" si="105"/>
        <v>760.00000000000159</v>
      </c>
      <c r="BB86" s="262">
        <v>2000</v>
      </c>
      <c r="BC86" s="391">
        <f t="shared" si="106"/>
        <v>760.00000000000159</v>
      </c>
      <c r="BD86" s="262">
        <v>2000</v>
      </c>
      <c r="BE86" s="389">
        <f t="shared" si="107"/>
        <v>760.00000000000159</v>
      </c>
      <c r="BF86" s="262">
        <v>2000</v>
      </c>
      <c r="BG86" s="389">
        <f t="shared" si="108"/>
        <v>760.00000000000159</v>
      </c>
      <c r="BH86" s="262">
        <v>2000</v>
      </c>
      <c r="BI86" s="392">
        <f t="shared" si="109"/>
        <v>760.00000000000159</v>
      </c>
      <c r="BJ86" s="177" t="s">
        <v>555</v>
      </c>
      <c r="BK86" s="78"/>
      <c r="BL86" s="78" t="s">
        <v>202</v>
      </c>
      <c r="BM86" s="9" t="s">
        <v>343</v>
      </c>
    </row>
    <row r="87" spans="1:65" ht="17" customHeight="1">
      <c r="A87" s="197" t="s">
        <v>383</v>
      </c>
      <c r="B87" s="9" t="s">
        <v>611</v>
      </c>
      <c r="C87" s="1" t="s">
        <v>30</v>
      </c>
      <c r="D87" s="1017"/>
      <c r="E87" s="1017"/>
      <c r="F87" s="1001"/>
      <c r="G87" s="175" t="s">
        <v>213</v>
      </c>
      <c r="H87" s="858" t="s">
        <v>214</v>
      </c>
      <c r="I87" s="259" t="s">
        <v>148</v>
      </c>
      <c r="J87" s="61" t="s">
        <v>198</v>
      </c>
      <c r="K87" s="60" t="s">
        <v>199</v>
      </c>
      <c r="L87" s="60" t="s">
        <v>200</v>
      </c>
      <c r="M87" s="814" t="s">
        <v>349</v>
      </c>
      <c r="N87" s="335">
        <v>4.5799999999999992</v>
      </c>
      <c r="O87" s="81">
        <v>4.5799999999999992</v>
      </c>
      <c r="P87" s="81">
        <v>4.5799999999999992</v>
      </c>
      <c r="Q87" s="81">
        <v>4.5799999999999992</v>
      </c>
      <c r="R87" s="812">
        <v>5.38</v>
      </c>
      <c r="S87" s="812">
        <v>5.38</v>
      </c>
      <c r="T87" s="812">
        <v>5.38</v>
      </c>
      <c r="U87" s="812">
        <v>5.38</v>
      </c>
      <c r="V87" s="812">
        <v>5.38</v>
      </c>
      <c r="W87" s="812">
        <v>5.38</v>
      </c>
      <c r="X87" s="812">
        <v>5.38</v>
      </c>
      <c r="Y87" s="812">
        <v>5.38</v>
      </c>
      <c r="Z87" s="195">
        <v>0.15</v>
      </c>
      <c r="AA87" s="96">
        <v>0.15</v>
      </c>
      <c r="AB87" s="92">
        <v>0.15</v>
      </c>
      <c r="AC87" s="92">
        <v>0.15</v>
      </c>
      <c r="AD87" s="770">
        <v>0.65000000000000036</v>
      </c>
      <c r="AE87" s="815">
        <v>0.38000000000000078</v>
      </c>
      <c r="AF87" s="815">
        <v>0.38000000000000078</v>
      </c>
      <c r="AG87" s="815">
        <v>0.38000000000000078</v>
      </c>
      <c r="AH87" s="815">
        <v>0.38000000000000078</v>
      </c>
      <c r="AI87" s="815">
        <v>0.38000000000000078</v>
      </c>
      <c r="AJ87" s="815">
        <v>0.38000000000000078</v>
      </c>
      <c r="AK87" s="815">
        <v>0.38000000000000078</v>
      </c>
      <c r="AL87" s="545">
        <v>300</v>
      </c>
      <c r="AM87" s="494">
        <f t="shared" si="98"/>
        <v>45</v>
      </c>
      <c r="AN87" s="569">
        <v>348</v>
      </c>
      <c r="AO87" s="494">
        <f t="shared" si="99"/>
        <v>52.199999999999996</v>
      </c>
      <c r="AP87" s="569">
        <v>132</v>
      </c>
      <c r="AQ87" s="620">
        <f t="shared" si="100"/>
        <v>19.8</v>
      </c>
      <c r="AR87" s="569">
        <v>228</v>
      </c>
      <c r="AS87" s="775">
        <f t="shared" si="101"/>
        <v>34.199999999999996</v>
      </c>
      <c r="AT87" s="570">
        <v>1104</v>
      </c>
      <c r="AU87" s="494">
        <f t="shared" si="102"/>
        <v>717.60000000000036</v>
      </c>
      <c r="AV87" s="262">
        <v>2000</v>
      </c>
      <c r="AW87" s="355">
        <f t="shared" si="103"/>
        <v>760.00000000000159</v>
      </c>
      <c r="AX87" s="262">
        <v>2000</v>
      </c>
      <c r="AY87" s="127">
        <f t="shared" si="104"/>
        <v>760.00000000000159</v>
      </c>
      <c r="AZ87" s="262">
        <v>2000</v>
      </c>
      <c r="BA87" s="127">
        <f t="shared" si="105"/>
        <v>760.00000000000159</v>
      </c>
      <c r="BB87" s="262">
        <v>2000</v>
      </c>
      <c r="BC87" s="356">
        <f t="shared" si="106"/>
        <v>760.00000000000159</v>
      </c>
      <c r="BD87" s="262">
        <v>2000</v>
      </c>
      <c r="BE87" s="127">
        <f t="shared" si="107"/>
        <v>760.00000000000159</v>
      </c>
      <c r="BF87" s="262">
        <v>2000</v>
      </c>
      <c r="BG87" s="127">
        <f t="shared" si="108"/>
        <v>760.00000000000159</v>
      </c>
      <c r="BH87" s="262">
        <v>2000</v>
      </c>
      <c r="BI87" s="329">
        <f t="shared" si="109"/>
        <v>760.00000000000159</v>
      </c>
      <c r="BJ87" s="177" t="s">
        <v>555</v>
      </c>
      <c r="BK87" s="78"/>
      <c r="BL87" s="78" t="s">
        <v>202</v>
      </c>
      <c r="BM87" s="9" t="s">
        <v>343</v>
      </c>
    </row>
    <row r="88" spans="1:65" ht="17" customHeight="1">
      <c r="A88" s="197" t="s">
        <v>383</v>
      </c>
      <c r="B88" s="9" t="s">
        <v>611</v>
      </c>
      <c r="C88" s="1" t="s">
        <v>30</v>
      </c>
      <c r="D88" s="1017"/>
      <c r="E88" s="1017"/>
      <c r="F88" s="1001"/>
      <c r="G88" s="175" t="s">
        <v>213</v>
      </c>
      <c r="H88" s="858" t="s">
        <v>214</v>
      </c>
      <c r="I88" s="259" t="s">
        <v>148</v>
      </c>
      <c r="J88" s="61" t="s">
        <v>198</v>
      </c>
      <c r="K88" s="60" t="s">
        <v>199</v>
      </c>
      <c r="L88" s="60" t="s">
        <v>200</v>
      </c>
      <c r="M88" s="814" t="s">
        <v>350</v>
      </c>
      <c r="N88" s="335">
        <v>4.5799999999999992</v>
      </c>
      <c r="O88" s="81">
        <v>4.5799999999999992</v>
      </c>
      <c r="P88" s="81">
        <v>4.5799999999999992</v>
      </c>
      <c r="Q88" s="81">
        <v>4.5799999999999992</v>
      </c>
      <c r="R88" s="812">
        <v>5.38</v>
      </c>
      <c r="S88" s="812">
        <v>5.38</v>
      </c>
      <c r="T88" s="812">
        <v>5.38</v>
      </c>
      <c r="U88" s="812">
        <v>5.38</v>
      </c>
      <c r="V88" s="812">
        <v>5.38</v>
      </c>
      <c r="W88" s="812">
        <v>5.38</v>
      </c>
      <c r="X88" s="812">
        <v>5.38</v>
      </c>
      <c r="Y88" s="812">
        <v>5.38</v>
      </c>
      <c r="Z88" s="195">
        <v>0.15</v>
      </c>
      <c r="AA88" s="96">
        <v>0.15</v>
      </c>
      <c r="AB88" s="92">
        <v>0.15</v>
      </c>
      <c r="AC88" s="92">
        <v>0.15</v>
      </c>
      <c r="AD88" s="770">
        <v>0.65000000000000036</v>
      </c>
      <c r="AE88" s="815">
        <v>0.38000000000000078</v>
      </c>
      <c r="AF88" s="815">
        <v>0.38000000000000078</v>
      </c>
      <c r="AG88" s="815">
        <v>0.38000000000000078</v>
      </c>
      <c r="AH88" s="815">
        <v>0.38000000000000078</v>
      </c>
      <c r="AI88" s="815">
        <v>0.38000000000000078</v>
      </c>
      <c r="AJ88" s="815">
        <v>0.38000000000000078</v>
      </c>
      <c r="AK88" s="815">
        <v>0.38000000000000078</v>
      </c>
      <c r="AL88" s="545">
        <v>5220</v>
      </c>
      <c r="AM88" s="496">
        <f t="shared" si="98"/>
        <v>783</v>
      </c>
      <c r="AN88" s="569">
        <v>5568</v>
      </c>
      <c r="AO88" s="496">
        <f t="shared" si="99"/>
        <v>835.19999999999993</v>
      </c>
      <c r="AP88" s="569">
        <v>2712</v>
      </c>
      <c r="AQ88" s="621">
        <f t="shared" si="100"/>
        <v>406.8</v>
      </c>
      <c r="AR88" s="569">
        <v>2364</v>
      </c>
      <c r="AS88" s="777">
        <f t="shared" si="101"/>
        <v>354.59999999999997</v>
      </c>
      <c r="AT88" s="570">
        <v>5280</v>
      </c>
      <c r="AU88" s="496">
        <f t="shared" si="102"/>
        <v>3432.0000000000018</v>
      </c>
      <c r="AV88" s="262">
        <v>5000</v>
      </c>
      <c r="AW88" s="390">
        <f t="shared" si="103"/>
        <v>1900.0000000000039</v>
      </c>
      <c r="AX88" s="262">
        <v>5000</v>
      </c>
      <c r="AY88" s="389">
        <f t="shared" si="104"/>
        <v>1900.0000000000039</v>
      </c>
      <c r="AZ88" s="262">
        <v>5000</v>
      </c>
      <c r="BA88" s="389">
        <f t="shared" si="105"/>
        <v>1900.0000000000039</v>
      </c>
      <c r="BB88" s="262">
        <v>5000</v>
      </c>
      <c r="BC88" s="391">
        <f t="shared" si="106"/>
        <v>1900.0000000000039</v>
      </c>
      <c r="BD88" s="262">
        <v>5000</v>
      </c>
      <c r="BE88" s="389">
        <f t="shared" si="107"/>
        <v>1900.0000000000039</v>
      </c>
      <c r="BF88" s="262">
        <v>5000</v>
      </c>
      <c r="BG88" s="389">
        <f t="shared" si="108"/>
        <v>1900.0000000000039</v>
      </c>
      <c r="BH88" s="262">
        <v>5000</v>
      </c>
      <c r="BI88" s="392">
        <f t="shared" si="109"/>
        <v>1900.0000000000039</v>
      </c>
      <c r="BJ88" s="177" t="s">
        <v>555</v>
      </c>
      <c r="BK88" s="78"/>
      <c r="BL88" s="1" t="s">
        <v>202</v>
      </c>
      <c r="BM88" s="9" t="s">
        <v>343</v>
      </c>
    </row>
    <row r="89" spans="1:65" ht="15" customHeight="1">
      <c r="A89" s="197" t="s">
        <v>383</v>
      </c>
      <c r="B89" s="9" t="s">
        <v>611</v>
      </c>
      <c r="C89" s="1" t="s">
        <v>30</v>
      </c>
      <c r="D89" s="1017"/>
      <c r="E89" s="1017"/>
      <c r="F89" s="1001"/>
      <c r="G89" s="175" t="s">
        <v>213</v>
      </c>
      <c r="H89" s="858" t="s">
        <v>214</v>
      </c>
      <c r="I89" s="259" t="s">
        <v>148</v>
      </c>
      <c r="J89" s="61" t="s">
        <v>198</v>
      </c>
      <c r="K89" s="60" t="s">
        <v>199</v>
      </c>
      <c r="L89" s="60" t="s">
        <v>200</v>
      </c>
      <c r="M89" s="814" t="s">
        <v>353</v>
      </c>
      <c r="N89" s="335">
        <v>4.5799999999999992</v>
      </c>
      <c r="O89" s="81">
        <v>4.5799999999999992</v>
      </c>
      <c r="P89" s="81">
        <v>4.5799999999999992</v>
      </c>
      <c r="Q89" s="81">
        <v>4.5799999999999992</v>
      </c>
      <c r="R89" s="812">
        <v>5.38</v>
      </c>
      <c r="S89" s="812">
        <v>5.38</v>
      </c>
      <c r="T89" s="812">
        <v>5.38</v>
      </c>
      <c r="U89" s="812">
        <v>5.38</v>
      </c>
      <c r="V89" s="812">
        <v>5.38</v>
      </c>
      <c r="W89" s="812">
        <v>5.38</v>
      </c>
      <c r="X89" s="812">
        <v>5.38</v>
      </c>
      <c r="Y89" s="812">
        <v>5.38</v>
      </c>
      <c r="Z89" s="195">
        <v>0.15</v>
      </c>
      <c r="AA89" s="96">
        <v>0.15</v>
      </c>
      <c r="AB89" s="92">
        <v>0.15</v>
      </c>
      <c r="AC89" s="92">
        <v>0.15</v>
      </c>
      <c r="AD89" s="770">
        <v>0.65000000000000036</v>
      </c>
      <c r="AE89" s="815">
        <v>0.38000000000000078</v>
      </c>
      <c r="AF89" s="815">
        <v>0.38000000000000078</v>
      </c>
      <c r="AG89" s="815">
        <v>0.38000000000000078</v>
      </c>
      <c r="AH89" s="815">
        <v>0.38000000000000078</v>
      </c>
      <c r="AI89" s="815">
        <v>0.38000000000000078</v>
      </c>
      <c r="AJ89" s="815">
        <v>0.38000000000000078</v>
      </c>
      <c r="AK89" s="815">
        <v>0.38000000000000078</v>
      </c>
      <c r="AL89" s="545">
        <v>3888</v>
      </c>
      <c r="AM89" s="494">
        <f t="shared" si="98"/>
        <v>583.19999999999993</v>
      </c>
      <c r="AN89" s="569">
        <v>9288</v>
      </c>
      <c r="AO89" s="494">
        <f t="shared" si="99"/>
        <v>1393.2</v>
      </c>
      <c r="AP89" s="569">
        <v>3120</v>
      </c>
      <c r="AQ89" s="620">
        <f t="shared" si="100"/>
        <v>468</v>
      </c>
      <c r="AR89" s="569">
        <v>3048</v>
      </c>
      <c r="AS89" s="775">
        <f t="shared" si="101"/>
        <v>457.2</v>
      </c>
      <c r="AT89" s="570">
        <v>4548</v>
      </c>
      <c r="AU89" s="494">
        <f t="shared" si="102"/>
        <v>2956.2000000000016</v>
      </c>
      <c r="AV89" s="262">
        <v>4000</v>
      </c>
      <c r="AW89" s="355">
        <f t="shared" si="103"/>
        <v>1520.0000000000032</v>
      </c>
      <c r="AX89" s="262">
        <v>4000</v>
      </c>
      <c r="AY89" s="127">
        <f t="shared" si="104"/>
        <v>1520.0000000000032</v>
      </c>
      <c r="AZ89" s="262">
        <v>4000</v>
      </c>
      <c r="BA89" s="127">
        <f t="shared" si="105"/>
        <v>1520.0000000000032</v>
      </c>
      <c r="BB89" s="262">
        <v>4000</v>
      </c>
      <c r="BC89" s="356">
        <f t="shared" si="106"/>
        <v>1520.0000000000032</v>
      </c>
      <c r="BD89" s="262">
        <v>4000</v>
      </c>
      <c r="BE89" s="127">
        <f t="shared" si="107"/>
        <v>1520.0000000000032</v>
      </c>
      <c r="BF89" s="262">
        <v>4000</v>
      </c>
      <c r="BG89" s="127">
        <f t="shared" si="108"/>
        <v>1520.0000000000032</v>
      </c>
      <c r="BH89" s="262">
        <v>4000</v>
      </c>
      <c r="BI89" s="329">
        <f t="shared" si="109"/>
        <v>1520.0000000000032</v>
      </c>
      <c r="BJ89" s="177" t="s">
        <v>555</v>
      </c>
      <c r="BK89" s="968"/>
      <c r="BL89" s="773" t="s">
        <v>202</v>
      </c>
      <c r="BM89" s="78" t="s">
        <v>343</v>
      </c>
    </row>
    <row r="90" spans="1:65" ht="15" customHeight="1">
      <c r="A90" s="197" t="s">
        <v>383</v>
      </c>
      <c r="B90" s="9" t="s">
        <v>611</v>
      </c>
      <c r="C90" s="1" t="s">
        <v>30</v>
      </c>
      <c r="D90" s="1017"/>
      <c r="E90" s="1017"/>
      <c r="F90" s="1001"/>
      <c r="G90" s="170" t="s">
        <v>213</v>
      </c>
      <c r="H90" s="835" t="s">
        <v>215</v>
      </c>
      <c r="I90" s="290" t="s">
        <v>148</v>
      </c>
      <c r="J90" s="291" t="s">
        <v>198</v>
      </c>
      <c r="K90" s="326" t="s">
        <v>199</v>
      </c>
      <c r="L90" s="326" t="s">
        <v>154</v>
      </c>
      <c r="M90" s="819" t="s">
        <v>358</v>
      </c>
      <c r="N90" s="335">
        <v>4.5799999999999992</v>
      </c>
      <c r="O90" s="6">
        <v>4.5799999999999992</v>
      </c>
      <c r="P90" s="6">
        <v>4.5799999999999992</v>
      </c>
      <c r="Q90" s="6">
        <v>4.5799999999999992</v>
      </c>
      <c r="R90" s="812">
        <v>5.38</v>
      </c>
      <c r="S90" s="812">
        <v>5.38</v>
      </c>
      <c r="T90" s="812">
        <v>5.38</v>
      </c>
      <c r="U90" s="812">
        <v>5.38</v>
      </c>
      <c r="V90" s="812">
        <v>5.38</v>
      </c>
      <c r="W90" s="812">
        <v>5.38</v>
      </c>
      <c r="X90" s="812">
        <v>5.38</v>
      </c>
      <c r="Y90" s="812">
        <v>5.38</v>
      </c>
      <c r="Z90" s="195">
        <v>0.15</v>
      </c>
      <c r="AA90" s="383">
        <v>0.15</v>
      </c>
      <c r="AB90" s="383">
        <v>0.15</v>
      </c>
      <c r="AC90" s="383">
        <v>0.15</v>
      </c>
      <c r="AD90" s="770">
        <v>0.65000000000000036</v>
      </c>
      <c r="AE90" s="815">
        <v>0.38000000000000078</v>
      </c>
      <c r="AF90" s="815">
        <v>0.38000000000000078</v>
      </c>
      <c r="AG90" s="815">
        <v>0.38000000000000078</v>
      </c>
      <c r="AH90" s="815">
        <v>0.38000000000000078</v>
      </c>
      <c r="AI90" s="815">
        <v>0.38000000000000078</v>
      </c>
      <c r="AJ90" s="815">
        <v>0.38000000000000078</v>
      </c>
      <c r="AK90" s="815">
        <v>0.38000000000000078</v>
      </c>
      <c r="AL90" s="545">
        <v>3012</v>
      </c>
      <c r="AM90" s="496">
        <f t="shared" si="98"/>
        <v>451.8</v>
      </c>
      <c r="AN90" s="510">
        <v>1668</v>
      </c>
      <c r="AO90" s="496">
        <f t="shared" si="99"/>
        <v>250.2</v>
      </c>
      <c r="AP90" s="510">
        <v>480</v>
      </c>
      <c r="AQ90" s="621">
        <f t="shared" si="100"/>
        <v>72</v>
      </c>
      <c r="AR90" s="510">
        <v>384</v>
      </c>
      <c r="AS90" s="777">
        <f t="shared" si="101"/>
        <v>57.599999999999994</v>
      </c>
      <c r="AT90" s="510">
        <v>948</v>
      </c>
      <c r="AU90" s="496">
        <f t="shared" si="102"/>
        <v>616.20000000000039</v>
      </c>
      <c r="AV90" s="354">
        <v>10000</v>
      </c>
      <c r="AW90" s="390">
        <f t="shared" si="103"/>
        <v>3800.0000000000077</v>
      </c>
      <c r="AX90" s="354">
        <v>10000</v>
      </c>
      <c r="AY90" s="389">
        <f t="shared" si="104"/>
        <v>3800.0000000000077</v>
      </c>
      <c r="AZ90" s="354">
        <v>10000</v>
      </c>
      <c r="BA90" s="389">
        <f t="shared" si="105"/>
        <v>3800.0000000000077</v>
      </c>
      <c r="BB90" s="354">
        <v>10000</v>
      </c>
      <c r="BC90" s="391">
        <f t="shared" si="106"/>
        <v>3800.0000000000077</v>
      </c>
      <c r="BD90" s="354">
        <v>10000</v>
      </c>
      <c r="BE90" s="389">
        <f t="shared" si="107"/>
        <v>3800.0000000000077</v>
      </c>
      <c r="BF90" s="354">
        <v>10000</v>
      </c>
      <c r="BG90" s="389">
        <f t="shared" si="108"/>
        <v>3800.0000000000077</v>
      </c>
      <c r="BH90" s="354">
        <v>10000</v>
      </c>
      <c r="BI90" s="392">
        <f t="shared" si="109"/>
        <v>3800.0000000000077</v>
      </c>
      <c r="BJ90" s="177" t="s">
        <v>555</v>
      </c>
      <c r="BK90" s="78"/>
      <c r="BL90" s="78" t="s">
        <v>202</v>
      </c>
      <c r="BM90" s="9" t="s">
        <v>343</v>
      </c>
    </row>
    <row r="91" spans="1:65" ht="15" customHeight="1">
      <c r="A91" s="768" t="s">
        <v>383</v>
      </c>
      <c r="B91" s="331" t="s">
        <v>611</v>
      </c>
      <c r="C91" s="333" t="s">
        <v>30</v>
      </c>
      <c r="D91" s="1017"/>
      <c r="E91" s="1017"/>
      <c r="F91" s="1001"/>
      <c r="G91" s="722" t="s">
        <v>213</v>
      </c>
      <c r="H91" s="859" t="s">
        <v>215</v>
      </c>
      <c r="I91" s="745" t="s">
        <v>148</v>
      </c>
      <c r="J91" s="746" t="s">
        <v>198</v>
      </c>
      <c r="K91" s="333" t="s">
        <v>199</v>
      </c>
      <c r="L91" s="333" t="s">
        <v>154</v>
      </c>
      <c r="M91" s="820" t="s">
        <v>674</v>
      </c>
      <c r="N91" s="769">
        <v>4.5799999999999992</v>
      </c>
      <c r="O91" s="709">
        <v>4.5799999999999992</v>
      </c>
      <c r="P91" s="709">
        <v>4.5799999999999992</v>
      </c>
      <c r="Q91" s="709">
        <v>4.5799999999999992</v>
      </c>
      <c r="R91" s="812">
        <v>5.38</v>
      </c>
      <c r="S91" s="812">
        <v>5.38</v>
      </c>
      <c r="T91" s="812">
        <v>5.38</v>
      </c>
      <c r="U91" s="812">
        <v>5.38</v>
      </c>
      <c r="V91" s="812">
        <v>5.38</v>
      </c>
      <c r="W91" s="812">
        <v>5.38</v>
      </c>
      <c r="X91" s="812">
        <v>5.38</v>
      </c>
      <c r="Y91" s="812">
        <v>5.38</v>
      </c>
      <c r="Z91" s="748">
        <v>0.15</v>
      </c>
      <c r="AA91" s="747">
        <v>0.15</v>
      </c>
      <c r="AB91" s="747">
        <v>0.15</v>
      </c>
      <c r="AC91" s="747">
        <v>0.15</v>
      </c>
      <c r="AD91" s="770">
        <v>0.65000000000000036</v>
      </c>
      <c r="AE91" s="815">
        <v>0.38000000000000078</v>
      </c>
      <c r="AF91" s="815">
        <v>0.38000000000000078</v>
      </c>
      <c r="AG91" s="815">
        <v>0.38000000000000078</v>
      </c>
      <c r="AH91" s="815">
        <v>0.38000000000000078</v>
      </c>
      <c r="AI91" s="815">
        <v>0.38000000000000078</v>
      </c>
      <c r="AJ91" s="815">
        <v>0.38000000000000078</v>
      </c>
      <c r="AK91" s="815">
        <v>0.38000000000000078</v>
      </c>
      <c r="AL91" s="545">
        <v>0</v>
      </c>
      <c r="AM91" s="496">
        <f t="shared" si="98"/>
        <v>0</v>
      </c>
      <c r="AN91" s="510">
        <v>0</v>
      </c>
      <c r="AO91" s="496">
        <f t="shared" si="99"/>
        <v>0</v>
      </c>
      <c r="AP91" s="510">
        <v>0</v>
      </c>
      <c r="AQ91" s="621">
        <f t="shared" si="100"/>
        <v>0</v>
      </c>
      <c r="AR91" s="510">
        <v>12</v>
      </c>
      <c r="AS91" s="777">
        <f t="shared" si="101"/>
        <v>1.7999999999999998</v>
      </c>
      <c r="AT91" s="510">
        <v>0</v>
      </c>
      <c r="AU91" s="496">
        <f t="shared" si="102"/>
        <v>0</v>
      </c>
      <c r="AV91" s="354">
        <v>0</v>
      </c>
      <c r="AW91" s="390">
        <f t="shared" si="103"/>
        <v>0</v>
      </c>
      <c r="AX91" s="354">
        <v>0</v>
      </c>
      <c r="AY91" s="389">
        <f t="shared" si="104"/>
        <v>0</v>
      </c>
      <c r="AZ91" s="354">
        <v>0</v>
      </c>
      <c r="BA91" s="389">
        <f t="shared" si="105"/>
        <v>0</v>
      </c>
      <c r="BB91" s="354">
        <v>0</v>
      </c>
      <c r="BC91" s="391">
        <f t="shared" si="106"/>
        <v>0</v>
      </c>
      <c r="BD91" s="354">
        <v>0</v>
      </c>
      <c r="BE91" s="389">
        <f t="shared" si="107"/>
        <v>0</v>
      </c>
      <c r="BF91" s="354">
        <v>0</v>
      </c>
      <c r="BG91" s="389">
        <f t="shared" si="108"/>
        <v>0</v>
      </c>
      <c r="BH91" s="354">
        <v>0</v>
      </c>
      <c r="BI91" s="392">
        <f t="shared" si="109"/>
        <v>0</v>
      </c>
      <c r="BJ91" s="177" t="s">
        <v>555</v>
      </c>
      <c r="BK91" s="78"/>
      <c r="BL91" s="334" t="s">
        <v>202</v>
      </c>
      <c r="BM91" s="331" t="s">
        <v>343</v>
      </c>
    </row>
    <row r="92" spans="1:65" s="332" customFormat="1" ht="15" customHeight="1">
      <c r="A92" s="197" t="s">
        <v>383</v>
      </c>
      <c r="B92" s="9" t="s">
        <v>611</v>
      </c>
      <c r="C92" s="1" t="s">
        <v>30</v>
      </c>
      <c r="D92" s="1017"/>
      <c r="E92" s="1017"/>
      <c r="F92" s="1001"/>
      <c r="G92" s="175" t="s">
        <v>213</v>
      </c>
      <c r="H92" s="858" t="s">
        <v>216</v>
      </c>
      <c r="I92" s="258" t="s">
        <v>204</v>
      </c>
      <c r="J92" s="264" t="s">
        <v>198</v>
      </c>
      <c r="K92" s="120" t="s">
        <v>199</v>
      </c>
      <c r="L92" s="120" t="s">
        <v>200</v>
      </c>
      <c r="M92" s="347" t="s">
        <v>351</v>
      </c>
      <c r="N92" s="335">
        <v>2.0299999999999998</v>
      </c>
      <c r="O92" s="81">
        <v>2.0299999999999998</v>
      </c>
      <c r="P92" s="81">
        <v>2.0299999999999998</v>
      </c>
      <c r="Q92" s="81">
        <v>2.0299999999999998</v>
      </c>
      <c r="R92" s="812">
        <v>2.21</v>
      </c>
      <c r="S92" s="812">
        <v>2.21</v>
      </c>
      <c r="T92" s="812">
        <v>2.21</v>
      </c>
      <c r="U92" s="812">
        <v>2.21</v>
      </c>
      <c r="V92" s="821">
        <v>2.21</v>
      </c>
      <c r="W92" s="812">
        <v>2.21</v>
      </c>
      <c r="X92" s="812">
        <v>2.21</v>
      </c>
      <c r="Y92" s="812">
        <v>2.21</v>
      </c>
      <c r="Z92" s="195">
        <v>0.01</v>
      </c>
      <c r="AA92" s="96">
        <v>0.01</v>
      </c>
      <c r="AB92" s="96">
        <v>0.01</v>
      </c>
      <c r="AC92" s="96">
        <v>0.01</v>
      </c>
      <c r="AD92" s="96">
        <v>0.01</v>
      </c>
      <c r="AE92" s="96">
        <v>0.01</v>
      </c>
      <c r="AF92" s="96">
        <v>0.01</v>
      </c>
      <c r="AG92" s="96">
        <v>0.01</v>
      </c>
      <c r="AH92" s="96">
        <v>0.01</v>
      </c>
      <c r="AI92" s="96">
        <v>0.01</v>
      </c>
      <c r="AJ92" s="96">
        <v>0.01</v>
      </c>
      <c r="AK92" s="718">
        <v>0.01</v>
      </c>
      <c r="AL92" s="545">
        <v>1560</v>
      </c>
      <c r="AM92" s="494">
        <f t="shared" si="98"/>
        <v>15.6</v>
      </c>
      <c r="AN92" s="570">
        <v>480</v>
      </c>
      <c r="AO92" s="494">
        <f t="shared" si="99"/>
        <v>4.8</v>
      </c>
      <c r="AP92" s="570">
        <v>720</v>
      </c>
      <c r="AQ92" s="620">
        <f t="shared" si="100"/>
        <v>7.2</v>
      </c>
      <c r="AR92" s="570">
        <v>1320</v>
      </c>
      <c r="AS92" s="775">
        <f t="shared" si="101"/>
        <v>13.200000000000001</v>
      </c>
      <c r="AT92" s="570">
        <v>240</v>
      </c>
      <c r="AU92" s="494">
        <f t="shared" si="102"/>
        <v>2.4</v>
      </c>
      <c r="AV92" s="367">
        <v>2000</v>
      </c>
      <c r="AW92" s="355">
        <f t="shared" si="103"/>
        <v>20</v>
      </c>
      <c r="AX92" s="367">
        <v>2000</v>
      </c>
      <c r="AY92" s="127">
        <f t="shared" si="104"/>
        <v>20</v>
      </c>
      <c r="AZ92" s="367">
        <v>2000</v>
      </c>
      <c r="BA92" s="127">
        <f t="shared" si="105"/>
        <v>20</v>
      </c>
      <c r="BB92" s="367">
        <v>2000</v>
      </c>
      <c r="BC92" s="356">
        <f t="shared" si="106"/>
        <v>20</v>
      </c>
      <c r="BD92" s="367">
        <v>2000</v>
      </c>
      <c r="BE92" s="127">
        <f t="shared" si="107"/>
        <v>20</v>
      </c>
      <c r="BF92" s="367">
        <v>2000</v>
      </c>
      <c r="BG92" s="127">
        <f t="shared" si="108"/>
        <v>20</v>
      </c>
      <c r="BH92" s="367">
        <v>2000</v>
      </c>
      <c r="BI92" s="329">
        <f t="shared" si="109"/>
        <v>20</v>
      </c>
      <c r="BJ92" s="177" t="s">
        <v>217</v>
      </c>
      <c r="BK92" s="78"/>
      <c r="BL92" s="78" t="s">
        <v>201</v>
      </c>
      <c r="BM92" s="9" t="s">
        <v>417</v>
      </c>
    </row>
    <row r="93" spans="1:65" ht="15" customHeight="1">
      <c r="A93" s="197" t="s">
        <v>383</v>
      </c>
      <c r="B93" s="9" t="s">
        <v>611</v>
      </c>
      <c r="C93" s="1" t="s">
        <v>30</v>
      </c>
      <c r="D93" s="1017"/>
      <c r="E93" s="1017"/>
      <c r="F93" s="1001"/>
      <c r="G93" s="175" t="s">
        <v>213</v>
      </c>
      <c r="H93" s="858" t="s">
        <v>216</v>
      </c>
      <c r="I93" s="259" t="s">
        <v>204</v>
      </c>
      <c r="J93" s="61" t="s">
        <v>198</v>
      </c>
      <c r="K93" s="60" t="s">
        <v>199</v>
      </c>
      <c r="L93" s="60" t="s">
        <v>200</v>
      </c>
      <c r="M93" s="345" t="s">
        <v>352</v>
      </c>
      <c r="N93" s="335">
        <v>2.0299999999999998</v>
      </c>
      <c r="O93" s="81">
        <v>2.0299999999999998</v>
      </c>
      <c r="P93" s="81">
        <v>2.0299999999999998</v>
      </c>
      <c r="Q93" s="81">
        <v>2.0299999999999998</v>
      </c>
      <c r="R93" s="812">
        <v>2.21</v>
      </c>
      <c r="S93" s="812">
        <v>2.21</v>
      </c>
      <c r="T93" s="812">
        <v>2.21</v>
      </c>
      <c r="U93" s="812">
        <v>2.21</v>
      </c>
      <c r="V93" s="812">
        <v>2.21</v>
      </c>
      <c r="W93" s="812">
        <v>2.21</v>
      </c>
      <c r="X93" s="812">
        <v>2.21</v>
      </c>
      <c r="Y93" s="812">
        <v>2.21</v>
      </c>
      <c r="Z93" s="195">
        <v>0.01</v>
      </c>
      <c r="AA93" s="96">
        <v>0.01</v>
      </c>
      <c r="AB93" s="96">
        <v>0.01</v>
      </c>
      <c r="AC93" s="96">
        <v>0.01</v>
      </c>
      <c r="AD93" s="96">
        <v>0.01</v>
      </c>
      <c r="AE93" s="96">
        <v>0.01</v>
      </c>
      <c r="AF93" s="96">
        <v>0.01</v>
      </c>
      <c r="AG93" s="96">
        <v>0.01</v>
      </c>
      <c r="AH93" s="96">
        <v>0.01</v>
      </c>
      <c r="AI93" s="96">
        <v>0.01</v>
      </c>
      <c r="AJ93" s="96">
        <v>0.01</v>
      </c>
      <c r="AK93" s="718">
        <v>0.01</v>
      </c>
      <c r="AL93" s="545">
        <v>0</v>
      </c>
      <c r="AM93" s="496">
        <f t="shared" si="98"/>
        <v>0</v>
      </c>
      <c r="AN93" s="570">
        <v>8640</v>
      </c>
      <c r="AO93" s="496">
        <f t="shared" si="99"/>
        <v>86.4</v>
      </c>
      <c r="AP93" s="570">
        <v>0</v>
      </c>
      <c r="AQ93" s="621">
        <f t="shared" si="100"/>
        <v>0</v>
      </c>
      <c r="AR93" s="570">
        <v>4320</v>
      </c>
      <c r="AS93" s="777">
        <f t="shared" si="101"/>
        <v>43.2</v>
      </c>
      <c r="AT93" s="570">
        <v>0</v>
      </c>
      <c r="AU93" s="496">
        <f t="shared" si="102"/>
        <v>0</v>
      </c>
      <c r="AV93" s="367">
        <v>3840</v>
      </c>
      <c r="AW93" s="390">
        <f t="shared" si="103"/>
        <v>38.4</v>
      </c>
      <c r="AX93" s="367">
        <v>3840</v>
      </c>
      <c r="AY93" s="389">
        <f t="shared" si="104"/>
        <v>38.4</v>
      </c>
      <c r="AZ93" s="367">
        <v>3840</v>
      </c>
      <c r="BA93" s="389">
        <f t="shared" si="105"/>
        <v>38.4</v>
      </c>
      <c r="BB93" s="367">
        <v>3840</v>
      </c>
      <c r="BC93" s="391">
        <f t="shared" si="106"/>
        <v>38.4</v>
      </c>
      <c r="BD93" s="367">
        <v>3840</v>
      </c>
      <c r="BE93" s="389">
        <f t="shared" si="107"/>
        <v>38.4</v>
      </c>
      <c r="BF93" s="367">
        <v>3840</v>
      </c>
      <c r="BG93" s="389">
        <f t="shared" si="108"/>
        <v>38.4</v>
      </c>
      <c r="BH93" s="367">
        <v>3840</v>
      </c>
      <c r="BI93" s="392">
        <f t="shared" si="109"/>
        <v>38.4</v>
      </c>
      <c r="BJ93" s="177" t="s">
        <v>217</v>
      </c>
      <c r="BK93" s="78"/>
      <c r="BL93" s="78" t="s">
        <v>201</v>
      </c>
      <c r="BM93" s="9" t="s">
        <v>417</v>
      </c>
    </row>
    <row r="94" spans="1:65" ht="15" customHeight="1">
      <c r="A94" s="197" t="s">
        <v>383</v>
      </c>
      <c r="B94" s="9" t="s">
        <v>611</v>
      </c>
      <c r="C94" s="1" t="s">
        <v>30</v>
      </c>
      <c r="D94" s="1017"/>
      <c r="E94" s="1017"/>
      <c r="F94" s="1001"/>
      <c r="G94" s="175" t="s">
        <v>213</v>
      </c>
      <c r="H94" s="858" t="s">
        <v>344</v>
      </c>
      <c r="I94" s="259" t="s">
        <v>204</v>
      </c>
      <c r="J94" s="61" t="s">
        <v>198</v>
      </c>
      <c r="K94" s="60" t="s">
        <v>199</v>
      </c>
      <c r="L94" s="60" t="s">
        <v>150</v>
      </c>
      <c r="M94" s="345" t="s">
        <v>354</v>
      </c>
      <c r="N94" s="81">
        <v>2.0299999999999998</v>
      </c>
      <c r="O94" s="81">
        <v>2.0299999999999998</v>
      </c>
      <c r="P94" s="81">
        <v>2.0299999999999998</v>
      </c>
      <c r="Q94" s="81">
        <v>2.0299999999999998</v>
      </c>
      <c r="R94" s="812">
        <v>2.11</v>
      </c>
      <c r="S94" s="812">
        <v>2.11</v>
      </c>
      <c r="T94" s="812">
        <v>2.11</v>
      </c>
      <c r="U94" s="812">
        <v>2.11</v>
      </c>
      <c r="V94" s="812">
        <v>2.11</v>
      </c>
      <c r="W94" s="812">
        <v>2.11</v>
      </c>
      <c r="X94" s="812">
        <v>2.11</v>
      </c>
      <c r="Y94" s="812">
        <v>2.11</v>
      </c>
      <c r="Z94" s="195">
        <v>0.01</v>
      </c>
      <c r="AA94" s="96">
        <v>0.01</v>
      </c>
      <c r="AB94" s="96">
        <v>0.01</v>
      </c>
      <c r="AC94" s="96">
        <v>0.01</v>
      </c>
      <c r="AD94" s="96">
        <v>0.01</v>
      </c>
      <c r="AE94" s="96">
        <v>0.01</v>
      </c>
      <c r="AF94" s="96">
        <v>0.01</v>
      </c>
      <c r="AG94" s="96">
        <v>0.01</v>
      </c>
      <c r="AH94" s="96">
        <v>0.01</v>
      </c>
      <c r="AI94" s="96">
        <v>0.01</v>
      </c>
      <c r="AJ94" s="96">
        <v>0.01</v>
      </c>
      <c r="AK94" s="718">
        <v>0.01</v>
      </c>
      <c r="AL94" s="545">
        <v>0</v>
      </c>
      <c r="AM94" s="494">
        <f t="shared" si="98"/>
        <v>0</v>
      </c>
      <c r="AN94" s="571">
        <v>0</v>
      </c>
      <c r="AO94" s="494">
        <f t="shared" si="99"/>
        <v>0</v>
      </c>
      <c r="AP94" s="570">
        <v>0</v>
      </c>
      <c r="AQ94" s="620">
        <f t="shared" si="100"/>
        <v>0</v>
      </c>
      <c r="AR94" s="569">
        <v>0</v>
      </c>
      <c r="AS94" s="775">
        <f t="shared" si="101"/>
        <v>0</v>
      </c>
      <c r="AT94" s="571">
        <v>120</v>
      </c>
      <c r="AU94" s="494">
        <f t="shared" si="102"/>
        <v>1.2</v>
      </c>
      <c r="AV94" s="115">
        <v>0</v>
      </c>
      <c r="AW94" s="355">
        <f t="shared" si="103"/>
        <v>0</v>
      </c>
      <c r="AX94" s="114">
        <v>0</v>
      </c>
      <c r="AY94" s="127">
        <f t="shared" si="104"/>
        <v>0</v>
      </c>
      <c r="AZ94" s="115">
        <v>0</v>
      </c>
      <c r="BA94" s="127">
        <f t="shared" si="105"/>
        <v>0</v>
      </c>
      <c r="BB94" s="115">
        <v>0</v>
      </c>
      <c r="BC94" s="356">
        <f t="shared" si="106"/>
        <v>0</v>
      </c>
      <c r="BD94" s="114">
        <v>0</v>
      </c>
      <c r="BE94" s="127">
        <f t="shared" si="107"/>
        <v>0</v>
      </c>
      <c r="BF94" s="115">
        <v>0</v>
      </c>
      <c r="BG94" s="127">
        <f t="shared" si="108"/>
        <v>0</v>
      </c>
      <c r="BH94" s="115">
        <v>0</v>
      </c>
      <c r="BI94" s="329">
        <f t="shared" si="109"/>
        <v>0</v>
      </c>
      <c r="BJ94" s="177" t="s">
        <v>217</v>
      </c>
      <c r="BK94" s="78"/>
      <c r="BL94" s="78" t="s">
        <v>201</v>
      </c>
      <c r="BM94" s="9" t="s">
        <v>417</v>
      </c>
    </row>
    <row r="95" spans="1:65" ht="15" customHeight="1">
      <c r="A95" s="197" t="s">
        <v>383</v>
      </c>
      <c r="B95" s="9" t="s">
        <v>611</v>
      </c>
      <c r="C95" s="1" t="s">
        <v>30</v>
      </c>
      <c r="D95" s="1017"/>
      <c r="E95" s="1017"/>
      <c r="F95" s="1001"/>
      <c r="G95" s="175" t="s">
        <v>213</v>
      </c>
      <c r="H95" s="858" t="s">
        <v>216</v>
      </c>
      <c r="I95" s="259" t="s">
        <v>204</v>
      </c>
      <c r="J95" s="61" t="s">
        <v>198</v>
      </c>
      <c r="K95" s="60" t="s">
        <v>199</v>
      </c>
      <c r="L95" s="60" t="s">
        <v>200</v>
      </c>
      <c r="M95" s="345" t="s">
        <v>361</v>
      </c>
      <c r="N95" s="81">
        <v>2.0299999999999998</v>
      </c>
      <c r="O95" s="81">
        <v>2.0299999999999998</v>
      </c>
      <c r="P95" s="81">
        <v>2.0299999999999998</v>
      </c>
      <c r="Q95" s="81">
        <v>2.0299999999999998</v>
      </c>
      <c r="R95" s="812">
        <v>2.11</v>
      </c>
      <c r="S95" s="812">
        <v>2.11</v>
      </c>
      <c r="T95" s="812">
        <v>2.11</v>
      </c>
      <c r="U95" s="812">
        <v>2.11</v>
      </c>
      <c r="V95" s="812">
        <v>2.11</v>
      </c>
      <c r="W95" s="812">
        <v>2.11</v>
      </c>
      <c r="X95" s="812">
        <v>2.11</v>
      </c>
      <c r="Y95" s="812">
        <v>2.11</v>
      </c>
      <c r="Z95" s="195">
        <v>0.01</v>
      </c>
      <c r="AA95" s="96">
        <v>0.01</v>
      </c>
      <c r="AB95" s="96">
        <v>0.01</v>
      </c>
      <c r="AC95" s="96">
        <v>0.01</v>
      </c>
      <c r="AD95" s="96">
        <v>0.01</v>
      </c>
      <c r="AE95" s="96">
        <v>0.01</v>
      </c>
      <c r="AF95" s="96">
        <v>0.01</v>
      </c>
      <c r="AG95" s="96">
        <v>0.01</v>
      </c>
      <c r="AH95" s="96">
        <v>0.01</v>
      </c>
      <c r="AI95" s="96">
        <v>0.01</v>
      </c>
      <c r="AJ95" s="96">
        <v>0.01</v>
      </c>
      <c r="AK95" s="718">
        <v>0.01</v>
      </c>
      <c r="AL95" s="545">
        <v>0</v>
      </c>
      <c r="AM95" s="496">
        <f t="shared" si="98"/>
        <v>0</v>
      </c>
      <c r="AN95" s="570">
        <v>0</v>
      </c>
      <c r="AO95" s="496">
        <f t="shared" si="99"/>
        <v>0</v>
      </c>
      <c r="AP95" s="570">
        <v>0</v>
      </c>
      <c r="AQ95" s="621">
        <f t="shared" si="100"/>
        <v>0</v>
      </c>
      <c r="AR95" s="569">
        <v>0</v>
      </c>
      <c r="AS95" s="777">
        <f t="shared" si="101"/>
        <v>0</v>
      </c>
      <c r="AT95" s="571">
        <v>0</v>
      </c>
      <c r="AU95" s="496">
        <f t="shared" si="102"/>
        <v>0</v>
      </c>
      <c r="AV95" s="115">
        <v>0</v>
      </c>
      <c r="AW95" s="390">
        <f t="shared" si="103"/>
        <v>0</v>
      </c>
      <c r="AX95" s="114">
        <v>0</v>
      </c>
      <c r="AY95" s="389">
        <f t="shared" si="104"/>
        <v>0</v>
      </c>
      <c r="AZ95" s="115">
        <v>0</v>
      </c>
      <c r="BA95" s="389">
        <f t="shared" si="105"/>
        <v>0</v>
      </c>
      <c r="BB95" s="115">
        <v>0</v>
      </c>
      <c r="BC95" s="391">
        <f t="shared" si="106"/>
        <v>0</v>
      </c>
      <c r="BD95" s="114">
        <v>0</v>
      </c>
      <c r="BE95" s="389">
        <f t="shared" si="107"/>
        <v>0</v>
      </c>
      <c r="BF95" s="115">
        <v>0</v>
      </c>
      <c r="BG95" s="389">
        <f t="shared" si="108"/>
        <v>0</v>
      </c>
      <c r="BH95" s="115">
        <v>0</v>
      </c>
      <c r="BI95" s="392">
        <f t="shared" si="109"/>
        <v>0</v>
      </c>
      <c r="BJ95" s="177" t="s">
        <v>217</v>
      </c>
      <c r="BK95" s="78"/>
      <c r="BL95" s="78" t="s">
        <v>201</v>
      </c>
      <c r="BM95" s="9" t="s">
        <v>417</v>
      </c>
    </row>
    <row r="96" spans="1:65" ht="15" customHeight="1">
      <c r="A96" s="197" t="s">
        <v>383</v>
      </c>
      <c r="B96" s="9" t="s">
        <v>611</v>
      </c>
      <c r="C96" s="1" t="s">
        <v>30</v>
      </c>
      <c r="D96" s="1017"/>
      <c r="E96" s="1017"/>
      <c r="F96" s="1001"/>
      <c r="G96" s="175" t="s">
        <v>213</v>
      </c>
      <c r="H96" s="858" t="s">
        <v>216</v>
      </c>
      <c r="I96" s="259" t="s">
        <v>204</v>
      </c>
      <c r="J96" s="61" t="s">
        <v>198</v>
      </c>
      <c r="K96" s="60" t="s">
        <v>199</v>
      </c>
      <c r="L96" s="60" t="s">
        <v>200</v>
      </c>
      <c r="M96" s="345" t="s">
        <v>348</v>
      </c>
      <c r="N96" s="81">
        <v>2.0299999999999998</v>
      </c>
      <c r="O96" s="81">
        <v>2.0299999999999998</v>
      </c>
      <c r="P96" s="81">
        <v>2.0299999999999998</v>
      </c>
      <c r="Q96" s="81">
        <v>2.0299999999999998</v>
      </c>
      <c r="R96" s="812">
        <v>2.11</v>
      </c>
      <c r="S96" s="812">
        <v>2.11</v>
      </c>
      <c r="T96" s="812">
        <v>2.11</v>
      </c>
      <c r="U96" s="812">
        <v>2.11</v>
      </c>
      <c r="V96" s="812">
        <v>2.11</v>
      </c>
      <c r="W96" s="812">
        <v>2.11</v>
      </c>
      <c r="X96" s="812">
        <v>2.11</v>
      </c>
      <c r="Y96" s="812">
        <v>2.11</v>
      </c>
      <c r="Z96" s="195">
        <v>0.01</v>
      </c>
      <c r="AA96" s="96">
        <v>0.01</v>
      </c>
      <c r="AB96" s="96">
        <v>0.01</v>
      </c>
      <c r="AC96" s="96">
        <v>0.01</v>
      </c>
      <c r="AD96" s="96">
        <v>0.01</v>
      </c>
      <c r="AE96" s="96">
        <v>0.01</v>
      </c>
      <c r="AF96" s="96">
        <v>0.01</v>
      </c>
      <c r="AG96" s="96">
        <v>0.01</v>
      </c>
      <c r="AH96" s="96">
        <v>0.01</v>
      </c>
      <c r="AI96" s="96">
        <v>0.01</v>
      </c>
      <c r="AJ96" s="96">
        <v>0.01</v>
      </c>
      <c r="AK96" s="718">
        <v>0.01</v>
      </c>
      <c r="AL96" s="545">
        <v>960</v>
      </c>
      <c r="AM96" s="494">
        <f t="shared" si="98"/>
        <v>9.6</v>
      </c>
      <c r="AN96" s="570">
        <v>480</v>
      </c>
      <c r="AO96" s="494">
        <f t="shared" si="99"/>
        <v>4.8</v>
      </c>
      <c r="AP96" s="568">
        <v>240</v>
      </c>
      <c r="AQ96" s="620">
        <f t="shared" si="100"/>
        <v>2.4</v>
      </c>
      <c r="AR96" s="569">
        <v>240</v>
      </c>
      <c r="AS96" s="775">
        <f t="shared" si="101"/>
        <v>2.4</v>
      </c>
      <c r="AT96" s="571">
        <v>0</v>
      </c>
      <c r="AU96" s="494">
        <f t="shared" si="102"/>
        <v>0</v>
      </c>
      <c r="AV96" s="115">
        <v>960</v>
      </c>
      <c r="AW96" s="355">
        <f t="shared" si="103"/>
        <v>9.6</v>
      </c>
      <c r="AX96" s="115">
        <v>960</v>
      </c>
      <c r="AY96" s="127">
        <f t="shared" si="104"/>
        <v>9.6</v>
      </c>
      <c r="AZ96" s="115">
        <v>960</v>
      </c>
      <c r="BA96" s="127">
        <f t="shared" si="105"/>
        <v>9.6</v>
      </c>
      <c r="BB96" s="115">
        <v>960</v>
      </c>
      <c r="BC96" s="356">
        <f t="shared" si="106"/>
        <v>9.6</v>
      </c>
      <c r="BD96" s="115">
        <v>960</v>
      </c>
      <c r="BE96" s="127">
        <f t="shared" si="107"/>
        <v>9.6</v>
      </c>
      <c r="BF96" s="115">
        <v>960</v>
      </c>
      <c r="BG96" s="127">
        <f t="shared" si="108"/>
        <v>9.6</v>
      </c>
      <c r="BH96" s="115">
        <v>960</v>
      </c>
      <c r="BI96" s="329">
        <f t="shared" si="109"/>
        <v>9.6</v>
      </c>
      <c r="BJ96" s="177" t="s">
        <v>217</v>
      </c>
      <c r="BK96" s="78"/>
      <c r="BL96" s="78" t="s">
        <v>202</v>
      </c>
      <c r="BM96" s="9" t="s">
        <v>417</v>
      </c>
    </row>
    <row r="97" spans="1:65" ht="15" customHeight="1">
      <c r="A97" s="197" t="s">
        <v>383</v>
      </c>
      <c r="B97" s="9" t="s">
        <v>611</v>
      </c>
      <c r="C97" s="1" t="s">
        <v>30</v>
      </c>
      <c r="D97" s="1017"/>
      <c r="E97" s="1017"/>
      <c r="F97" s="1001"/>
      <c r="G97" s="175" t="s">
        <v>213</v>
      </c>
      <c r="H97" s="858" t="s">
        <v>216</v>
      </c>
      <c r="I97" s="259" t="s">
        <v>204</v>
      </c>
      <c r="J97" s="61" t="s">
        <v>198</v>
      </c>
      <c r="K97" s="60" t="s">
        <v>199</v>
      </c>
      <c r="L97" s="60" t="s">
        <v>200</v>
      </c>
      <c r="M97" s="345" t="s">
        <v>349</v>
      </c>
      <c r="N97" s="81">
        <v>2.0299999999999998</v>
      </c>
      <c r="O97" s="81">
        <v>2.0299999999999998</v>
      </c>
      <c r="P97" s="81">
        <v>2.0299999999999998</v>
      </c>
      <c r="Q97" s="81">
        <v>2.0299999999999998</v>
      </c>
      <c r="R97" s="812">
        <v>2.11</v>
      </c>
      <c r="S97" s="812">
        <v>2.11</v>
      </c>
      <c r="T97" s="812">
        <v>2.11</v>
      </c>
      <c r="U97" s="812">
        <v>2.11</v>
      </c>
      <c r="V97" s="812">
        <v>2.11</v>
      </c>
      <c r="W97" s="812">
        <v>2.11</v>
      </c>
      <c r="X97" s="812">
        <v>2.11</v>
      </c>
      <c r="Y97" s="812">
        <v>2.11</v>
      </c>
      <c r="Z97" s="195">
        <v>0.01</v>
      </c>
      <c r="AA97" s="96">
        <v>0.01</v>
      </c>
      <c r="AB97" s="96">
        <v>0.01</v>
      </c>
      <c r="AC97" s="96">
        <v>0.01</v>
      </c>
      <c r="AD97" s="96">
        <v>0.01</v>
      </c>
      <c r="AE97" s="96">
        <v>0.01</v>
      </c>
      <c r="AF97" s="96">
        <v>0.01</v>
      </c>
      <c r="AG97" s="96">
        <v>0.01</v>
      </c>
      <c r="AH97" s="96">
        <v>0.01</v>
      </c>
      <c r="AI97" s="96">
        <v>0.01</v>
      </c>
      <c r="AJ97" s="96">
        <v>0.01</v>
      </c>
      <c r="AK97" s="718">
        <v>0.01</v>
      </c>
      <c r="AL97" s="545">
        <v>120</v>
      </c>
      <c r="AM97" s="496">
        <f t="shared" si="98"/>
        <v>1.2</v>
      </c>
      <c r="AN97" s="570">
        <v>120</v>
      </c>
      <c r="AO97" s="496">
        <f t="shared" si="99"/>
        <v>1.2</v>
      </c>
      <c r="AP97" s="570">
        <v>0</v>
      </c>
      <c r="AQ97" s="621">
        <f t="shared" si="100"/>
        <v>0</v>
      </c>
      <c r="AR97" s="570">
        <v>0</v>
      </c>
      <c r="AS97" s="777">
        <f t="shared" si="101"/>
        <v>0</v>
      </c>
      <c r="AT97" s="570">
        <v>0</v>
      </c>
      <c r="AU97" s="496">
        <f t="shared" si="102"/>
        <v>0</v>
      </c>
      <c r="AV97" s="367">
        <v>960</v>
      </c>
      <c r="AW97" s="390">
        <f t="shared" si="103"/>
        <v>9.6</v>
      </c>
      <c r="AX97" s="367">
        <v>960</v>
      </c>
      <c r="AY97" s="389">
        <f t="shared" si="104"/>
        <v>9.6</v>
      </c>
      <c r="AZ97" s="367">
        <v>960</v>
      </c>
      <c r="BA97" s="389">
        <f t="shared" si="105"/>
        <v>9.6</v>
      </c>
      <c r="BB97" s="367">
        <v>960</v>
      </c>
      <c r="BC97" s="391">
        <f t="shared" si="106"/>
        <v>9.6</v>
      </c>
      <c r="BD97" s="367">
        <v>960</v>
      </c>
      <c r="BE97" s="389">
        <f t="shared" si="107"/>
        <v>9.6</v>
      </c>
      <c r="BF97" s="367">
        <v>960</v>
      </c>
      <c r="BG97" s="389">
        <f t="shared" si="108"/>
        <v>9.6</v>
      </c>
      <c r="BH97" s="367">
        <v>960</v>
      </c>
      <c r="BI97" s="392">
        <f t="shared" si="109"/>
        <v>9.6</v>
      </c>
      <c r="BJ97" s="177" t="s">
        <v>217</v>
      </c>
      <c r="BK97" s="78"/>
      <c r="BL97" s="78" t="s">
        <v>202</v>
      </c>
      <c r="BM97" s="9" t="s">
        <v>417</v>
      </c>
    </row>
    <row r="98" spans="1:65" ht="15" customHeight="1">
      <c r="A98" s="197" t="s">
        <v>383</v>
      </c>
      <c r="B98" s="9" t="s">
        <v>611</v>
      </c>
      <c r="C98" s="1" t="s">
        <v>30</v>
      </c>
      <c r="D98" s="1017"/>
      <c r="E98" s="1017"/>
      <c r="F98" s="1001"/>
      <c r="G98" s="175" t="s">
        <v>213</v>
      </c>
      <c r="H98" s="858" t="s">
        <v>216</v>
      </c>
      <c r="I98" s="259" t="s">
        <v>204</v>
      </c>
      <c r="J98" s="61" t="s">
        <v>198</v>
      </c>
      <c r="K98" s="60" t="s">
        <v>199</v>
      </c>
      <c r="L98" s="60" t="s">
        <v>200</v>
      </c>
      <c r="M98" s="345" t="s">
        <v>350</v>
      </c>
      <c r="N98" s="81">
        <v>2.0299999999999998</v>
      </c>
      <c r="O98" s="81">
        <v>2.0299999999999998</v>
      </c>
      <c r="P98" s="81">
        <v>2.0299999999999998</v>
      </c>
      <c r="Q98" s="81">
        <v>2.0299999999999998</v>
      </c>
      <c r="R98" s="812">
        <v>2.11</v>
      </c>
      <c r="S98" s="812">
        <v>2.11</v>
      </c>
      <c r="T98" s="812">
        <v>2.11</v>
      </c>
      <c r="U98" s="812">
        <v>2.11</v>
      </c>
      <c r="V98" s="812">
        <v>2.11</v>
      </c>
      <c r="W98" s="812">
        <v>2.11</v>
      </c>
      <c r="X98" s="812">
        <v>2.11</v>
      </c>
      <c r="Y98" s="812">
        <v>2.11</v>
      </c>
      <c r="Z98" s="195">
        <v>0.01</v>
      </c>
      <c r="AA98" s="96">
        <v>0.01</v>
      </c>
      <c r="AB98" s="96">
        <v>0.01</v>
      </c>
      <c r="AC98" s="96">
        <v>0.01</v>
      </c>
      <c r="AD98" s="96">
        <v>0.01</v>
      </c>
      <c r="AE98" s="96">
        <v>0.01</v>
      </c>
      <c r="AF98" s="96">
        <v>0.01</v>
      </c>
      <c r="AG98" s="96">
        <v>0.01</v>
      </c>
      <c r="AH98" s="96">
        <v>0.01</v>
      </c>
      <c r="AI98" s="96">
        <v>0.01</v>
      </c>
      <c r="AJ98" s="96">
        <v>0.01</v>
      </c>
      <c r="AK98" s="718">
        <v>0.01</v>
      </c>
      <c r="AL98" s="545">
        <v>1800</v>
      </c>
      <c r="AM98" s="494">
        <f t="shared" si="98"/>
        <v>18</v>
      </c>
      <c r="AN98" s="571">
        <v>1920</v>
      </c>
      <c r="AO98" s="494">
        <f t="shared" si="99"/>
        <v>19.2</v>
      </c>
      <c r="AP98" s="568">
        <v>2760</v>
      </c>
      <c r="AQ98" s="620">
        <f t="shared" si="100"/>
        <v>27.6</v>
      </c>
      <c r="AR98" s="569">
        <v>120</v>
      </c>
      <c r="AS98" s="775">
        <f t="shared" si="101"/>
        <v>1.2</v>
      </c>
      <c r="AT98" s="571">
        <v>2400</v>
      </c>
      <c r="AU98" s="494">
        <f t="shared" si="102"/>
        <v>24</v>
      </c>
      <c r="AV98" s="115">
        <v>2500</v>
      </c>
      <c r="AW98" s="355">
        <f t="shared" si="103"/>
        <v>25</v>
      </c>
      <c r="AX98" s="114">
        <v>2500</v>
      </c>
      <c r="AY98" s="127">
        <f t="shared" si="104"/>
        <v>25</v>
      </c>
      <c r="AZ98" s="115">
        <v>2500</v>
      </c>
      <c r="BA98" s="127">
        <f t="shared" si="105"/>
        <v>25</v>
      </c>
      <c r="BB98" s="115">
        <v>2500</v>
      </c>
      <c r="BC98" s="356">
        <f t="shared" si="106"/>
        <v>25</v>
      </c>
      <c r="BD98" s="114">
        <v>2500</v>
      </c>
      <c r="BE98" s="127">
        <f t="shared" si="107"/>
        <v>25</v>
      </c>
      <c r="BF98" s="115">
        <v>2500</v>
      </c>
      <c r="BG98" s="127">
        <f t="shared" si="108"/>
        <v>25</v>
      </c>
      <c r="BH98" s="115">
        <v>2500</v>
      </c>
      <c r="BI98" s="329">
        <f t="shared" si="109"/>
        <v>25</v>
      </c>
      <c r="BJ98" s="177" t="s">
        <v>217</v>
      </c>
      <c r="BK98" s="78"/>
      <c r="BL98" s="78" t="s">
        <v>202</v>
      </c>
      <c r="BM98" s="9" t="s">
        <v>417</v>
      </c>
    </row>
    <row r="99" spans="1:65" ht="17" customHeight="1">
      <c r="A99" s="197" t="s">
        <v>383</v>
      </c>
      <c r="B99" s="9" t="s">
        <v>611</v>
      </c>
      <c r="C99" s="1" t="s">
        <v>30</v>
      </c>
      <c r="D99" s="1017"/>
      <c r="E99" s="1017"/>
      <c r="F99" s="1001"/>
      <c r="G99" s="175" t="s">
        <v>213</v>
      </c>
      <c r="H99" s="858" t="s">
        <v>216</v>
      </c>
      <c r="I99" s="259" t="s">
        <v>204</v>
      </c>
      <c r="J99" s="61" t="s">
        <v>198</v>
      </c>
      <c r="K99" s="60" t="s">
        <v>199</v>
      </c>
      <c r="L99" s="60" t="s">
        <v>200</v>
      </c>
      <c r="M99" s="345" t="s">
        <v>353</v>
      </c>
      <c r="N99" s="81">
        <v>2.0299999999999998</v>
      </c>
      <c r="O99" s="81">
        <v>2.0299999999999998</v>
      </c>
      <c r="P99" s="81">
        <v>2.0299999999999998</v>
      </c>
      <c r="Q99" s="81">
        <v>2.0299999999999998</v>
      </c>
      <c r="R99" s="812">
        <v>2.11</v>
      </c>
      <c r="S99" s="812">
        <v>2.11</v>
      </c>
      <c r="T99" s="812">
        <v>2.11</v>
      </c>
      <c r="U99" s="812">
        <v>2.11</v>
      </c>
      <c r="V99" s="812">
        <v>2.11</v>
      </c>
      <c r="W99" s="812">
        <v>2.11</v>
      </c>
      <c r="X99" s="812">
        <v>2.11</v>
      </c>
      <c r="Y99" s="812">
        <v>2.11</v>
      </c>
      <c r="Z99" s="195">
        <v>0.01</v>
      </c>
      <c r="AA99" s="96">
        <v>0.01</v>
      </c>
      <c r="AB99" s="96">
        <v>0.01</v>
      </c>
      <c r="AC99" s="96">
        <v>0.01</v>
      </c>
      <c r="AD99" s="96">
        <v>0.01</v>
      </c>
      <c r="AE99" s="96">
        <v>0.01</v>
      </c>
      <c r="AF99" s="96">
        <v>0.01</v>
      </c>
      <c r="AG99" s="96">
        <v>0.01</v>
      </c>
      <c r="AH99" s="96">
        <v>0.01</v>
      </c>
      <c r="AI99" s="96">
        <v>0.01</v>
      </c>
      <c r="AJ99" s="96">
        <v>0.01</v>
      </c>
      <c r="AK99" s="718">
        <v>0.01</v>
      </c>
      <c r="AL99" s="545">
        <v>2760</v>
      </c>
      <c r="AM99" s="496">
        <f t="shared" si="98"/>
        <v>27.6</v>
      </c>
      <c r="AN99" s="571">
        <v>5400</v>
      </c>
      <c r="AO99" s="496">
        <f t="shared" si="99"/>
        <v>54</v>
      </c>
      <c r="AP99" s="568">
        <v>3120</v>
      </c>
      <c r="AQ99" s="621">
        <f t="shared" si="100"/>
        <v>31.2</v>
      </c>
      <c r="AR99" s="569">
        <v>3240</v>
      </c>
      <c r="AS99" s="777">
        <f t="shared" si="101"/>
        <v>32.4</v>
      </c>
      <c r="AT99" s="571">
        <v>5760</v>
      </c>
      <c r="AU99" s="496">
        <f t="shared" si="102"/>
        <v>57.6</v>
      </c>
      <c r="AV99" s="115">
        <v>4000</v>
      </c>
      <c r="AW99" s="390">
        <f t="shared" si="103"/>
        <v>40</v>
      </c>
      <c r="AX99" s="114">
        <v>4000</v>
      </c>
      <c r="AY99" s="389">
        <f t="shared" si="104"/>
        <v>40</v>
      </c>
      <c r="AZ99" s="115">
        <v>4000</v>
      </c>
      <c r="BA99" s="389">
        <f t="shared" si="105"/>
        <v>40</v>
      </c>
      <c r="BB99" s="115">
        <v>4000</v>
      </c>
      <c r="BC99" s="391">
        <f t="shared" si="106"/>
        <v>40</v>
      </c>
      <c r="BD99" s="114">
        <v>4000</v>
      </c>
      <c r="BE99" s="389">
        <f t="shared" si="107"/>
        <v>40</v>
      </c>
      <c r="BF99" s="115">
        <v>4000</v>
      </c>
      <c r="BG99" s="389">
        <f t="shared" si="108"/>
        <v>40</v>
      </c>
      <c r="BH99" s="115">
        <v>4000</v>
      </c>
      <c r="BI99" s="392">
        <f t="shared" si="109"/>
        <v>40</v>
      </c>
      <c r="BJ99" s="177" t="s">
        <v>217</v>
      </c>
      <c r="BK99" s="78"/>
      <c r="BL99" s="78" t="s">
        <v>202</v>
      </c>
      <c r="BM99" s="9" t="s">
        <v>417</v>
      </c>
    </row>
    <row r="100" spans="1:65" ht="17" customHeight="1">
      <c r="A100" s="197" t="s">
        <v>383</v>
      </c>
      <c r="B100" s="9" t="s">
        <v>611</v>
      </c>
      <c r="C100" s="1" t="s">
        <v>30</v>
      </c>
      <c r="D100" s="1017"/>
      <c r="E100" s="1017"/>
      <c r="F100" s="1001"/>
      <c r="G100" s="175" t="s">
        <v>213</v>
      </c>
      <c r="H100" s="858" t="s">
        <v>216</v>
      </c>
      <c r="I100" s="293" t="s">
        <v>204</v>
      </c>
      <c r="J100" s="292" t="s">
        <v>198</v>
      </c>
      <c r="K100" s="327" t="s">
        <v>199</v>
      </c>
      <c r="L100" s="969" t="s">
        <v>150</v>
      </c>
      <c r="M100" s="349" t="s">
        <v>358</v>
      </c>
      <c r="N100" s="81">
        <v>2.0299999999999998</v>
      </c>
      <c r="O100" s="81">
        <v>2.0299999999999998</v>
      </c>
      <c r="P100" s="81">
        <v>2.0299999999999998</v>
      </c>
      <c r="Q100" s="81">
        <v>2.0299999999999998</v>
      </c>
      <c r="R100" s="812">
        <v>2.11</v>
      </c>
      <c r="S100" s="812">
        <v>2.11</v>
      </c>
      <c r="T100" s="812">
        <v>2.11</v>
      </c>
      <c r="U100" s="812">
        <v>2.11</v>
      </c>
      <c r="V100" s="812">
        <v>2.11</v>
      </c>
      <c r="W100" s="812">
        <v>2.11</v>
      </c>
      <c r="X100" s="812">
        <v>2.11</v>
      </c>
      <c r="Y100" s="812">
        <v>2.11</v>
      </c>
      <c r="Z100" s="195">
        <v>0.01</v>
      </c>
      <c r="AA100" s="96">
        <v>0.01</v>
      </c>
      <c r="AB100" s="96">
        <v>0.01</v>
      </c>
      <c r="AC100" s="96">
        <v>0.01</v>
      </c>
      <c r="AD100" s="96">
        <v>0.01</v>
      </c>
      <c r="AE100" s="96">
        <v>0.01</v>
      </c>
      <c r="AF100" s="96">
        <v>0.01</v>
      </c>
      <c r="AG100" s="96">
        <v>0.01</v>
      </c>
      <c r="AH100" s="96">
        <v>0.01</v>
      </c>
      <c r="AI100" s="96">
        <v>0.01</v>
      </c>
      <c r="AJ100" s="96">
        <v>0.01</v>
      </c>
      <c r="AK100" s="674">
        <v>0.01</v>
      </c>
      <c r="AL100" s="545">
        <v>0</v>
      </c>
      <c r="AM100" s="494">
        <f t="shared" si="98"/>
        <v>0</v>
      </c>
      <c r="AN100" s="571">
        <v>0</v>
      </c>
      <c r="AO100" s="494">
        <f t="shared" si="99"/>
        <v>0</v>
      </c>
      <c r="AP100" s="570">
        <v>0</v>
      </c>
      <c r="AQ100" s="620">
        <f t="shared" si="100"/>
        <v>0</v>
      </c>
      <c r="AR100" s="569">
        <v>0</v>
      </c>
      <c r="AS100" s="775">
        <f t="shared" si="101"/>
        <v>0</v>
      </c>
      <c r="AT100" s="571">
        <v>0</v>
      </c>
      <c r="AU100" s="494">
        <f t="shared" si="102"/>
        <v>0</v>
      </c>
      <c r="AV100" s="115">
        <v>0</v>
      </c>
      <c r="AW100" s="355">
        <f t="shared" si="103"/>
        <v>0</v>
      </c>
      <c r="AX100" s="114">
        <v>0</v>
      </c>
      <c r="AY100" s="127">
        <f t="shared" si="104"/>
        <v>0</v>
      </c>
      <c r="AZ100" s="115">
        <v>0</v>
      </c>
      <c r="BA100" s="127">
        <f t="shared" si="105"/>
        <v>0</v>
      </c>
      <c r="BB100" s="115">
        <v>0</v>
      </c>
      <c r="BC100" s="356">
        <f t="shared" si="106"/>
        <v>0</v>
      </c>
      <c r="BD100" s="114">
        <v>0</v>
      </c>
      <c r="BE100" s="127">
        <f t="shared" si="107"/>
        <v>0</v>
      </c>
      <c r="BF100" s="115">
        <v>0</v>
      </c>
      <c r="BG100" s="127">
        <f t="shared" si="108"/>
        <v>0</v>
      </c>
      <c r="BH100" s="115">
        <v>0</v>
      </c>
      <c r="BI100" s="329">
        <f t="shared" si="109"/>
        <v>0</v>
      </c>
      <c r="BJ100" s="177" t="s">
        <v>217</v>
      </c>
      <c r="BK100" s="78"/>
      <c r="BL100" s="78" t="s">
        <v>202</v>
      </c>
      <c r="BM100" s="9" t="s">
        <v>417</v>
      </c>
    </row>
    <row r="101" spans="1:65" ht="17" customHeight="1">
      <c r="A101" s="197" t="s">
        <v>383</v>
      </c>
      <c r="B101" s="9" t="s">
        <v>611</v>
      </c>
      <c r="C101" s="1" t="s">
        <v>30</v>
      </c>
      <c r="D101" s="1017"/>
      <c r="E101" s="1017"/>
      <c r="F101" s="1001"/>
      <c r="G101" s="170" t="s">
        <v>203</v>
      </c>
      <c r="H101" s="836" t="s">
        <v>218</v>
      </c>
      <c r="I101" s="275" t="s">
        <v>148</v>
      </c>
      <c r="J101" s="541" t="s">
        <v>198</v>
      </c>
      <c r="K101" s="1" t="s">
        <v>199</v>
      </c>
      <c r="L101" s="111" t="s">
        <v>210</v>
      </c>
      <c r="M101" s="348" t="s">
        <v>361</v>
      </c>
      <c r="N101" s="6">
        <v>13.8</v>
      </c>
      <c r="O101" s="6">
        <v>13.8</v>
      </c>
      <c r="P101" s="6">
        <v>13.8</v>
      </c>
      <c r="Q101" s="6">
        <f t="shared" ref="Q101:Y112" si="111">13.8-0.36</f>
        <v>13.440000000000001</v>
      </c>
      <c r="R101" s="813">
        <v>14.090000000000002</v>
      </c>
      <c r="S101" s="813">
        <v>14.090000000000002</v>
      </c>
      <c r="T101" s="813">
        <v>14.090000000000002</v>
      </c>
      <c r="U101" s="813">
        <v>14.090000000000002</v>
      </c>
      <c r="V101" s="813">
        <v>14.090000000000002</v>
      </c>
      <c r="W101" s="813">
        <v>14.090000000000002</v>
      </c>
      <c r="X101" s="813">
        <v>14.090000000000002</v>
      </c>
      <c r="Y101" s="813">
        <v>14.090000000000002</v>
      </c>
      <c r="Z101" s="195">
        <v>1.4900000000000002</v>
      </c>
      <c r="AA101" s="2">
        <v>1.4900000000000002</v>
      </c>
      <c r="AB101" s="2">
        <v>1.4900000000000002</v>
      </c>
      <c r="AC101" s="2">
        <v>1.1299999999999999</v>
      </c>
      <c r="AD101" s="772">
        <f>1.13-0.36</f>
        <v>0.76999999999999991</v>
      </c>
      <c r="AE101" s="772">
        <f t="shared" ref="AE101:AK101" si="112">1.13-0.36</f>
        <v>0.76999999999999991</v>
      </c>
      <c r="AF101" s="772">
        <f t="shared" si="112"/>
        <v>0.76999999999999991</v>
      </c>
      <c r="AG101" s="772">
        <f t="shared" si="112"/>
        <v>0.76999999999999991</v>
      </c>
      <c r="AH101" s="772">
        <f t="shared" si="112"/>
        <v>0.76999999999999991</v>
      </c>
      <c r="AI101" s="772">
        <f t="shared" si="112"/>
        <v>0.76999999999999991</v>
      </c>
      <c r="AJ101" s="772">
        <f t="shared" si="112"/>
        <v>0.76999999999999991</v>
      </c>
      <c r="AK101" s="772">
        <f t="shared" si="112"/>
        <v>0.76999999999999991</v>
      </c>
      <c r="AL101" s="545">
        <v>0</v>
      </c>
      <c r="AM101" s="496">
        <f t="shared" si="98"/>
        <v>0</v>
      </c>
      <c r="AN101" s="571">
        <v>0</v>
      </c>
      <c r="AO101" s="496">
        <f t="shared" si="99"/>
        <v>0</v>
      </c>
      <c r="AP101" s="570">
        <v>0</v>
      </c>
      <c r="AQ101" s="621">
        <f t="shared" si="100"/>
        <v>0</v>
      </c>
      <c r="AR101" s="570">
        <v>0</v>
      </c>
      <c r="AS101" s="777">
        <f t="shared" si="101"/>
        <v>0</v>
      </c>
      <c r="AT101" s="571">
        <v>610</v>
      </c>
      <c r="AU101" s="496">
        <f t="shared" si="102"/>
        <v>469.69999999999993</v>
      </c>
      <c r="AV101" s="368">
        <v>0</v>
      </c>
      <c r="AW101" s="390">
        <f t="shared" si="103"/>
        <v>0</v>
      </c>
      <c r="AX101" s="114">
        <v>0</v>
      </c>
      <c r="AY101" s="389">
        <f t="shared" si="104"/>
        <v>0</v>
      </c>
      <c r="AZ101" s="115">
        <v>0</v>
      </c>
      <c r="BA101" s="389">
        <f t="shared" si="105"/>
        <v>0</v>
      </c>
      <c r="BB101" s="115">
        <v>0</v>
      </c>
      <c r="BC101" s="391">
        <f t="shared" si="106"/>
        <v>0</v>
      </c>
      <c r="BD101" s="114">
        <v>0</v>
      </c>
      <c r="BE101" s="389">
        <f t="shared" si="107"/>
        <v>0</v>
      </c>
      <c r="BF101" s="115">
        <v>0</v>
      </c>
      <c r="BG101" s="389">
        <f t="shared" si="108"/>
        <v>0</v>
      </c>
      <c r="BH101" s="115">
        <v>0</v>
      </c>
      <c r="BI101" s="392">
        <f t="shared" si="109"/>
        <v>0</v>
      </c>
      <c r="BJ101" s="177" t="s">
        <v>504</v>
      </c>
      <c r="BK101" s="78" t="s">
        <v>219</v>
      </c>
      <c r="BL101" s="78" t="s">
        <v>201</v>
      </c>
      <c r="BM101" s="9" t="s">
        <v>712</v>
      </c>
    </row>
    <row r="102" spans="1:65" ht="17" customHeight="1">
      <c r="A102" s="197" t="s">
        <v>383</v>
      </c>
      <c r="B102" s="9" t="s">
        <v>611</v>
      </c>
      <c r="C102" s="1" t="s">
        <v>30</v>
      </c>
      <c r="D102" s="1017"/>
      <c r="E102" s="1017"/>
      <c r="F102" s="1001"/>
      <c r="G102" s="170" t="s">
        <v>203</v>
      </c>
      <c r="H102" s="836" t="s">
        <v>218</v>
      </c>
      <c r="I102" s="275" t="s">
        <v>148</v>
      </c>
      <c r="J102" s="541" t="s">
        <v>198</v>
      </c>
      <c r="K102" s="1" t="s">
        <v>199</v>
      </c>
      <c r="L102" s="111" t="s">
        <v>210</v>
      </c>
      <c r="M102" s="348" t="s">
        <v>351</v>
      </c>
      <c r="N102" s="6">
        <v>13.8</v>
      </c>
      <c r="O102" s="6">
        <v>13.8</v>
      </c>
      <c r="P102" s="6">
        <v>13.8</v>
      </c>
      <c r="Q102" s="6">
        <f t="shared" si="111"/>
        <v>13.440000000000001</v>
      </c>
      <c r="R102" s="813">
        <v>14.830000000000002</v>
      </c>
      <c r="S102" s="813">
        <v>14.830000000000002</v>
      </c>
      <c r="T102" s="813">
        <v>14.830000000000002</v>
      </c>
      <c r="U102" s="813">
        <v>14.830000000000002</v>
      </c>
      <c r="V102" s="813">
        <v>14.830000000000002</v>
      </c>
      <c r="W102" s="813">
        <v>14.830000000000002</v>
      </c>
      <c r="X102" s="813">
        <v>14.830000000000002</v>
      </c>
      <c r="Y102" s="813">
        <v>14.830000000000002</v>
      </c>
      <c r="Z102" s="195">
        <v>1.4900000000000002</v>
      </c>
      <c r="AA102" s="2">
        <v>1.4900000000000002</v>
      </c>
      <c r="AB102" s="2">
        <v>1.4900000000000002</v>
      </c>
      <c r="AC102" s="2">
        <v>1.1299999999999999</v>
      </c>
      <c r="AD102" s="772">
        <f t="shared" ref="AD102:AK112" si="113">1.13-0.36</f>
        <v>0.76999999999999991</v>
      </c>
      <c r="AE102" s="772">
        <f t="shared" si="113"/>
        <v>0.76999999999999991</v>
      </c>
      <c r="AF102" s="772">
        <f t="shared" si="113"/>
        <v>0.76999999999999991</v>
      </c>
      <c r="AG102" s="772">
        <f t="shared" si="113"/>
        <v>0.76999999999999991</v>
      </c>
      <c r="AH102" s="772">
        <f t="shared" si="113"/>
        <v>0.76999999999999991</v>
      </c>
      <c r="AI102" s="772">
        <f t="shared" si="113"/>
        <v>0.76999999999999991</v>
      </c>
      <c r="AJ102" s="772">
        <f t="shared" si="113"/>
        <v>0.76999999999999991</v>
      </c>
      <c r="AK102" s="772">
        <f t="shared" si="113"/>
        <v>0.76999999999999991</v>
      </c>
      <c r="AL102" s="545">
        <v>11830</v>
      </c>
      <c r="AM102" s="494">
        <f t="shared" si="98"/>
        <v>17626.7</v>
      </c>
      <c r="AN102" s="571">
        <v>11710</v>
      </c>
      <c r="AO102" s="494">
        <f t="shared" si="99"/>
        <v>17447.900000000001</v>
      </c>
      <c r="AP102" s="571">
        <v>7660</v>
      </c>
      <c r="AQ102" s="620">
        <f t="shared" si="100"/>
        <v>11413.400000000001</v>
      </c>
      <c r="AR102" s="570">
        <v>10990</v>
      </c>
      <c r="AS102" s="775">
        <f t="shared" si="101"/>
        <v>12418.699999999999</v>
      </c>
      <c r="AT102" s="571">
        <v>13420</v>
      </c>
      <c r="AU102" s="494">
        <f t="shared" si="102"/>
        <v>10333.4</v>
      </c>
      <c r="AV102" s="368">
        <v>12000</v>
      </c>
      <c r="AW102" s="355">
        <f t="shared" si="103"/>
        <v>9239.9999999999982</v>
      </c>
      <c r="AX102" s="114">
        <v>12000</v>
      </c>
      <c r="AY102" s="127">
        <f t="shared" si="104"/>
        <v>9239.9999999999982</v>
      </c>
      <c r="AZ102" s="115">
        <v>12000</v>
      </c>
      <c r="BA102" s="127">
        <f t="shared" si="105"/>
        <v>9239.9999999999982</v>
      </c>
      <c r="BB102" s="115">
        <v>12000</v>
      </c>
      <c r="BC102" s="356">
        <f t="shared" si="106"/>
        <v>9239.9999999999982</v>
      </c>
      <c r="BD102" s="114">
        <v>12000</v>
      </c>
      <c r="BE102" s="127">
        <f t="shared" si="107"/>
        <v>9239.9999999999982</v>
      </c>
      <c r="BF102" s="115">
        <v>12000</v>
      </c>
      <c r="BG102" s="127">
        <f t="shared" si="108"/>
        <v>9239.9999999999982</v>
      </c>
      <c r="BH102" s="115">
        <v>12000</v>
      </c>
      <c r="BI102" s="329">
        <f t="shared" si="109"/>
        <v>9239.9999999999982</v>
      </c>
      <c r="BJ102" s="177" t="s">
        <v>504</v>
      </c>
      <c r="BK102" s="78" t="s">
        <v>219</v>
      </c>
      <c r="BL102" s="78" t="s">
        <v>201</v>
      </c>
      <c r="BM102" s="9" t="s">
        <v>345</v>
      </c>
    </row>
    <row r="103" spans="1:65" ht="17" customHeight="1">
      <c r="A103" s="197" t="s">
        <v>383</v>
      </c>
      <c r="B103" s="9" t="s">
        <v>611</v>
      </c>
      <c r="C103" s="1" t="s">
        <v>30</v>
      </c>
      <c r="D103" s="1017"/>
      <c r="E103" s="1017"/>
      <c r="F103" s="1001"/>
      <c r="G103" s="170" t="s">
        <v>203</v>
      </c>
      <c r="H103" s="836" t="s">
        <v>218</v>
      </c>
      <c r="I103" s="275" t="s">
        <v>148</v>
      </c>
      <c r="J103" s="541" t="s">
        <v>198</v>
      </c>
      <c r="K103" s="1" t="s">
        <v>199</v>
      </c>
      <c r="L103" s="111" t="s">
        <v>210</v>
      </c>
      <c r="M103" s="348" t="s">
        <v>352</v>
      </c>
      <c r="N103" s="6">
        <v>13.8</v>
      </c>
      <c r="O103" s="6">
        <v>13.8</v>
      </c>
      <c r="P103" s="6">
        <v>13.8</v>
      </c>
      <c r="Q103" s="6">
        <f t="shared" si="111"/>
        <v>13.440000000000001</v>
      </c>
      <c r="R103" s="813">
        <v>13.780000000000001</v>
      </c>
      <c r="S103" s="813">
        <v>13.780000000000001</v>
      </c>
      <c r="T103" s="813">
        <v>13.780000000000001</v>
      </c>
      <c r="U103" s="813">
        <v>13.780000000000001</v>
      </c>
      <c r="V103" s="813">
        <v>13.780000000000001</v>
      </c>
      <c r="W103" s="813">
        <v>13.780000000000001</v>
      </c>
      <c r="X103" s="813">
        <v>13.780000000000001</v>
      </c>
      <c r="Y103" s="813">
        <v>13.780000000000001</v>
      </c>
      <c r="Z103" s="195">
        <v>1.4900000000000002</v>
      </c>
      <c r="AA103" s="2">
        <v>1.4900000000000002</v>
      </c>
      <c r="AB103" s="2">
        <v>1.4900000000000002</v>
      </c>
      <c r="AC103" s="2">
        <v>1.1299999999999999</v>
      </c>
      <c r="AD103" s="772">
        <f t="shared" si="113"/>
        <v>0.76999999999999991</v>
      </c>
      <c r="AE103" s="772">
        <f t="shared" si="113"/>
        <v>0.76999999999999991</v>
      </c>
      <c r="AF103" s="772">
        <f t="shared" si="113"/>
        <v>0.76999999999999991</v>
      </c>
      <c r="AG103" s="772">
        <f t="shared" si="113"/>
        <v>0.76999999999999991</v>
      </c>
      <c r="AH103" s="772">
        <f t="shared" si="113"/>
        <v>0.76999999999999991</v>
      </c>
      <c r="AI103" s="772">
        <f t="shared" si="113"/>
        <v>0.76999999999999991</v>
      </c>
      <c r="AJ103" s="772">
        <f t="shared" si="113"/>
        <v>0.76999999999999991</v>
      </c>
      <c r="AK103" s="772">
        <f t="shared" si="113"/>
        <v>0.76999999999999991</v>
      </c>
      <c r="AL103" s="545">
        <v>2020</v>
      </c>
      <c r="AM103" s="496">
        <f t="shared" si="98"/>
        <v>3009.8000000000006</v>
      </c>
      <c r="AN103" s="571">
        <v>4690</v>
      </c>
      <c r="AO103" s="496">
        <f t="shared" si="99"/>
        <v>6988.1000000000013</v>
      </c>
      <c r="AP103" s="571">
        <v>6030</v>
      </c>
      <c r="AQ103" s="621">
        <f t="shared" si="100"/>
        <v>8984.7000000000007</v>
      </c>
      <c r="AR103" s="570">
        <v>1230</v>
      </c>
      <c r="AS103" s="777">
        <f t="shared" si="101"/>
        <v>1389.8999999999999</v>
      </c>
      <c r="AT103" s="571">
        <v>2400</v>
      </c>
      <c r="AU103" s="496">
        <f t="shared" si="102"/>
        <v>1847.9999999999998</v>
      </c>
      <c r="AV103" s="368">
        <v>2000</v>
      </c>
      <c r="AW103" s="390">
        <f t="shared" si="103"/>
        <v>1539.9999999999998</v>
      </c>
      <c r="AX103" s="114">
        <v>2000</v>
      </c>
      <c r="AY103" s="389">
        <f t="shared" si="104"/>
        <v>1539.9999999999998</v>
      </c>
      <c r="AZ103" s="115">
        <v>2000</v>
      </c>
      <c r="BA103" s="389">
        <f t="shared" si="105"/>
        <v>1539.9999999999998</v>
      </c>
      <c r="BB103" s="115">
        <v>2000</v>
      </c>
      <c r="BC103" s="391">
        <f t="shared" si="106"/>
        <v>1539.9999999999998</v>
      </c>
      <c r="BD103" s="114">
        <v>2000</v>
      </c>
      <c r="BE103" s="389">
        <f t="shared" si="107"/>
        <v>1539.9999999999998</v>
      </c>
      <c r="BF103" s="115">
        <v>2000</v>
      </c>
      <c r="BG103" s="389">
        <f t="shared" si="108"/>
        <v>1539.9999999999998</v>
      </c>
      <c r="BH103" s="115">
        <v>2000</v>
      </c>
      <c r="BI103" s="392">
        <f t="shared" si="109"/>
        <v>1539.9999999999998</v>
      </c>
      <c r="BJ103" s="177" t="s">
        <v>504</v>
      </c>
      <c r="BK103" s="78" t="s">
        <v>219</v>
      </c>
      <c r="BL103" s="78" t="s">
        <v>201</v>
      </c>
      <c r="BM103" s="9" t="s">
        <v>345</v>
      </c>
    </row>
    <row r="104" spans="1:65" ht="17" customHeight="1">
      <c r="A104" s="197" t="s">
        <v>383</v>
      </c>
      <c r="B104" s="9" t="s">
        <v>611</v>
      </c>
      <c r="C104" s="1" t="s">
        <v>30</v>
      </c>
      <c r="D104" s="1017"/>
      <c r="E104" s="1017"/>
      <c r="F104" s="1001"/>
      <c r="G104" s="170" t="s">
        <v>203</v>
      </c>
      <c r="H104" s="836" t="s">
        <v>218</v>
      </c>
      <c r="I104" s="275" t="s">
        <v>148</v>
      </c>
      <c r="J104" s="541" t="s">
        <v>198</v>
      </c>
      <c r="K104" s="1" t="s">
        <v>199</v>
      </c>
      <c r="L104" s="111" t="s">
        <v>210</v>
      </c>
      <c r="M104" s="348" t="s">
        <v>357</v>
      </c>
      <c r="N104" s="6">
        <v>13.8</v>
      </c>
      <c r="O104" s="6">
        <v>13.8</v>
      </c>
      <c r="P104" s="6">
        <v>13.8</v>
      </c>
      <c r="Q104" s="6">
        <f t="shared" si="111"/>
        <v>13.440000000000001</v>
      </c>
      <c r="R104" s="813">
        <v>14.020000000000001</v>
      </c>
      <c r="S104" s="813">
        <v>14.020000000000001</v>
      </c>
      <c r="T104" s="813">
        <v>14.020000000000001</v>
      </c>
      <c r="U104" s="813">
        <v>14.020000000000001</v>
      </c>
      <c r="V104" s="813">
        <v>14.020000000000001</v>
      </c>
      <c r="W104" s="813">
        <v>14.020000000000001</v>
      </c>
      <c r="X104" s="813">
        <v>14.020000000000001</v>
      </c>
      <c r="Y104" s="813">
        <v>14.020000000000001</v>
      </c>
      <c r="Z104" s="195">
        <v>1.4900000000000002</v>
      </c>
      <c r="AA104" s="2">
        <v>1.4900000000000002</v>
      </c>
      <c r="AB104" s="2">
        <v>1.4900000000000002</v>
      </c>
      <c r="AC104" s="2">
        <v>1.1299999999999999</v>
      </c>
      <c r="AD104" s="772">
        <f t="shared" si="113"/>
        <v>0.76999999999999991</v>
      </c>
      <c r="AE104" s="772">
        <f t="shared" si="113"/>
        <v>0.76999999999999991</v>
      </c>
      <c r="AF104" s="772">
        <f t="shared" si="113"/>
        <v>0.76999999999999991</v>
      </c>
      <c r="AG104" s="772">
        <f t="shared" si="113"/>
        <v>0.76999999999999991</v>
      </c>
      <c r="AH104" s="772">
        <f t="shared" si="113"/>
        <v>0.76999999999999991</v>
      </c>
      <c r="AI104" s="772">
        <f t="shared" si="113"/>
        <v>0.76999999999999991</v>
      </c>
      <c r="AJ104" s="772">
        <f t="shared" si="113"/>
        <v>0.76999999999999991</v>
      </c>
      <c r="AK104" s="772">
        <f t="shared" si="113"/>
        <v>0.76999999999999991</v>
      </c>
      <c r="AL104" s="545">
        <v>0</v>
      </c>
      <c r="AM104" s="494">
        <f t="shared" si="98"/>
        <v>0</v>
      </c>
      <c r="AN104" s="571">
        <v>0</v>
      </c>
      <c r="AO104" s="494">
        <f t="shared" si="99"/>
        <v>0</v>
      </c>
      <c r="AP104" s="570">
        <v>0</v>
      </c>
      <c r="AQ104" s="620">
        <f t="shared" si="100"/>
        <v>0</v>
      </c>
      <c r="AR104" s="570">
        <v>0</v>
      </c>
      <c r="AS104" s="775">
        <f t="shared" si="101"/>
        <v>0</v>
      </c>
      <c r="AT104" s="571">
        <v>0</v>
      </c>
      <c r="AU104" s="494">
        <f t="shared" si="102"/>
        <v>0</v>
      </c>
      <c r="AV104" s="368">
        <v>0</v>
      </c>
      <c r="AW104" s="355">
        <f t="shared" si="103"/>
        <v>0</v>
      </c>
      <c r="AX104" s="114">
        <v>0</v>
      </c>
      <c r="AY104" s="127">
        <f t="shared" si="104"/>
        <v>0</v>
      </c>
      <c r="AZ104" s="115">
        <v>0</v>
      </c>
      <c r="BA104" s="127">
        <f t="shared" si="105"/>
        <v>0</v>
      </c>
      <c r="BB104" s="115">
        <v>0</v>
      </c>
      <c r="BC104" s="356">
        <f t="shared" si="106"/>
        <v>0</v>
      </c>
      <c r="BD104" s="114">
        <v>0</v>
      </c>
      <c r="BE104" s="127">
        <f t="shared" si="107"/>
        <v>0</v>
      </c>
      <c r="BF104" s="115">
        <v>0</v>
      </c>
      <c r="BG104" s="127">
        <f t="shared" si="108"/>
        <v>0</v>
      </c>
      <c r="BH104" s="115">
        <v>0</v>
      </c>
      <c r="BI104" s="329">
        <f t="shared" si="109"/>
        <v>0</v>
      </c>
      <c r="BJ104" s="177" t="s">
        <v>504</v>
      </c>
      <c r="BK104" s="78" t="s">
        <v>219</v>
      </c>
      <c r="BL104" s="78" t="s">
        <v>201</v>
      </c>
      <c r="BM104" s="9" t="s">
        <v>345</v>
      </c>
    </row>
    <row r="105" spans="1:65" ht="17" customHeight="1">
      <c r="A105" s="197" t="s">
        <v>383</v>
      </c>
      <c r="B105" s="9" t="s">
        <v>611</v>
      </c>
      <c r="C105" s="1" t="s">
        <v>30</v>
      </c>
      <c r="D105" s="1017"/>
      <c r="E105" s="1017"/>
      <c r="F105" s="1001"/>
      <c r="G105" s="170" t="s">
        <v>203</v>
      </c>
      <c r="H105" s="836" t="s">
        <v>218</v>
      </c>
      <c r="I105" s="275" t="s">
        <v>148</v>
      </c>
      <c r="J105" s="541" t="s">
        <v>198</v>
      </c>
      <c r="K105" s="1" t="s">
        <v>199</v>
      </c>
      <c r="L105" s="111" t="s">
        <v>210</v>
      </c>
      <c r="M105" s="348" t="s">
        <v>356</v>
      </c>
      <c r="N105" s="6">
        <v>13.8</v>
      </c>
      <c r="O105" s="6">
        <v>13.8</v>
      </c>
      <c r="P105" s="6">
        <v>13.8</v>
      </c>
      <c r="Q105" s="6">
        <f t="shared" si="111"/>
        <v>13.440000000000001</v>
      </c>
      <c r="R105" s="813">
        <v>13.740000000000002</v>
      </c>
      <c r="S105" s="813">
        <v>13.740000000000002</v>
      </c>
      <c r="T105" s="813">
        <v>13.740000000000002</v>
      </c>
      <c r="U105" s="813">
        <v>13.740000000000002</v>
      </c>
      <c r="V105" s="813">
        <v>13.740000000000002</v>
      </c>
      <c r="W105" s="813">
        <v>13.740000000000002</v>
      </c>
      <c r="X105" s="813">
        <v>13.740000000000002</v>
      </c>
      <c r="Y105" s="813">
        <v>13.740000000000002</v>
      </c>
      <c r="Z105" s="195">
        <v>1.4900000000000002</v>
      </c>
      <c r="AA105" s="2">
        <v>1.4900000000000002</v>
      </c>
      <c r="AB105" s="2">
        <v>1.4900000000000002</v>
      </c>
      <c r="AC105" s="2">
        <v>1.1299999999999999</v>
      </c>
      <c r="AD105" s="772">
        <f t="shared" si="113"/>
        <v>0.76999999999999991</v>
      </c>
      <c r="AE105" s="772">
        <f t="shared" si="113"/>
        <v>0.76999999999999991</v>
      </c>
      <c r="AF105" s="772">
        <f t="shared" si="113"/>
        <v>0.76999999999999991</v>
      </c>
      <c r="AG105" s="772">
        <f t="shared" si="113"/>
        <v>0.76999999999999991</v>
      </c>
      <c r="AH105" s="772">
        <f t="shared" si="113"/>
        <v>0.76999999999999991</v>
      </c>
      <c r="AI105" s="772">
        <f t="shared" si="113"/>
        <v>0.76999999999999991</v>
      </c>
      <c r="AJ105" s="772">
        <f t="shared" si="113"/>
        <v>0.76999999999999991</v>
      </c>
      <c r="AK105" s="772">
        <f t="shared" si="113"/>
        <v>0.76999999999999991</v>
      </c>
      <c r="AL105" s="545">
        <v>240</v>
      </c>
      <c r="AM105" s="496">
        <f t="shared" si="98"/>
        <v>357.6</v>
      </c>
      <c r="AN105" s="571">
        <v>3120</v>
      </c>
      <c r="AO105" s="496">
        <f t="shared" si="99"/>
        <v>4648.8000000000011</v>
      </c>
      <c r="AP105" s="571">
        <v>3840</v>
      </c>
      <c r="AQ105" s="621">
        <f t="shared" si="100"/>
        <v>5721.6</v>
      </c>
      <c r="AR105" s="570">
        <v>0</v>
      </c>
      <c r="AS105" s="777">
        <f t="shared" si="101"/>
        <v>0</v>
      </c>
      <c r="AT105" s="571">
        <v>480</v>
      </c>
      <c r="AU105" s="496">
        <f t="shared" si="102"/>
        <v>369.59999999999997</v>
      </c>
      <c r="AV105" s="368">
        <v>0</v>
      </c>
      <c r="AW105" s="390">
        <f t="shared" si="103"/>
        <v>0</v>
      </c>
      <c r="AX105" s="114">
        <v>0</v>
      </c>
      <c r="AY105" s="389">
        <f t="shared" si="104"/>
        <v>0</v>
      </c>
      <c r="AZ105" s="115">
        <v>0</v>
      </c>
      <c r="BA105" s="389">
        <f t="shared" si="105"/>
        <v>0</v>
      </c>
      <c r="BB105" s="115">
        <v>0</v>
      </c>
      <c r="BC105" s="391">
        <f t="shared" si="106"/>
        <v>0</v>
      </c>
      <c r="BD105" s="114">
        <v>0</v>
      </c>
      <c r="BE105" s="389">
        <f t="shared" si="107"/>
        <v>0</v>
      </c>
      <c r="BF105" s="115">
        <v>0</v>
      </c>
      <c r="BG105" s="389">
        <f t="shared" si="108"/>
        <v>0</v>
      </c>
      <c r="BH105" s="115">
        <v>0</v>
      </c>
      <c r="BI105" s="392">
        <f t="shared" si="109"/>
        <v>0</v>
      </c>
      <c r="BJ105" s="177" t="s">
        <v>504</v>
      </c>
      <c r="BK105" s="78" t="s">
        <v>219</v>
      </c>
      <c r="BL105" s="78" t="s">
        <v>201</v>
      </c>
      <c r="BM105" s="9" t="s">
        <v>345</v>
      </c>
    </row>
    <row r="106" spans="1:65" ht="17" customHeight="1">
      <c r="A106" s="197" t="s">
        <v>383</v>
      </c>
      <c r="B106" s="9" t="s">
        <v>611</v>
      </c>
      <c r="C106" s="1" t="s">
        <v>30</v>
      </c>
      <c r="D106" s="1017"/>
      <c r="E106" s="1017"/>
      <c r="F106" s="1001"/>
      <c r="G106" s="170" t="s">
        <v>203</v>
      </c>
      <c r="H106" s="836" t="s">
        <v>218</v>
      </c>
      <c r="I106" s="275" t="s">
        <v>148</v>
      </c>
      <c r="J106" s="541" t="s">
        <v>198</v>
      </c>
      <c r="K106" s="1" t="s">
        <v>199</v>
      </c>
      <c r="L106" s="111" t="s">
        <v>210</v>
      </c>
      <c r="M106" s="348" t="s">
        <v>362</v>
      </c>
      <c r="N106" s="6">
        <v>13.8</v>
      </c>
      <c r="O106" s="6">
        <v>13.8</v>
      </c>
      <c r="P106" s="6">
        <v>13.8</v>
      </c>
      <c r="Q106" s="6">
        <f t="shared" si="111"/>
        <v>13.440000000000001</v>
      </c>
      <c r="R106" s="813">
        <v>13.780000000000001</v>
      </c>
      <c r="S106" s="813">
        <v>13.780000000000001</v>
      </c>
      <c r="T106" s="813">
        <v>13.780000000000001</v>
      </c>
      <c r="U106" s="813">
        <v>13.780000000000001</v>
      </c>
      <c r="V106" s="813">
        <v>13.780000000000001</v>
      </c>
      <c r="W106" s="813">
        <v>13.780000000000001</v>
      </c>
      <c r="X106" s="813">
        <v>13.780000000000001</v>
      </c>
      <c r="Y106" s="813">
        <v>13.780000000000001</v>
      </c>
      <c r="Z106" s="195">
        <v>1.4900000000000002</v>
      </c>
      <c r="AA106" s="2">
        <v>1.4900000000000002</v>
      </c>
      <c r="AB106" s="2">
        <v>1.4900000000000002</v>
      </c>
      <c r="AC106" s="2">
        <v>1.1299999999999999</v>
      </c>
      <c r="AD106" s="772">
        <f t="shared" si="113"/>
        <v>0.76999999999999991</v>
      </c>
      <c r="AE106" s="772">
        <f t="shared" si="113"/>
        <v>0.76999999999999991</v>
      </c>
      <c r="AF106" s="772">
        <f t="shared" si="113"/>
        <v>0.76999999999999991</v>
      </c>
      <c r="AG106" s="772">
        <f t="shared" si="113"/>
        <v>0.76999999999999991</v>
      </c>
      <c r="AH106" s="772">
        <f t="shared" si="113"/>
        <v>0.76999999999999991</v>
      </c>
      <c r="AI106" s="772">
        <f t="shared" si="113"/>
        <v>0.76999999999999991</v>
      </c>
      <c r="AJ106" s="772">
        <f t="shared" si="113"/>
        <v>0.76999999999999991</v>
      </c>
      <c r="AK106" s="772">
        <f t="shared" si="113"/>
        <v>0.76999999999999991</v>
      </c>
      <c r="AL106" s="545">
        <v>0</v>
      </c>
      <c r="AM106" s="494">
        <f t="shared" si="98"/>
        <v>0</v>
      </c>
      <c r="AN106" s="571">
        <v>0</v>
      </c>
      <c r="AO106" s="494">
        <f t="shared" si="99"/>
        <v>0</v>
      </c>
      <c r="AP106" s="570">
        <v>0</v>
      </c>
      <c r="AQ106" s="620">
        <f t="shared" si="100"/>
        <v>0</v>
      </c>
      <c r="AR106" s="570">
        <v>0</v>
      </c>
      <c r="AS106" s="775">
        <f t="shared" si="101"/>
        <v>0</v>
      </c>
      <c r="AT106" s="571">
        <v>0</v>
      </c>
      <c r="AU106" s="494">
        <f t="shared" si="102"/>
        <v>0</v>
      </c>
      <c r="AV106" s="368">
        <v>0</v>
      </c>
      <c r="AW106" s="355">
        <f t="shared" si="103"/>
        <v>0</v>
      </c>
      <c r="AX106" s="114">
        <v>0</v>
      </c>
      <c r="AY106" s="127">
        <f t="shared" si="104"/>
        <v>0</v>
      </c>
      <c r="AZ106" s="115">
        <v>0</v>
      </c>
      <c r="BA106" s="127">
        <f t="shared" si="105"/>
        <v>0</v>
      </c>
      <c r="BB106" s="115">
        <v>0</v>
      </c>
      <c r="BC106" s="356">
        <f t="shared" si="106"/>
        <v>0</v>
      </c>
      <c r="BD106" s="114">
        <v>0</v>
      </c>
      <c r="BE106" s="127">
        <f t="shared" si="107"/>
        <v>0</v>
      </c>
      <c r="BF106" s="115">
        <v>0</v>
      </c>
      <c r="BG106" s="127">
        <f t="shared" si="108"/>
        <v>0</v>
      </c>
      <c r="BH106" s="115">
        <v>0</v>
      </c>
      <c r="BI106" s="329">
        <f t="shared" si="109"/>
        <v>0</v>
      </c>
      <c r="BJ106" s="177" t="s">
        <v>504</v>
      </c>
      <c r="BK106" s="78" t="s">
        <v>219</v>
      </c>
      <c r="BL106" s="78" t="s">
        <v>201</v>
      </c>
      <c r="BM106" s="9" t="s">
        <v>345</v>
      </c>
    </row>
    <row r="107" spans="1:65" ht="17" customHeight="1">
      <c r="A107" s="197" t="s">
        <v>383</v>
      </c>
      <c r="B107" s="9" t="s">
        <v>611</v>
      </c>
      <c r="C107" s="1" t="s">
        <v>30</v>
      </c>
      <c r="D107" s="1017"/>
      <c r="E107" s="1017"/>
      <c r="F107" s="1001"/>
      <c r="G107" s="170" t="s">
        <v>203</v>
      </c>
      <c r="H107" s="835" t="s">
        <v>218</v>
      </c>
      <c r="I107" s="275" t="s">
        <v>148</v>
      </c>
      <c r="J107" s="541" t="s">
        <v>198</v>
      </c>
      <c r="K107" s="1" t="s">
        <v>199</v>
      </c>
      <c r="L107" s="111" t="s">
        <v>210</v>
      </c>
      <c r="M107" s="348" t="s">
        <v>348</v>
      </c>
      <c r="N107" s="6">
        <v>13.8</v>
      </c>
      <c r="O107" s="6">
        <v>13.8</v>
      </c>
      <c r="P107" s="6">
        <v>13.8</v>
      </c>
      <c r="Q107" s="6">
        <f t="shared" si="111"/>
        <v>13.440000000000001</v>
      </c>
      <c r="R107" s="813">
        <v>13.820000000000002</v>
      </c>
      <c r="S107" s="813">
        <v>13.820000000000002</v>
      </c>
      <c r="T107" s="813">
        <v>13.820000000000002</v>
      </c>
      <c r="U107" s="813">
        <v>13.820000000000002</v>
      </c>
      <c r="V107" s="813">
        <v>13.820000000000002</v>
      </c>
      <c r="W107" s="813">
        <v>13.820000000000002</v>
      </c>
      <c r="X107" s="813">
        <v>13.820000000000002</v>
      </c>
      <c r="Y107" s="813">
        <v>13.820000000000002</v>
      </c>
      <c r="Z107" s="195">
        <v>1.4900000000000002</v>
      </c>
      <c r="AA107" s="2">
        <v>1.4900000000000002</v>
      </c>
      <c r="AB107" s="2">
        <v>1.4900000000000002</v>
      </c>
      <c r="AC107" s="2">
        <v>1.1299999999999999</v>
      </c>
      <c r="AD107" s="772">
        <f t="shared" si="113"/>
        <v>0.76999999999999991</v>
      </c>
      <c r="AE107" s="772">
        <f t="shared" si="113"/>
        <v>0.76999999999999991</v>
      </c>
      <c r="AF107" s="772">
        <f t="shared" si="113"/>
        <v>0.76999999999999991</v>
      </c>
      <c r="AG107" s="772">
        <f t="shared" si="113"/>
        <v>0.76999999999999991</v>
      </c>
      <c r="AH107" s="772">
        <f t="shared" si="113"/>
        <v>0.76999999999999991</v>
      </c>
      <c r="AI107" s="772">
        <f t="shared" si="113"/>
        <v>0.76999999999999991</v>
      </c>
      <c r="AJ107" s="772">
        <f t="shared" si="113"/>
        <v>0.76999999999999991</v>
      </c>
      <c r="AK107" s="772">
        <f t="shared" si="113"/>
        <v>0.76999999999999991</v>
      </c>
      <c r="AL107" s="545">
        <v>0</v>
      </c>
      <c r="AM107" s="496">
        <f t="shared" si="98"/>
        <v>0</v>
      </c>
      <c r="AN107" s="571">
        <v>170</v>
      </c>
      <c r="AO107" s="496">
        <f t="shared" si="99"/>
        <v>253.30000000000004</v>
      </c>
      <c r="AP107" s="570">
        <v>0</v>
      </c>
      <c r="AQ107" s="621">
        <f t="shared" si="100"/>
        <v>0</v>
      </c>
      <c r="AR107" s="570">
        <v>0</v>
      </c>
      <c r="AS107" s="777">
        <f t="shared" si="101"/>
        <v>0</v>
      </c>
      <c r="AT107" s="571">
        <v>40</v>
      </c>
      <c r="AU107" s="496">
        <f t="shared" si="102"/>
        <v>30.799999999999997</v>
      </c>
      <c r="AV107" s="368">
        <v>100</v>
      </c>
      <c r="AW107" s="390">
        <f t="shared" si="103"/>
        <v>76.999999999999986</v>
      </c>
      <c r="AX107" s="114">
        <v>100</v>
      </c>
      <c r="AY107" s="389">
        <f t="shared" si="104"/>
        <v>76.999999999999986</v>
      </c>
      <c r="AZ107" s="115">
        <v>100</v>
      </c>
      <c r="BA107" s="389">
        <f t="shared" si="105"/>
        <v>76.999999999999986</v>
      </c>
      <c r="BB107" s="115">
        <v>100</v>
      </c>
      <c r="BC107" s="391">
        <f t="shared" si="106"/>
        <v>76.999999999999986</v>
      </c>
      <c r="BD107" s="114">
        <v>100</v>
      </c>
      <c r="BE107" s="389">
        <f t="shared" si="107"/>
        <v>76.999999999999986</v>
      </c>
      <c r="BF107" s="115">
        <v>100</v>
      </c>
      <c r="BG107" s="389">
        <f t="shared" si="108"/>
        <v>76.999999999999986</v>
      </c>
      <c r="BH107" s="115">
        <v>100</v>
      </c>
      <c r="BI107" s="392">
        <f t="shared" si="109"/>
        <v>76.999999999999986</v>
      </c>
      <c r="BJ107" s="177" t="s">
        <v>556</v>
      </c>
      <c r="BK107" s="78" t="s">
        <v>219</v>
      </c>
      <c r="BL107" s="78" t="s">
        <v>202</v>
      </c>
      <c r="BM107" s="9" t="s">
        <v>345</v>
      </c>
    </row>
    <row r="108" spans="1:65" ht="17" customHeight="1">
      <c r="A108" s="197" t="s">
        <v>383</v>
      </c>
      <c r="B108" s="9" t="s">
        <v>611</v>
      </c>
      <c r="C108" s="1" t="s">
        <v>30</v>
      </c>
      <c r="D108" s="1017"/>
      <c r="E108" s="1017"/>
      <c r="F108" s="1001"/>
      <c r="G108" s="170" t="s">
        <v>203</v>
      </c>
      <c r="H108" s="835" t="s">
        <v>218</v>
      </c>
      <c r="I108" s="275" t="s">
        <v>148</v>
      </c>
      <c r="J108" s="541" t="s">
        <v>198</v>
      </c>
      <c r="K108" s="1" t="s">
        <v>199</v>
      </c>
      <c r="L108" s="111" t="s">
        <v>210</v>
      </c>
      <c r="M108" s="348" t="s">
        <v>349</v>
      </c>
      <c r="N108" s="6">
        <v>13.8</v>
      </c>
      <c r="O108" s="6">
        <v>13.8</v>
      </c>
      <c r="P108" s="6">
        <v>13.8</v>
      </c>
      <c r="Q108" s="6">
        <f t="shared" si="111"/>
        <v>13.440000000000001</v>
      </c>
      <c r="R108" s="813">
        <v>14.090000000000002</v>
      </c>
      <c r="S108" s="813">
        <v>14.090000000000002</v>
      </c>
      <c r="T108" s="813">
        <v>14.090000000000002</v>
      </c>
      <c r="U108" s="813">
        <v>14.090000000000002</v>
      </c>
      <c r="V108" s="813">
        <v>14.090000000000002</v>
      </c>
      <c r="W108" s="813">
        <v>14.090000000000002</v>
      </c>
      <c r="X108" s="813">
        <v>14.090000000000002</v>
      </c>
      <c r="Y108" s="813">
        <v>14.090000000000002</v>
      </c>
      <c r="Z108" s="195">
        <v>1.4900000000000002</v>
      </c>
      <c r="AA108" s="2">
        <v>1.4900000000000002</v>
      </c>
      <c r="AB108" s="2">
        <v>1.4900000000000002</v>
      </c>
      <c r="AC108" s="2">
        <v>1.1299999999999999</v>
      </c>
      <c r="AD108" s="772">
        <f t="shared" si="113"/>
        <v>0.76999999999999991</v>
      </c>
      <c r="AE108" s="772">
        <f t="shared" si="113"/>
        <v>0.76999999999999991</v>
      </c>
      <c r="AF108" s="772">
        <f t="shared" si="113"/>
        <v>0.76999999999999991</v>
      </c>
      <c r="AG108" s="772">
        <f t="shared" si="113"/>
        <v>0.76999999999999991</v>
      </c>
      <c r="AH108" s="772">
        <f t="shared" si="113"/>
        <v>0.76999999999999991</v>
      </c>
      <c r="AI108" s="772">
        <f t="shared" si="113"/>
        <v>0.76999999999999991</v>
      </c>
      <c r="AJ108" s="772">
        <f t="shared" si="113"/>
        <v>0.76999999999999991</v>
      </c>
      <c r="AK108" s="772">
        <f t="shared" si="113"/>
        <v>0.76999999999999991</v>
      </c>
      <c r="AL108" s="545">
        <v>860</v>
      </c>
      <c r="AM108" s="494">
        <f t="shared" si="98"/>
        <v>1281.4000000000001</v>
      </c>
      <c r="AN108" s="568">
        <v>210</v>
      </c>
      <c r="AO108" s="494">
        <f t="shared" si="99"/>
        <v>312.90000000000003</v>
      </c>
      <c r="AP108" s="568">
        <v>300</v>
      </c>
      <c r="AQ108" s="620">
        <f t="shared" si="100"/>
        <v>447.00000000000006</v>
      </c>
      <c r="AR108" s="569">
        <v>50</v>
      </c>
      <c r="AS108" s="775">
        <f t="shared" si="101"/>
        <v>56.499999999999993</v>
      </c>
      <c r="AT108" s="571">
        <v>4020</v>
      </c>
      <c r="AU108" s="494">
        <f t="shared" si="102"/>
        <v>3095.3999999999996</v>
      </c>
      <c r="AV108" s="115">
        <v>100</v>
      </c>
      <c r="AW108" s="355">
        <f t="shared" si="103"/>
        <v>76.999999999999986</v>
      </c>
      <c r="AX108" s="114">
        <v>100</v>
      </c>
      <c r="AY108" s="127">
        <f t="shared" si="104"/>
        <v>76.999999999999986</v>
      </c>
      <c r="AZ108" s="115">
        <v>100</v>
      </c>
      <c r="BA108" s="127">
        <f t="shared" si="105"/>
        <v>76.999999999999986</v>
      </c>
      <c r="BB108" s="115">
        <v>100</v>
      </c>
      <c r="BC108" s="356">
        <f t="shared" si="106"/>
        <v>76.999999999999986</v>
      </c>
      <c r="BD108" s="114">
        <v>100</v>
      </c>
      <c r="BE108" s="127">
        <f t="shared" si="107"/>
        <v>76.999999999999986</v>
      </c>
      <c r="BF108" s="115">
        <v>100</v>
      </c>
      <c r="BG108" s="127">
        <f t="shared" si="108"/>
        <v>76.999999999999986</v>
      </c>
      <c r="BH108" s="115">
        <v>100</v>
      </c>
      <c r="BI108" s="329">
        <f t="shared" si="109"/>
        <v>76.999999999999986</v>
      </c>
      <c r="BJ108" s="177" t="s">
        <v>504</v>
      </c>
      <c r="BK108" s="78" t="s">
        <v>219</v>
      </c>
      <c r="BL108" s="78" t="s">
        <v>202</v>
      </c>
      <c r="BM108" s="9" t="s">
        <v>345</v>
      </c>
    </row>
    <row r="109" spans="1:65" ht="17" customHeight="1">
      <c r="A109" s="197" t="s">
        <v>383</v>
      </c>
      <c r="B109" s="9" t="s">
        <v>611</v>
      </c>
      <c r="C109" s="1" t="s">
        <v>30</v>
      </c>
      <c r="D109" s="1017"/>
      <c r="E109" s="1017"/>
      <c r="F109" s="1001"/>
      <c r="G109" s="170" t="s">
        <v>203</v>
      </c>
      <c r="H109" s="835" t="s">
        <v>218</v>
      </c>
      <c r="I109" s="275" t="s">
        <v>148</v>
      </c>
      <c r="J109" s="541" t="s">
        <v>198</v>
      </c>
      <c r="K109" s="1" t="s">
        <v>199</v>
      </c>
      <c r="L109" s="111" t="s">
        <v>210</v>
      </c>
      <c r="M109" s="348" t="s">
        <v>350</v>
      </c>
      <c r="N109" s="6">
        <v>13.8</v>
      </c>
      <c r="O109" s="6">
        <v>13.8</v>
      </c>
      <c r="P109" s="6">
        <v>13.8</v>
      </c>
      <c r="Q109" s="6">
        <f t="shared" si="111"/>
        <v>13.440000000000001</v>
      </c>
      <c r="R109" s="813">
        <v>14.090000000000002</v>
      </c>
      <c r="S109" s="813">
        <v>14.090000000000002</v>
      </c>
      <c r="T109" s="813">
        <v>14.090000000000002</v>
      </c>
      <c r="U109" s="813">
        <v>14.090000000000002</v>
      </c>
      <c r="V109" s="813">
        <v>14.090000000000002</v>
      </c>
      <c r="W109" s="813">
        <v>14.090000000000002</v>
      </c>
      <c r="X109" s="813">
        <v>14.090000000000002</v>
      </c>
      <c r="Y109" s="813">
        <v>14.090000000000002</v>
      </c>
      <c r="Z109" s="195">
        <v>1.4900000000000002</v>
      </c>
      <c r="AA109" s="2">
        <v>1.4900000000000002</v>
      </c>
      <c r="AB109" s="2">
        <v>1.4900000000000002</v>
      </c>
      <c r="AC109" s="2">
        <v>1.1299999999999999</v>
      </c>
      <c r="AD109" s="772">
        <f t="shared" si="113"/>
        <v>0.76999999999999991</v>
      </c>
      <c r="AE109" s="772">
        <f t="shared" si="113"/>
        <v>0.76999999999999991</v>
      </c>
      <c r="AF109" s="772">
        <f t="shared" si="113"/>
        <v>0.76999999999999991</v>
      </c>
      <c r="AG109" s="772">
        <f t="shared" si="113"/>
        <v>0.76999999999999991</v>
      </c>
      <c r="AH109" s="772">
        <f t="shared" si="113"/>
        <v>0.76999999999999991</v>
      </c>
      <c r="AI109" s="772">
        <f t="shared" si="113"/>
        <v>0.76999999999999991</v>
      </c>
      <c r="AJ109" s="772">
        <f t="shared" si="113"/>
        <v>0.76999999999999991</v>
      </c>
      <c r="AK109" s="772">
        <f t="shared" si="113"/>
        <v>0.76999999999999991</v>
      </c>
      <c r="AL109" s="545">
        <v>30</v>
      </c>
      <c r="AM109" s="496">
        <f t="shared" si="98"/>
        <v>44.7</v>
      </c>
      <c r="AN109" s="568">
        <v>290</v>
      </c>
      <c r="AO109" s="496">
        <f t="shared" si="99"/>
        <v>432.10000000000008</v>
      </c>
      <c r="AP109" s="568">
        <v>90</v>
      </c>
      <c r="AQ109" s="621">
        <f t="shared" si="100"/>
        <v>134.10000000000002</v>
      </c>
      <c r="AR109" s="569">
        <v>40</v>
      </c>
      <c r="AS109" s="777">
        <f t="shared" si="101"/>
        <v>45.199999999999996</v>
      </c>
      <c r="AT109" s="571">
        <v>10</v>
      </c>
      <c r="AU109" s="496">
        <f t="shared" si="102"/>
        <v>7.6999999999999993</v>
      </c>
      <c r="AV109" s="115">
        <v>100</v>
      </c>
      <c r="AW109" s="390">
        <f t="shared" si="103"/>
        <v>76.999999999999986</v>
      </c>
      <c r="AX109" s="114">
        <v>100</v>
      </c>
      <c r="AY109" s="389">
        <f t="shared" si="104"/>
        <v>76.999999999999986</v>
      </c>
      <c r="AZ109" s="115">
        <v>100</v>
      </c>
      <c r="BA109" s="389">
        <f t="shared" si="105"/>
        <v>76.999999999999986</v>
      </c>
      <c r="BB109" s="115">
        <v>100</v>
      </c>
      <c r="BC109" s="391">
        <f t="shared" si="106"/>
        <v>76.999999999999986</v>
      </c>
      <c r="BD109" s="114">
        <v>100</v>
      </c>
      <c r="BE109" s="389">
        <f t="shared" si="107"/>
        <v>76.999999999999986</v>
      </c>
      <c r="BF109" s="115">
        <v>100</v>
      </c>
      <c r="BG109" s="389">
        <f t="shared" si="108"/>
        <v>76.999999999999986</v>
      </c>
      <c r="BH109" s="115">
        <v>100</v>
      </c>
      <c r="BI109" s="392">
        <f t="shared" si="109"/>
        <v>76.999999999999986</v>
      </c>
      <c r="BJ109" s="177" t="s">
        <v>504</v>
      </c>
      <c r="BK109" s="78" t="s">
        <v>219</v>
      </c>
      <c r="BL109" s="78" t="s">
        <v>202</v>
      </c>
      <c r="BM109" s="9" t="s">
        <v>345</v>
      </c>
    </row>
    <row r="110" spans="1:65" ht="17" customHeight="1">
      <c r="A110" s="197" t="s">
        <v>383</v>
      </c>
      <c r="B110" s="9" t="s">
        <v>611</v>
      </c>
      <c r="C110" s="1" t="s">
        <v>30</v>
      </c>
      <c r="D110" s="1017"/>
      <c r="E110" s="1017"/>
      <c r="F110" s="1001"/>
      <c r="G110" s="170" t="s">
        <v>203</v>
      </c>
      <c r="H110" s="835" t="s">
        <v>218</v>
      </c>
      <c r="I110" s="275" t="s">
        <v>148</v>
      </c>
      <c r="J110" s="541" t="s">
        <v>198</v>
      </c>
      <c r="K110" s="1" t="s">
        <v>199</v>
      </c>
      <c r="L110" s="111" t="s">
        <v>210</v>
      </c>
      <c r="M110" s="348" t="s">
        <v>353</v>
      </c>
      <c r="N110" s="6">
        <v>13.8</v>
      </c>
      <c r="O110" s="6">
        <v>13.8</v>
      </c>
      <c r="P110" s="6">
        <v>13.8</v>
      </c>
      <c r="Q110" s="6">
        <f t="shared" si="111"/>
        <v>13.440000000000001</v>
      </c>
      <c r="R110" s="813">
        <v>14.090000000000002</v>
      </c>
      <c r="S110" s="813">
        <v>14.090000000000002</v>
      </c>
      <c r="T110" s="813">
        <v>14.090000000000002</v>
      </c>
      <c r="U110" s="813">
        <v>14.090000000000002</v>
      </c>
      <c r="V110" s="813">
        <v>14.090000000000002</v>
      </c>
      <c r="W110" s="813">
        <v>14.090000000000002</v>
      </c>
      <c r="X110" s="813">
        <v>14.090000000000002</v>
      </c>
      <c r="Y110" s="813">
        <v>14.090000000000002</v>
      </c>
      <c r="Z110" s="195">
        <v>1.4900000000000002</v>
      </c>
      <c r="AA110" s="2">
        <v>1.4900000000000002</v>
      </c>
      <c r="AB110" s="2">
        <v>1.4900000000000002</v>
      </c>
      <c r="AC110" s="2">
        <v>1.1299999999999999</v>
      </c>
      <c r="AD110" s="772">
        <f t="shared" si="113"/>
        <v>0.76999999999999991</v>
      </c>
      <c r="AE110" s="772">
        <f t="shared" si="113"/>
        <v>0.76999999999999991</v>
      </c>
      <c r="AF110" s="772">
        <f t="shared" si="113"/>
        <v>0.76999999999999991</v>
      </c>
      <c r="AG110" s="772">
        <f t="shared" si="113"/>
        <v>0.76999999999999991</v>
      </c>
      <c r="AH110" s="772">
        <f t="shared" si="113"/>
        <v>0.76999999999999991</v>
      </c>
      <c r="AI110" s="772">
        <f t="shared" si="113"/>
        <v>0.76999999999999991</v>
      </c>
      <c r="AJ110" s="772">
        <f t="shared" si="113"/>
        <v>0.76999999999999991</v>
      </c>
      <c r="AK110" s="772">
        <f t="shared" si="113"/>
        <v>0.76999999999999991</v>
      </c>
      <c r="AL110" s="545">
        <v>240</v>
      </c>
      <c r="AM110" s="494">
        <f t="shared" si="98"/>
        <v>357.6</v>
      </c>
      <c r="AN110" s="568">
        <v>240</v>
      </c>
      <c r="AO110" s="494">
        <f t="shared" si="99"/>
        <v>357.6</v>
      </c>
      <c r="AP110" s="568">
        <v>2050</v>
      </c>
      <c r="AQ110" s="620">
        <f t="shared" si="100"/>
        <v>3054.5000000000005</v>
      </c>
      <c r="AR110" s="569">
        <v>120</v>
      </c>
      <c r="AS110" s="775">
        <f t="shared" si="101"/>
        <v>135.6</v>
      </c>
      <c r="AT110" s="571">
        <v>3550</v>
      </c>
      <c r="AU110" s="494">
        <f t="shared" si="102"/>
        <v>2733.4999999999995</v>
      </c>
      <c r="AV110" s="115">
        <v>100</v>
      </c>
      <c r="AW110" s="355">
        <f t="shared" si="103"/>
        <v>76.999999999999986</v>
      </c>
      <c r="AX110" s="114">
        <v>100</v>
      </c>
      <c r="AY110" s="127">
        <f t="shared" si="104"/>
        <v>76.999999999999986</v>
      </c>
      <c r="AZ110" s="115">
        <v>100</v>
      </c>
      <c r="BA110" s="127">
        <f t="shared" si="105"/>
        <v>76.999999999999986</v>
      </c>
      <c r="BB110" s="115">
        <v>100</v>
      </c>
      <c r="BC110" s="356">
        <f t="shared" si="106"/>
        <v>76.999999999999986</v>
      </c>
      <c r="BD110" s="114">
        <v>100</v>
      </c>
      <c r="BE110" s="127">
        <f t="shared" si="107"/>
        <v>76.999999999999986</v>
      </c>
      <c r="BF110" s="115">
        <v>100</v>
      </c>
      <c r="BG110" s="127">
        <f t="shared" si="108"/>
        <v>76.999999999999986</v>
      </c>
      <c r="BH110" s="115">
        <v>100</v>
      </c>
      <c r="BI110" s="329">
        <f t="shared" si="109"/>
        <v>76.999999999999986</v>
      </c>
      <c r="BJ110" s="177" t="s">
        <v>504</v>
      </c>
      <c r="BK110" s="78" t="s">
        <v>219</v>
      </c>
      <c r="BL110" s="78" t="s">
        <v>202</v>
      </c>
      <c r="BM110" s="9" t="s">
        <v>345</v>
      </c>
    </row>
    <row r="111" spans="1:65" ht="17" customHeight="1">
      <c r="A111" s="197" t="s">
        <v>383</v>
      </c>
      <c r="B111" s="9" t="s">
        <v>611</v>
      </c>
      <c r="C111" s="1" t="s">
        <v>30</v>
      </c>
      <c r="D111" s="1017"/>
      <c r="E111" s="1017"/>
      <c r="F111" s="1001"/>
      <c r="G111" s="170" t="s">
        <v>203</v>
      </c>
      <c r="H111" s="835" t="s">
        <v>218</v>
      </c>
      <c r="I111" s="275" t="s">
        <v>148</v>
      </c>
      <c r="J111" s="541" t="s">
        <v>198</v>
      </c>
      <c r="K111" s="1" t="s">
        <v>199</v>
      </c>
      <c r="L111" s="111" t="s">
        <v>154</v>
      </c>
      <c r="M111" s="348" t="s">
        <v>358</v>
      </c>
      <c r="N111" s="6">
        <v>13.8</v>
      </c>
      <c r="O111" s="6">
        <v>13.8</v>
      </c>
      <c r="P111" s="6">
        <v>13.8</v>
      </c>
      <c r="Q111" s="6">
        <f t="shared" si="111"/>
        <v>13.440000000000001</v>
      </c>
      <c r="R111" s="813">
        <v>14.090000000000002</v>
      </c>
      <c r="S111" s="813">
        <v>14.090000000000002</v>
      </c>
      <c r="T111" s="813">
        <v>14.090000000000002</v>
      </c>
      <c r="U111" s="813">
        <v>14.090000000000002</v>
      </c>
      <c r="V111" s="813">
        <v>14.090000000000002</v>
      </c>
      <c r="W111" s="813">
        <v>14.090000000000002</v>
      </c>
      <c r="X111" s="813">
        <v>14.090000000000002</v>
      </c>
      <c r="Y111" s="813">
        <v>14.090000000000002</v>
      </c>
      <c r="Z111" s="195">
        <v>1.4900000000000002</v>
      </c>
      <c r="AA111" s="2">
        <v>1.4900000000000002</v>
      </c>
      <c r="AB111" s="2">
        <v>1.4900000000000002</v>
      </c>
      <c r="AC111" s="2">
        <v>1.1299999999999999</v>
      </c>
      <c r="AD111" s="772">
        <f t="shared" si="113"/>
        <v>0.76999999999999991</v>
      </c>
      <c r="AE111" s="772">
        <f t="shared" si="113"/>
        <v>0.76999999999999991</v>
      </c>
      <c r="AF111" s="772">
        <f t="shared" si="113"/>
        <v>0.76999999999999991</v>
      </c>
      <c r="AG111" s="772">
        <f t="shared" si="113"/>
        <v>0.76999999999999991</v>
      </c>
      <c r="AH111" s="772">
        <f t="shared" si="113"/>
        <v>0.76999999999999991</v>
      </c>
      <c r="AI111" s="772">
        <f t="shared" si="113"/>
        <v>0.76999999999999991</v>
      </c>
      <c r="AJ111" s="772">
        <f t="shared" si="113"/>
        <v>0.76999999999999991</v>
      </c>
      <c r="AK111" s="772">
        <f t="shared" si="113"/>
        <v>0.76999999999999991</v>
      </c>
      <c r="AL111" s="545">
        <v>3140</v>
      </c>
      <c r="AM111" s="496">
        <f t="shared" si="98"/>
        <v>4678.6000000000004</v>
      </c>
      <c r="AN111" s="568">
        <v>3120</v>
      </c>
      <c r="AO111" s="496">
        <f t="shared" si="99"/>
        <v>4648.8000000000011</v>
      </c>
      <c r="AP111" s="568">
        <v>2900</v>
      </c>
      <c r="AQ111" s="621">
        <f t="shared" si="100"/>
        <v>4321.0000000000009</v>
      </c>
      <c r="AR111" s="569">
        <v>990</v>
      </c>
      <c r="AS111" s="777">
        <f t="shared" si="101"/>
        <v>1118.6999999999998</v>
      </c>
      <c r="AT111" s="571">
        <v>3810</v>
      </c>
      <c r="AU111" s="496">
        <f t="shared" si="102"/>
        <v>2933.7</v>
      </c>
      <c r="AV111" s="115">
        <v>600</v>
      </c>
      <c r="AW111" s="390">
        <f t="shared" si="103"/>
        <v>461.99999999999994</v>
      </c>
      <c r="AX111" s="114">
        <v>600</v>
      </c>
      <c r="AY111" s="389">
        <f t="shared" si="104"/>
        <v>461.99999999999994</v>
      </c>
      <c r="AZ111" s="115">
        <v>600</v>
      </c>
      <c r="BA111" s="389">
        <f t="shared" si="105"/>
        <v>461.99999999999994</v>
      </c>
      <c r="BB111" s="115">
        <v>600</v>
      </c>
      <c r="BC111" s="391">
        <f t="shared" si="106"/>
        <v>461.99999999999994</v>
      </c>
      <c r="BD111" s="114">
        <v>600</v>
      </c>
      <c r="BE111" s="389">
        <f t="shared" si="107"/>
        <v>461.99999999999994</v>
      </c>
      <c r="BF111" s="115">
        <v>600</v>
      </c>
      <c r="BG111" s="389">
        <f t="shared" si="108"/>
        <v>461.99999999999994</v>
      </c>
      <c r="BH111" s="115">
        <v>600</v>
      </c>
      <c r="BI111" s="392">
        <f t="shared" si="109"/>
        <v>461.99999999999994</v>
      </c>
      <c r="BJ111" s="177" t="s">
        <v>504</v>
      </c>
      <c r="BK111" s="78" t="s">
        <v>219</v>
      </c>
      <c r="BL111" s="78" t="s">
        <v>202</v>
      </c>
      <c r="BM111" s="9" t="s">
        <v>345</v>
      </c>
    </row>
    <row r="112" spans="1:65" ht="17" customHeight="1">
      <c r="A112" s="197" t="s">
        <v>383</v>
      </c>
      <c r="B112" s="9" t="s">
        <v>611</v>
      </c>
      <c r="C112" s="1" t="s">
        <v>30</v>
      </c>
      <c r="D112" s="1017"/>
      <c r="E112" s="1017"/>
      <c r="F112" s="1001"/>
      <c r="G112" s="170" t="s">
        <v>203</v>
      </c>
      <c r="H112" s="835" t="s">
        <v>218</v>
      </c>
      <c r="I112" s="275" t="s">
        <v>148</v>
      </c>
      <c r="J112" s="541" t="s">
        <v>198</v>
      </c>
      <c r="K112" s="1" t="s">
        <v>199</v>
      </c>
      <c r="L112" s="111" t="s">
        <v>210</v>
      </c>
      <c r="M112" s="348" t="s">
        <v>359</v>
      </c>
      <c r="N112" s="6">
        <v>13.8</v>
      </c>
      <c r="O112" s="6">
        <v>13.8</v>
      </c>
      <c r="P112" s="6">
        <v>13.8</v>
      </c>
      <c r="Q112" s="6">
        <f t="shared" si="111"/>
        <v>13.440000000000001</v>
      </c>
      <c r="R112" s="813">
        <f t="shared" si="111"/>
        <v>13.440000000000001</v>
      </c>
      <c r="S112" s="813">
        <f t="shared" si="111"/>
        <v>13.440000000000001</v>
      </c>
      <c r="T112" s="813">
        <f t="shared" si="111"/>
        <v>13.440000000000001</v>
      </c>
      <c r="U112" s="813">
        <f t="shared" si="111"/>
        <v>13.440000000000001</v>
      </c>
      <c r="V112" s="813">
        <f t="shared" si="111"/>
        <v>13.440000000000001</v>
      </c>
      <c r="W112" s="813">
        <f t="shared" si="111"/>
        <v>13.440000000000001</v>
      </c>
      <c r="X112" s="813">
        <f t="shared" si="111"/>
        <v>13.440000000000001</v>
      </c>
      <c r="Y112" s="813">
        <f t="shared" si="111"/>
        <v>13.440000000000001</v>
      </c>
      <c r="Z112" s="195">
        <v>1.4900000000000002</v>
      </c>
      <c r="AA112" s="2">
        <v>1.4900000000000002</v>
      </c>
      <c r="AB112" s="2">
        <v>1.4900000000000002</v>
      </c>
      <c r="AC112" s="2">
        <v>1.1299999999999999</v>
      </c>
      <c r="AD112" s="772">
        <f t="shared" si="113"/>
        <v>0.76999999999999991</v>
      </c>
      <c r="AE112" s="772">
        <f t="shared" si="113"/>
        <v>0.76999999999999991</v>
      </c>
      <c r="AF112" s="772">
        <f t="shared" si="113"/>
        <v>0.76999999999999991</v>
      </c>
      <c r="AG112" s="772">
        <f t="shared" si="113"/>
        <v>0.76999999999999991</v>
      </c>
      <c r="AH112" s="772">
        <f t="shared" si="113"/>
        <v>0.76999999999999991</v>
      </c>
      <c r="AI112" s="772">
        <f t="shared" si="113"/>
        <v>0.76999999999999991</v>
      </c>
      <c r="AJ112" s="772">
        <f t="shared" si="113"/>
        <v>0.76999999999999991</v>
      </c>
      <c r="AK112" s="772">
        <f t="shared" si="113"/>
        <v>0.76999999999999991</v>
      </c>
      <c r="AL112" s="545">
        <v>240</v>
      </c>
      <c r="AM112" s="496">
        <f t="shared" si="98"/>
        <v>357.6</v>
      </c>
      <c r="AN112" s="571">
        <v>0</v>
      </c>
      <c r="AO112" s="496">
        <f t="shared" si="99"/>
        <v>0</v>
      </c>
      <c r="AP112" s="571">
        <v>0</v>
      </c>
      <c r="AQ112" s="621">
        <f t="shared" si="100"/>
        <v>0</v>
      </c>
      <c r="AR112" s="570">
        <v>0</v>
      </c>
      <c r="AS112" s="777">
        <f t="shared" si="101"/>
        <v>0</v>
      </c>
      <c r="AT112" s="571">
        <v>0</v>
      </c>
      <c r="AU112" s="496">
        <f t="shared" si="102"/>
        <v>0</v>
      </c>
      <c r="AV112" s="368">
        <v>0</v>
      </c>
      <c r="AW112" s="390">
        <f t="shared" si="103"/>
        <v>0</v>
      </c>
      <c r="AX112" s="368">
        <v>0</v>
      </c>
      <c r="AY112" s="389">
        <f t="shared" si="104"/>
        <v>0</v>
      </c>
      <c r="AZ112" s="368">
        <v>0</v>
      </c>
      <c r="BA112" s="389">
        <f t="shared" si="105"/>
        <v>0</v>
      </c>
      <c r="BB112" s="368">
        <v>0</v>
      </c>
      <c r="BC112" s="391">
        <f t="shared" si="106"/>
        <v>0</v>
      </c>
      <c r="BD112" s="368">
        <v>0</v>
      </c>
      <c r="BE112" s="389">
        <f t="shared" si="107"/>
        <v>0</v>
      </c>
      <c r="BF112" s="368">
        <v>0</v>
      </c>
      <c r="BG112" s="389">
        <f t="shared" si="108"/>
        <v>0</v>
      </c>
      <c r="BH112" s="368">
        <v>0</v>
      </c>
      <c r="BI112" s="392">
        <f t="shared" si="109"/>
        <v>0</v>
      </c>
      <c r="BJ112" s="177" t="s">
        <v>504</v>
      </c>
      <c r="BK112" s="78" t="s">
        <v>219</v>
      </c>
      <c r="BL112" s="78" t="s">
        <v>201</v>
      </c>
      <c r="BM112" s="9" t="s">
        <v>345</v>
      </c>
    </row>
    <row r="113" spans="1:65" ht="17" customHeight="1">
      <c r="A113" s="197" t="s">
        <v>383</v>
      </c>
      <c r="B113" s="9" t="s">
        <v>611</v>
      </c>
      <c r="C113" s="1" t="s">
        <v>30</v>
      </c>
      <c r="D113" s="1017"/>
      <c r="E113" s="1017"/>
      <c r="F113" s="1001"/>
      <c r="G113" s="542" t="s">
        <v>220</v>
      </c>
      <c r="H113" s="835" t="s">
        <v>221</v>
      </c>
      <c r="I113" s="276" t="s">
        <v>148</v>
      </c>
      <c r="J113" s="541" t="s">
        <v>198</v>
      </c>
      <c r="K113" s="1" t="s">
        <v>199</v>
      </c>
      <c r="L113" s="111" t="s">
        <v>150</v>
      </c>
      <c r="M113" s="822" t="s">
        <v>361</v>
      </c>
      <c r="N113" s="6">
        <v>4.75</v>
      </c>
      <c r="O113" s="6">
        <v>4.75</v>
      </c>
      <c r="P113" s="6">
        <v>4.75</v>
      </c>
      <c r="Q113" s="6">
        <v>4.75</v>
      </c>
      <c r="R113" s="813">
        <v>5.51</v>
      </c>
      <c r="S113" s="813">
        <v>5.51</v>
      </c>
      <c r="T113" s="813">
        <v>5.51</v>
      </c>
      <c r="U113" s="813">
        <v>5.51</v>
      </c>
      <c r="V113" s="813">
        <v>5.51</v>
      </c>
      <c r="W113" s="813">
        <v>5.51</v>
      </c>
      <c r="X113" s="813">
        <v>5.51</v>
      </c>
      <c r="Y113" s="813">
        <v>5.51</v>
      </c>
      <c r="Z113" s="195">
        <v>0.32</v>
      </c>
      <c r="AA113" s="2">
        <v>0.32</v>
      </c>
      <c r="AB113" s="2">
        <v>0.32</v>
      </c>
      <c r="AC113" s="2">
        <v>0.32</v>
      </c>
      <c r="AD113" s="772">
        <v>0.78000000000000025</v>
      </c>
      <c r="AE113" s="823">
        <v>0.46000000000000085</v>
      </c>
      <c r="AF113" s="823">
        <v>0.46000000000000085</v>
      </c>
      <c r="AG113" s="823">
        <v>0.46000000000000085</v>
      </c>
      <c r="AH113" s="823">
        <v>0.46000000000000085</v>
      </c>
      <c r="AI113" s="823">
        <v>0.46000000000000085</v>
      </c>
      <c r="AJ113" s="823">
        <v>0.46000000000000085</v>
      </c>
      <c r="AK113" s="823">
        <v>0.46000000000000085</v>
      </c>
      <c r="AL113" s="545">
        <v>108</v>
      </c>
      <c r="AM113" s="494">
        <f t="shared" si="98"/>
        <v>34.56</v>
      </c>
      <c r="AN113" s="568">
        <v>1116</v>
      </c>
      <c r="AO113" s="494">
        <f t="shared" si="99"/>
        <v>357.12</v>
      </c>
      <c r="AP113" s="648">
        <v>1884</v>
      </c>
      <c r="AQ113" s="620">
        <f t="shared" si="100"/>
        <v>602.88</v>
      </c>
      <c r="AR113" s="648">
        <v>0</v>
      </c>
      <c r="AS113" s="775">
        <f t="shared" si="101"/>
        <v>0</v>
      </c>
      <c r="AT113" s="901">
        <v>576</v>
      </c>
      <c r="AU113" s="494">
        <f t="shared" si="102"/>
        <v>449.28000000000014</v>
      </c>
      <c r="AV113" s="115">
        <v>120</v>
      </c>
      <c r="AW113" s="355">
        <f t="shared" si="103"/>
        <v>55.200000000000102</v>
      </c>
      <c r="AX113" s="114">
        <v>120</v>
      </c>
      <c r="AY113" s="127">
        <f t="shared" si="104"/>
        <v>55.200000000000102</v>
      </c>
      <c r="AZ113" s="115">
        <v>120</v>
      </c>
      <c r="BA113" s="127">
        <f t="shared" si="105"/>
        <v>55.200000000000102</v>
      </c>
      <c r="BB113" s="115">
        <v>120</v>
      </c>
      <c r="BC113" s="356">
        <f t="shared" si="106"/>
        <v>55.200000000000102</v>
      </c>
      <c r="BD113" s="114">
        <v>120</v>
      </c>
      <c r="BE113" s="127">
        <f t="shared" si="107"/>
        <v>55.200000000000102</v>
      </c>
      <c r="BF113" s="115">
        <v>120</v>
      </c>
      <c r="BG113" s="389">
        <f t="shared" si="108"/>
        <v>55.200000000000102</v>
      </c>
      <c r="BH113" s="115">
        <v>120</v>
      </c>
      <c r="BI113" s="392">
        <f t="shared" si="109"/>
        <v>55.200000000000102</v>
      </c>
      <c r="BJ113" s="177" t="s">
        <v>557</v>
      </c>
      <c r="BK113" s="78" t="s">
        <v>219</v>
      </c>
      <c r="BL113" s="78" t="s">
        <v>201</v>
      </c>
      <c r="BM113" s="9" t="s">
        <v>713</v>
      </c>
    </row>
    <row r="114" spans="1:65" ht="17" customHeight="1">
      <c r="A114" s="197" t="s">
        <v>383</v>
      </c>
      <c r="B114" s="9" t="s">
        <v>611</v>
      </c>
      <c r="C114" s="1" t="s">
        <v>30</v>
      </c>
      <c r="D114" s="1017"/>
      <c r="E114" s="1017"/>
      <c r="F114" s="1001"/>
      <c r="G114" s="542" t="s">
        <v>220</v>
      </c>
      <c r="H114" s="835" t="s">
        <v>221</v>
      </c>
      <c r="I114" s="276" t="s">
        <v>148</v>
      </c>
      <c r="J114" s="541" t="s">
        <v>198</v>
      </c>
      <c r="K114" s="1" t="s">
        <v>199</v>
      </c>
      <c r="L114" s="111" t="s">
        <v>150</v>
      </c>
      <c r="M114" s="824" t="s">
        <v>351</v>
      </c>
      <c r="N114" s="6">
        <v>4.75</v>
      </c>
      <c r="O114" s="6">
        <v>4.75</v>
      </c>
      <c r="P114" s="6">
        <v>4.75</v>
      </c>
      <c r="Q114" s="6">
        <v>4.75</v>
      </c>
      <c r="R114" s="813">
        <v>6.6</v>
      </c>
      <c r="S114" s="813">
        <v>6.6</v>
      </c>
      <c r="T114" s="813">
        <v>6.6</v>
      </c>
      <c r="U114" s="813">
        <v>6.6</v>
      </c>
      <c r="V114" s="813">
        <v>6.6</v>
      </c>
      <c r="W114" s="813">
        <v>6.6</v>
      </c>
      <c r="X114" s="813">
        <v>6.6</v>
      </c>
      <c r="Y114" s="813">
        <v>6.6</v>
      </c>
      <c r="Z114" s="195">
        <v>0.32</v>
      </c>
      <c r="AA114" s="2">
        <v>0.32</v>
      </c>
      <c r="AB114" s="2">
        <v>0.32</v>
      </c>
      <c r="AC114" s="2">
        <v>0.32</v>
      </c>
      <c r="AD114" s="772">
        <v>0.78000000000000025</v>
      </c>
      <c r="AE114" s="825">
        <v>0.35000000000000053</v>
      </c>
      <c r="AF114" s="825">
        <v>0.35000000000000053</v>
      </c>
      <c r="AG114" s="825">
        <v>0.35000000000000053</v>
      </c>
      <c r="AH114" s="825">
        <v>0.35000000000000053</v>
      </c>
      <c r="AI114" s="825">
        <v>0.35000000000000053</v>
      </c>
      <c r="AJ114" s="825">
        <v>0.35000000000000053</v>
      </c>
      <c r="AK114" s="825">
        <v>0.35000000000000053</v>
      </c>
      <c r="AL114" s="545">
        <v>6264</v>
      </c>
      <c r="AM114" s="496">
        <f t="shared" si="98"/>
        <v>2004.48</v>
      </c>
      <c r="AN114" s="568">
        <v>5136</v>
      </c>
      <c r="AO114" s="496">
        <f t="shared" si="99"/>
        <v>1643.52</v>
      </c>
      <c r="AP114" s="568">
        <v>8364</v>
      </c>
      <c r="AQ114" s="621">
        <f t="shared" si="100"/>
        <v>2676.48</v>
      </c>
      <c r="AR114" s="569">
        <v>6636</v>
      </c>
      <c r="AS114" s="777">
        <f t="shared" si="101"/>
        <v>2123.52</v>
      </c>
      <c r="AT114" s="571">
        <v>9864</v>
      </c>
      <c r="AU114" s="496">
        <f t="shared" si="102"/>
        <v>7693.9200000000028</v>
      </c>
      <c r="AV114" s="115">
        <v>1000</v>
      </c>
      <c r="AW114" s="390">
        <f t="shared" si="103"/>
        <v>350.00000000000051</v>
      </c>
      <c r="AX114" s="114">
        <v>1000</v>
      </c>
      <c r="AY114" s="389">
        <f t="shared" si="104"/>
        <v>350.00000000000051</v>
      </c>
      <c r="AZ114" s="115">
        <v>1000</v>
      </c>
      <c r="BA114" s="389">
        <f t="shared" si="105"/>
        <v>350.00000000000051</v>
      </c>
      <c r="BB114" s="115">
        <v>1000</v>
      </c>
      <c r="BC114" s="391">
        <f t="shared" si="106"/>
        <v>350.00000000000051</v>
      </c>
      <c r="BD114" s="114">
        <v>1000</v>
      </c>
      <c r="BE114" s="389">
        <f t="shared" si="107"/>
        <v>350.00000000000051</v>
      </c>
      <c r="BF114" s="115">
        <v>1000</v>
      </c>
      <c r="BG114" s="389">
        <f t="shared" si="108"/>
        <v>350.00000000000051</v>
      </c>
      <c r="BH114" s="115">
        <v>1000</v>
      </c>
      <c r="BI114" s="392">
        <f t="shared" si="109"/>
        <v>350.00000000000051</v>
      </c>
      <c r="BJ114" s="177" t="s">
        <v>557</v>
      </c>
      <c r="BK114" s="78" t="s">
        <v>219</v>
      </c>
      <c r="BL114" s="78" t="s">
        <v>201</v>
      </c>
      <c r="BM114" s="9" t="s">
        <v>346</v>
      </c>
    </row>
    <row r="115" spans="1:65" ht="17" customHeight="1">
      <c r="A115" s="197" t="s">
        <v>383</v>
      </c>
      <c r="B115" s="9" t="s">
        <v>611</v>
      </c>
      <c r="C115" s="1" t="s">
        <v>30</v>
      </c>
      <c r="D115" s="1017"/>
      <c r="E115" s="1017"/>
      <c r="F115" s="1001"/>
      <c r="G115" s="542" t="s">
        <v>220</v>
      </c>
      <c r="H115" s="835" t="s">
        <v>221</v>
      </c>
      <c r="I115" s="276" t="s">
        <v>148</v>
      </c>
      <c r="J115" s="541" t="s">
        <v>198</v>
      </c>
      <c r="K115" s="1" t="s">
        <v>199</v>
      </c>
      <c r="L115" s="111" t="s">
        <v>150</v>
      </c>
      <c r="M115" s="822" t="s">
        <v>352</v>
      </c>
      <c r="N115" s="6">
        <v>4.75</v>
      </c>
      <c r="O115" s="6">
        <v>4.75</v>
      </c>
      <c r="P115" s="6">
        <v>4.75</v>
      </c>
      <c r="Q115" s="6">
        <v>4.75</v>
      </c>
      <c r="R115" s="813">
        <v>5.55</v>
      </c>
      <c r="S115" s="813">
        <v>5.55</v>
      </c>
      <c r="T115" s="813">
        <v>5.55</v>
      </c>
      <c r="U115" s="813">
        <v>5.55</v>
      </c>
      <c r="V115" s="813">
        <v>5.55</v>
      </c>
      <c r="W115" s="813">
        <v>5.55</v>
      </c>
      <c r="X115" s="813">
        <v>5.55</v>
      </c>
      <c r="Y115" s="813">
        <v>5.55</v>
      </c>
      <c r="Z115" s="195">
        <v>0.32</v>
      </c>
      <c r="AA115" s="2">
        <v>0.32</v>
      </c>
      <c r="AB115" s="2">
        <v>0.32</v>
      </c>
      <c r="AC115" s="2">
        <v>0.32</v>
      </c>
      <c r="AD115" s="772">
        <v>0.78000000000000025</v>
      </c>
      <c r="AE115" s="823">
        <v>0.46000000000000085</v>
      </c>
      <c r="AF115" s="823">
        <v>0.46000000000000085</v>
      </c>
      <c r="AG115" s="823">
        <v>0.46000000000000085</v>
      </c>
      <c r="AH115" s="823">
        <v>0.46000000000000085</v>
      </c>
      <c r="AI115" s="823">
        <v>0.46000000000000085</v>
      </c>
      <c r="AJ115" s="823">
        <v>0.46000000000000085</v>
      </c>
      <c r="AK115" s="823">
        <v>0.46000000000000085</v>
      </c>
      <c r="AL115" s="545">
        <v>3612</v>
      </c>
      <c r="AM115" s="494">
        <f t="shared" si="98"/>
        <v>1155.8399999999999</v>
      </c>
      <c r="AN115" s="568">
        <v>63912</v>
      </c>
      <c r="AO115" s="494">
        <f t="shared" si="99"/>
        <v>20451.84</v>
      </c>
      <c r="AP115" s="568">
        <v>312</v>
      </c>
      <c r="AQ115" s="620">
        <f t="shared" si="100"/>
        <v>99.84</v>
      </c>
      <c r="AR115" s="569">
        <v>156</v>
      </c>
      <c r="AS115" s="775">
        <f t="shared" si="101"/>
        <v>49.92</v>
      </c>
      <c r="AT115" s="571">
        <v>37872</v>
      </c>
      <c r="AU115" s="494">
        <f t="shared" si="102"/>
        <v>29540.160000000011</v>
      </c>
      <c r="AV115" s="115">
        <v>10000</v>
      </c>
      <c r="AW115" s="355">
        <f t="shared" si="103"/>
        <v>4600.0000000000082</v>
      </c>
      <c r="AX115" s="114">
        <v>10000</v>
      </c>
      <c r="AY115" s="127">
        <f t="shared" si="104"/>
        <v>4600.0000000000082</v>
      </c>
      <c r="AZ115" s="115">
        <v>10000</v>
      </c>
      <c r="BA115" s="127">
        <f t="shared" si="105"/>
        <v>4600.0000000000082</v>
      </c>
      <c r="BB115" s="115">
        <v>10000</v>
      </c>
      <c r="BC115" s="356">
        <f t="shared" si="106"/>
        <v>4600.0000000000082</v>
      </c>
      <c r="BD115" s="114">
        <v>10000</v>
      </c>
      <c r="BE115" s="127">
        <f t="shared" si="107"/>
        <v>4600.0000000000082</v>
      </c>
      <c r="BF115" s="115">
        <v>10000</v>
      </c>
      <c r="BG115" s="127">
        <f t="shared" si="108"/>
        <v>4600.0000000000082</v>
      </c>
      <c r="BH115" s="115">
        <v>10000</v>
      </c>
      <c r="BI115" s="329">
        <f t="shared" si="109"/>
        <v>4600.0000000000082</v>
      </c>
      <c r="BJ115" s="177" t="s">
        <v>557</v>
      </c>
      <c r="BK115" s="78" t="s">
        <v>219</v>
      </c>
      <c r="BL115" s="78" t="s">
        <v>201</v>
      </c>
      <c r="BM115" s="9" t="s">
        <v>346</v>
      </c>
    </row>
    <row r="116" spans="1:65" ht="17" customHeight="1">
      <c r="A116" s="197" t="s">
        <v>383</v>
      </c>
      <c r="B116" s="9" t="s">
        <v>611</v>
      </c>
      <c r="C116" s="1" t="s">
        <v>30</v>
      </c>
      <c r="D116" s="1017"/>
      <c r="E116" s="1017"/>
      <c r="F116" s="1001"/>
      <c r="G116" s="542" t="s">
        <v>220</v>
      </c>
      <c r="H116" s="835" t="s">
        <v>221</v>
      </c>
      <c r="I116" s="276" t="s">
        <v>148</v>
      </c>
      <c r="J116" s="541" t="s">
        <v>198</v>
      </c>
      <c r="K116" s="1" t="s">
        <v>199</v>
      </c>
      <c r="L116" s="111" t="s">
        <v>150</v>
      </c>
      <c r="M116" s="824" t="s">
        <v>360</v>
      </c>
      <c r="N116" s="6">
        <v>4.75</v>
      </c>
      <c r="O116" s="6">
        <v>4.75</v>
      </c>
      <c r="P116" s="6">
        <v>4.75</v>
      </c>
      <c r="Q116" s="6">
        <v>4.75</v>
      </c>
      <c r="R116" s="813">
        <v>5.36</v>
      </c>
      <c r="S116" s="813">
        <v>5.36</v>
      </c>
      <c r="T116" s="813">
        <v>5.36</v>
      </c>
      <c r="U116" s="813">
        <v>5.36</v>
      </c>
      <c r="V116" s="813">
        <v>5.36</v>
      </c>
      <c r="W116" s="813">
        <v>5.36</v>
      </c>
      <c r="X116" s="813">
        <v>5.36</v>
      </c>
      <c r="Y116" s="813">
        <v>5.36</v>
      </c>
      <c r="Z116" s="195">
        <v>0.32</v>
      </c>
      <c r="AA116" s="2">
        <v>0.32</v>
      </c>
      <c r="AB116" s="2">
        <v>0.32</v>
      </c>
      <c r="AC116" s="2">
        <v>0.32</v>
      </c>
      <c r="AD116" s="772">
        <v>0.78000000000000025</v>
      </c>
      <c r="AE116" s="825">
        <v>0.35000000000000053</v>
      </c>
      <c r="AF116" s="825">
        <v>0.35000000000000053</v>
      </c>
      <c r="AG116" s="825">
        <v>0.35000000000000053</v>
      </c>
      <c r="AH116" s="825">
        <v>0.35000000000000053</v>
      </c>
      <c r="AI116" s="825">
        <v>0.35000000000000053</v>
      </c>
      <c r="AJ116" s="825">
        <v>0.35000000000000053</v>
      </c>
      <c r="AK116" s="825">
        <v>0.35000000000000053</v>
      </c>
      <c r="AL116" s="545">
        <v>7380</v>
      </c>
      <c r="AM116" s="496">
        <f t="shared" si="98"/>
        <v>2361.6</v>
      </c>
      <c r="AN116" s="568">
        <v>0</v>
      </c>
      <c r="AO116" s="496">
        <f t="shared" si="99"/>
        <v>0</v>
      </c>
      <c r="AP116" s="568">
        <v>30888</v>
      </c>
      <c r="AQ116" s="621">
        <f t="shared" si="100"/>
        <v>9884.16</v>
      </c>
      <c r="AR116" s="569">
        <v>16848</v>
      </c>
      <c r="AS116" s="777">
        <f t="shared" si="101"/>
        <v>5391.36</v>
      </c>
      <c r="AT116" s="571">
        <v>41508</v>
      </c>
      <c r="AU116" s="496">
        <f t="shared" si="102"/>
        <v>32376.240000000009</v>
      </c>
      <c r="AV116" s="115">
        <v>5760</v>
      </c>
      <c r="AW116" s="390">
        <f t="shared" si="103"/>
        <v>2016.0000000000032</v>
      </c>
      <c r="AX116" s="115">
        <v>10000</v>
      </c>
      <c r="AY116" s="389">
        <f t="shared" si="104"/>
        <v>3500.0000000000055</v>
      </c>
      <c r="AZ116" s="115">
        <v>10000</v>
      </c>
      <c r="BA116" s="389">
        <f t="shared" si="105"/>
        <v>3500.0000000000055</v>
      </c>
      <c r="BB116" s="115">
        <v>5760</v>
      </c>
      <c r="BC116" s="391">
        <f t="shared" si="106"/>
        <v>2016.0000000000032</v>
      </c>
      <c r="BD116" s="114">
        <v>10000</v>
      </c>
      <c r="BE116" s="389">
        <f t="shared" si="107"/>
        <v>3500.0000000000055</v>
      </c>
      <c r="BF116" s="115">
        <v>10000</v>
      </c>
      <c r="BG116" s="389">
        <f t="shared" si="108"/>
        <v>3500.0000000000055</v>
      </c>
      <c r="BH116" s="115">
        <v>10000</v>
      </c>
      <c r="BI116" s="392">
        <f t="shared" si="109"/>
        <v>3500.0000000000055</v>
      </c>
      <c r="BJ116" s="177" t="s">
        <v>557</v>
      </c>
      <c r="BK116" s="78" t="s">
        <v>219</v>
      </c>
      <c r="BL116" s="78" t="s">
        <v>201</v>
      </c>
      <c r="BM116" s="9" t="s">
        <v>346</v>
      </c>
    </row>
    <row r="117" spans="1:65" ht="17" customHeight="1">
      <c r="A117" s="197" t="s">
        <v>383</v>
      </c>
      <c r="B117" s="9" t="s">
        <v>611</v>
      </c>
      <c r="C117" s="1" t="s">
        <v>30</v>
      </c>
      <c r="D117" s="1017"/>
      <c r="E117" s="1017"/>
      <c r="F117" s="1001"/>
      <c r="G117" s="542" t="s">
        <v>220</v>
      </c>
      <c r="H117" s="835" t="s">
        <v>221</v>
      </c>
      <c r="I117" s="276" t="s">
        <v>148</v>
      </c>
      <c r="J117" s="541" t="s">
        <v>198</v>
      </c>
      <c r="K117" s="1" t="s">
        <v>199</v>
      </c>
      <c r="L117" s="111" t="s">
        <v>150</v>
      </c>
      <c r="M117" s="824" t="s">
        <v>359</v>
      </c>
      <c r="N117" s="6">
        <v>4.75</v>
      </c>
      <c r="O117" s="6">
        <v>4.75</v>
      </c>
      <c r="P117" s="6">
        <v>4.75</v>
      </c>
      <c r="Q117" s="6">
        <v>4.75</v>
      </c>
      <c r="R117" s="813">
        <v>5.21</v>
      </c>
      <c r="S117" s="813">
        <v>5.21</v>
      </c>
      <c r="T117" s="813">
        <v>5.21</v>
      </c>
      <c r="U117" s="813">
        <v>5.21</v>
      </c>
      <c r="V117" s="813">
        <v>5.21</v>
      </c>
      <c r="W117" s="813">
        <v>5.21</v>
      </c>
      <c r="X117" s="813">
        <v>5.21</v>
      </c>
      <c r="Y117" s="813">
        <v>5.21</v>
      </c>
      <c r="Z117" s="195">
        <v>0.32</v>
      </c>
      <c r="AA117" s="2">
        <v>0.32</v>
      </c>
      <c r="AB117" s="2">
        <v>0.32</v>
      </c>
      <c r="AC117" s="2">
        <v>0.32</v>
      </c>
      <c r="AD117" s="772">
        <v>0.78000000000000025</v>
      </c>
      <c r="AE117" s="825">
        <v>0.35000000000000053</v>
      </c>
      <c r="AF117" s="825">
        <v>0.35000000000000053</v>
      </c>
      <c r="AG117" s="825">
        <v>0.35000000000000053</v>
      </c>
      <c r="AH117" s="825">
        <v>0.35000000000000053</v>
      </c>
      <c r="AI117" s="825">
        <v>0.35000000000000053</v>
      </c>
      <c r="AJ117" s="825">
        <v>0.35000000000000053</v>
      </c>
      <c r="AK117" s="825">
        <v>0.35000000000000053</v>
      </c>
      <c r="AL117" s="545">
        <v>0</v>
      </c>
      <c r="AM117" s="494">
        <f t="shared" si="98"/>
        <v>0</v>
      </c>
      <c r="AN117" s="568">
        <v>0</v>
      </c>
      <c r="AO117" s="494">
        <f t="shared" si="99"/>
        <v>0</v>
      </c>
      <c r="AP117" s="568">
        <v>0</v>
      </c>
      <c r="AQ117" s="620">
        <f t="shared" si="100"/>
        <v>0</v>
      </c>
      <c r="AR117" s="569">
        <v>0</v>
      </c>
      <c r="AS117" s="775">
        <f t="shared" si="101"/>
        <v>0</v>
      </c>
      <c r="AT117" s="570">
        <v>960</v>
      </c>
      <c r="AU117" s="494">
        <f t="shared" si="102"/>
        <v>748.80000000000018</v>
      </c>
      <c r="AV117" s="262">
        <v>0</v>
      </c>
      <c r="AW117" s="355">
        <f t="shared" si="103"/>
        <v>0</v>
      </c>
      <c r="AX117" s="262">
        <v>0</v>
      </c>
      <c r="AY117" s="127">
        <f t="shared" si="104"/>
        <v>0</v>
      </c>
      <c r="AZ117" s="262">
        <v>0</v>
      </c>
      <c r="BA117" s="127">
        <f t="shared" si="105"/>
        <v>0</v>
      </c>
      <c r="BB117" s="262">
        <v>0</v>
      </c>
      <c r="BC117" s="356">
        <f t="shared" si="106"/>
        <v>0</v>
      </c>
      <c r="BD117" s="262">
        <v>0</v>
      </c>
      <c r="BE117" s="127">
        <f t="shared" si="107"/>
        <v>0</v>
      </c>
      <c r="BF117" s="262">
        <v>0</v>
      </c>
      <c r="BG117" s="127">
        <f t="shared" si="108"/>
        <v>0</v>
      </c>
      <c r="BH117" s="262">
        <v>0</v>
      </c>
      <c r="BI117" s="329">
        <f t="shared" si="109"/>
        <v>0</v>
      </c>
      <c r="BJ117" s="177" t="s">
        <v>557</v>
      </c>
      <c r="BK117" s="78" t="s">
        <v>219</v>
      </c>
      <c r="BL117" s="78" t="s">
        <v>201</v>
      </c>
      <c r="BM117" s="9" t="s">
        <v>346</v>
      </c>
    </row>
    <row r="118" spans="1:65" ht="17" customHeight="1">
      <c r="A118" s="197" t="s">
        <v>383</v>
      </c>
      <c r="B118" s="9" t="s">
        <v>611</v>
      </c>
      <c r="C118" s="1" t="s">
        <v>30</v>
      </c>
      <c r="D118" s="1017"/>
      <c r="E118" s="1017"/>
      <c r="F118" s="1001"/>
      <c r="G118" s="749" t="s">
        <v>220</v>
      </c>
      <c r="H118" s="859" t="s">
        <v>221</v>
      </c>
      <c r="I118" s="750" t="s">
        <v>148</v>
      </c>
      <c r="J118" s="746" t="s">
        <v>198</v>
      </c>
      <c r="K118" s="333" t="s">
        <v>199</v>
      </c>
      <c r="L118" s="751" t="s">
        <v>150</v>
      </c>
      <c r="M118" s="826" t="s">
        <v>675</v>
      </c>
      <c r="N118" s="709">
        <v>4.75</v>
      </c>
      <c r="O118" s="709">
        <v>4.75</v>
      </c>
      <c r="P118" s="709">
        <v>4.75</v>
      </c>
      <c r="Q118" s="709">
        <v>4.75</v>
      </c>
      <c r="R118" s="813">
        <v>5.21</v>
      </c>
      <c r="S118" s="813">
        <v>5.21</v>
      </c>
      <c r="T118" s="813">
        <v>5.21</v>
      </c>
      <c r="U118" s="813">
        <v>5.21</v>
      </c>
      <c r="V118" s="813">
        <v>5.21</v>
      </c>
      <c r="W118" s="813">
        <v>5.21</v>
      </c>
      <c r="X118" s="813">
        <v>5.21</v>
      </c>
      <c r="Y118" s="813">
        <v>5.21</v>
      </c>
      <c r="Z118" s="748">
        <v>0.32</v>
      </c>
      <c r="AA118" s="723">
        <v>0.32</v>
      </c>
      <c r="AB118" s="723">
        <v>0.32</v>
      </c>
      <c r="AC118" s="723">
        <v>0.32</v>
      </c>
      <c r="AD118" s="772">
        <v>0.78000000000000025</v>
      </c>
      <c r="AE118" s="825">
        <v>0.35000000000000053</v>
      </c>
      <c r="AF118" s="825">
        <v>0.35000000000000053</v>
      </c>
      <c r="AG118" s="825">
        <v>0.35000000000000053</v>
      </c>
      <c r="AH118" s="825">
        <v>0.35000000000000053</v>
      </c>
      <c r="AI118" s="825">
        <v>0.35000000000000053</v>
      </c>
      <c r="AJ118" s="825">
        <v>0.35000000000000053</v>
      </c>
      <c r="AK118" s="825">
        <v>0.35000000000000053</v>
      </c>
      <c r="AL118" s="545">
        <v>0</v>
      </c>
      <c r="AM118" s="496">
        <f t="shared" si="98"/>
        <v>0</v>
      </c>
      <c r="AN118" s="568">
        <v>0</v>
      </c>
      <c r="AO118" s="496">
        <f t="shared" si="99"/>
        <v>0</v>
      </c>
      <c r="AP118" s="568">
        <v>0</v>
      </c>
      <c r="AQ118" s="621">
        <f t="shared" si="100"/>
        <v>0</v>
      </c>
      <c r="AR118" s="569">
        <v>516</v>
      </c>
      <c r="AS118" s="775">
        <f t="shared" si="101"/>
        <v>165.12</v>
      </c>
      <c r="AT118" s="570">
        <v>0</v>
      </c>
      <c r="AU118" s="496">
        <f t="shared" si="102"/>
        <v>0</v>
      </c>
      <c r="AV118" s="262">
        <v>0</v>
      </c>
      <c r="AW118" s="390">
        <f t="shared" si="103"/>
        <v>0</v>
      </c>
      <c r="AX118" s="262">
        <v>0</v>
      </c>
      <c r="AY118" s="389">
        <f t="shared" si="104"/>
        <v>0</v>
      </c>
      <c r="AZ118" s="262">
        <v>0</v>
      </c>
      <c r="BA118" s="389">
        <f t="shared" si="105"/>
        <v>0</v>
      </c>
      <c r="BB118" s="262">
        <v>0</v>
      </c>
      <c r="BC118" s="391">
        <f t="shared" si="106"/>
        <v>0</v>
      </c>
      <c r="BD118" s="262">
        <v>0</v>
      </c>
      <c r="BE118" s="389">
        <f t="shared" si="107"/>
        <v>0</v>
      </c>
      <c r="BF118" s="262">
        <v>0</v>
      </c>
      <c r="BG118" s="389">
        <f t="shared" si="108"/>
        <v>0</v>
      </c>
      <c r="BH118" s="262">
        <v>0</v>
      </c>
      <c r="BI118" s="392">
        <f t="shared" si="109"/>
        <v>0</v>
      </c>
      <c r="BJ118" s="479" t="s">
        <v>557</v>
      </c>
      <c r="BK118" s="334" t="s">
        <v>219</v>
      </c>
      <c r="BL118" s="334" t="s">
        <v>201</v>
      </c>
      <c r="BM118" s="331" t="s">
        <v>346</v>
      </c>
    </row>
    <row r="119" spans="1:65" ht="17" customHeight="1">
      <c r="A119" s="197" t="s">
        <v>383</v>
      </c>
      <c r="B119" s="9" t="s">
        <v>611</v>
      </c>
      <c r="C119" s="1" t="s">
        <v>30</v>
      </c>
      <c r="D119" s="1017"/>
      <c r="E119" s="1017"/>
      <c r="F119" s="1001"/>
      <c r="G119" s="170" t="s">
        <v>222</v>
      </c>
      <c r="H119" s="835" t="s">
        <v>221</v>
      </c>
      <c r="I119" s="276" t="s">
        <v>148</v>
      </c>
      <c r="J119" s="541" t="s">
        <v>198</v>
      </c>
      <c r="K119" s="1" t="s">
        <v>199</v>
      </c>
      <c r="L119" s="111" t="s">
        <v>150</v>
      </c>
      <c r="M119" s="822" t="s">
        <v>348</v>
      </c>
      <c r="N119" s="6">
        <v>4.75</v>
      </c>
      <c r="O119" s="6">
        <v>4.75</v>
      </c>
      <c r="P119" s="6">
        <v>4.75</v>
      </c>
      <c r="Q119" s="6">
        <v>4.75</v>
      </c>
      <c r="R119" s="813">
        <v>5.59</v>
      </c>
      <c r="S119" s="813">
        <v>5.59</v>
      </c>
      <c r="T119" s="813">
        <v>5.59</v>
      </c>
      <c r="U119" s="813">
        <v>5.59</v>
      </c>
      <c r="V119" s="813">
        <v>5.59</v>
      </c>
      <c r="W119" s="813">
        <v>5.59</v>
      </c>
      <c r="X119" s="813">
        <v>5.59</v>
      </c>
      <c r="Y119" s="813">
        <v>5.59</v>
      </c>
      <c r="Z119" s="195">
        <v>0.32</v>
      </c>
      <c r="AA119" s="2">
        <v>0.32</v>
      </c>
      <c r="AB119" s="2">
        <v>0.32</v>
      </c>
      <c r="AC119" s="2">
        <v>0.32</v>
      </c>
      <c r="AD119" s="772">
        <v>0.78000000000000025</v>
      </c>
      <c r="AE119" s="823">
        <v>0.46000000000000085</v>
      </c>
      <c r="AF119" s="823">
        <v>0.46000000000000085</v>
      </c>
      <c r="AG119" s="823">
        <v>0.46000000000000085</v>
      </c>
      <c r="AH119" s="823">
        <v>0.46000000000000085</v>
      </c>
      <c r="AI119" s="823">
        <v>0.46000000000000085</v>
      </c>
      <c r="AJ119" s="823">
        <v>0.46000000000000085</v>
      </c>
      <c r="AK119" s="823">
        <v>0.46000000000000085</v>
      </c>
      <c r="AL119" s="545">
        <v>852</v>
      </c>
      <c r="AM119" s="496">
        <f t="shared" si="98"/>
        <v>272.64</v>
      </c>
      <c r="AN119" s="568">
        <v>3732</v>
      </c>
      <c r="AO119" s="496">
        <f t="shared" si="99"/>
        <v>1194.24</v>
      </c>
      <c r="AP119" s="568">
        <v>1800</v>
      </c>
      <c r="AQ119" s="621">
        <f t="shared" si="100"/>
        <v>576</v>
      </c>
      <c r="AR119" s="569">
        <v>2436</v>
      </c>
      <c r="AS119" s="777">
        <f t="shared" si="101"/>
        <v>779.52</v>
      </c>
      <c r="AT119" s="571">
        <v>2952</v>
      </c>
      <c r="AU119" s="496">
        <f t="shared" si="102"/>
        <v>2302.5600000000009</v>
      </c>
      <c r="AV119" s="115">
        <v>3000</v>
      </c>
      <c r="AW119" s="390">
        <f t="shared" si="103"/>
        <v>1380.0000000000025</v>
      </c>
      <c r="AX119" s="115">
        <v>3000</v>
      </c>
      <c r="AY119" s="389">
        <f t="shared" si="104"/>
        <v>1380.0000000000025</v>
      </c>
      <c r="AZ119" s="115">
        <v>3000</v>
      </c>
      <c r="BA119" s="389">
        <f t="shared" si="105"/>
        <v>1380.0000000000025</v>
      </c>
      <c r="BB119" s="115">
        <v>3000</v>
      </c>
      <c r="BC119" s="391">
        <f t="shared" si="106"/>
        <v>1380.0000000000025</v>
      </c>
      <c r="BD119" s="114">
        <v>3000</v>
      </c>
      <c r="BE119" s="389">
        <f t="shared" si="107"/>
        <v>1380.0000000000025</v>
      </c>
      <c r="BF119" s="115">
        <v>3000</v>
      </c>
      <c r="BG119" s="389">
        <f t="shared" si="108"/>
        <v>1380.0000000000025</v>
      </c>
      <c r="BH119" s="115">
        <v>3000</v>
      </c>
      <c r="BI119" s="392">
        <f t="shared" si="109"/>
        <v>1380.0000000000025</v>
      </c>
      <c r="BJ119" s="177" t="s">
        <v>557</v>
      </c>
      <c r="BK119" s="78" t="s">
        <v>219</v>
      </c>
      <c r="BL119" s="78" t="s">
        <v>202</v>
      </c>
      <c r="BM119" s="9" t="s">
        <v>346</v>
      </c>
    </row>
    <row r="120" spans="1:65" ht="17" customHeight="1">
      <c r="A120" s="197" t="s">
        <v>383</v>
      </c>
      <c r="B120" s="9" t="s">
        <v>611</v>
      </c>
      <c r="C120" s="1" t="s">
        <v>30</v>
      </c>
      <c r="D120" s="1017"/>
      <c r="E120" s="1017"/>
      <c r="F120" s="1001"/>
      <c r="G120" s="170" t="s">
        <v>222</v>
      </c>
      <c r="H120" s="835" t="s">
        <v>221</v>
      </c>
      <c r="I120" s="276" t="s">
        <v>148</v>
      </c>
      <c r="J120" s="541" t="s">
        <v>198</v>
      </c>
      <c r="K120" s="1" t="s">
        <v>199</v>
      </c>
      <c r="L120" s="111" t="s">
        <v>150</v>
      </c>
      <c r="M120" s="822" t="s">
        <v>349</v>
      </c>
      <c r="N120" s="6">
        <v>4.75</v>
      </c>
      <c r="O120" s="6">
        <v>4.75</v>
      </c>
      <c r="P120" s="6">
        <v>4.75</v>
      </c>
      <c r="Q120" s="6">
        <v>4.75</v>
      </c>
      <c r="R120" s="813">
        <v>5.51</v>
      </c>
      <c r="S120" s="813">
        <v>5.51</v>
      </c>
      <c r="T120" s="813">
        <v>5.51</v>
      </c>
      <c r="U120" s="813">
        <v>5.51</v>
      </c>
      <c r="V120" s="813">
        <v>5.51</v>
      </c>
      <c r="W120" s="813">
        <v>5.51</v>
      </c>
      <c r="X120" s="813">
        <v>5.51</v>
      </c>
      <c r="Y120" s="813">
        <v>5.51</v>
      </c>
      <c r="Z120" s="195">
        <v>0.32</v>
      </c>
      <c r="AA120" s="2">
        <v>0.32</v>
      </c>
      <c r="AB120" s="2">
        <v>0.32</v>
      </c>
      <c r="AC120" s="2">
        <v>0.32</v>
      </c>
      <c r="AD120" s="772">
        <v>0.78000000000000025</v>
      </c>
      <c r="AE120" s="823">
        <v>0.46000000000000085</v>
      </c>
      <c r="AF120" s="823">
        <v>0.46000000000000085</v>
      </c>
      <c r="AG120" s="823">
        <v>0.46000000000000085</v>
      </c>
      <c r="AH120" s="823">
        <v>0.46000000000000085</v>
      </c>
      <c r="AI120" s="823">
        <v>0.46000000000000085</v>
      </c>
      <c r="AJ120" s="823">
        <v>0.46000000000000085</v>
      </c>
      <c r="AK120" s="823">
        <v>0.46000000000000085</v>
      </c>
      <c r="AL120" s="545">
        <v>2964</v>
      </c>
      <c r="AM120" s="494">
        <f t="shared" si="98"/>
        <v>948.48</v>
      </c>
      <c r="AN120" s="568">
        <v>2304</v>
      </c>
      <c r="AO120" s="494">
        <f t="shared" si="99"/>
        <v>737.28</v>
      </c>
      <c r="AP120" s="568">
        <v>1308</v>
      </c>
      <c r="AQ120" s="620">
        <f t="shared" si="100"/>
        <v>418.56</v>
      </c>
      <c r="AR120" s="569">
        <v>2448</v>
      </c>
      <c r="AS120" s="775">
        <f t="shared" si="101"/>
        <v>783.36</v>
      </c>
      <c r="AT120" s="571">
        <v>1992</v>
      </c>
      <c r="AU120" s="494">
        <f t="shared" si="102"/>
        <v>1553.7600000000004</v>
      </c>
      <c r="AV120" s="115">
        <v>2000</v>
      </c>
      <c r="AW120" s="355">
        <f t="shared" si="103"/>
        <v>920.00000000000171</v>
      </c>
      <c r="AX120" s="114">
        <v>2000</v>
      </c>
      <c r="AY120" s="996">
        <f t="shared" si="104"/>
        <v>920.00000000000171</v>
      </c>
      <c r="AZ120" s="115">
        <v>2000</v>
      </c>
      <c r="BA120" s="127">
        <f t="shared" si="105"/>
        <v>920.00000000000171</v>
      </c>
      <c r="BB120" s="115">
        <v>2000</v>
      </c>
      <c r="BC120" s="356">
        <f t="shared" si="106"/>
        <v>920.00000000000171</v>
      </c>
      <c r="BD120" s="114">
        <v>2000</v>
      </c>
      <c r="BE120" s="127">
        <f t="shared" si="107"/>
        <v>920.00000000000171</v>
      </c>
      <c r="BF120" s="115">
        <v>2000</v>
      </c>
      <c r="BG120" s="127">
        <f t="shared" si="108"/>
        <v>920.00000000000171</v>
      </c>
      <c r="BH120" s="115">
        <v>2000</v>
      </c>
      <c r="BI120" s="329">
        <f t="shared" si="109"/>
        <v>920.00000000000171</v>
      </c>
      <c r="BJ120" s="177" t="s">
        <v>557</v>
      </c>
      <c r="BK120" s="78" t="s">
        <v>219</v>
      </c>
      <c r="BL120" s="78" t="s">
        <v>202</v>
      </c>
      <c r="BM120" s="9" t="s">
        <v>346</v>
      </c>
    </row>
    <row r="121" spans="1:65" ht="17" customHeight="1">
      <c r="A121" s="197" t="s">
        <v>383</v>
      </c>
      <c r="B121" s="9" t="s">
        <v>611</v>
      </c>
      <c r="C121" s="1" t="s">
        <v>30</v>
      </c>
      <c r="D121" s="1017"/>
      <c r="E121" s="1017"/>
      <c r="F121" s="1001"/>
      <c r="G121" s="170" t="s">
        <v>222</v>
      </c>
      <c r="H121" s="835" t="s">
        <v>221</v>
      </c>
      <c r="I121" s="276" t="s">
        <v>148</v>
      </c>
      <c r="J121" s="541" t="s">
        <v>198</v>
      </c>
      <c r="K121" s="1" t="s">
        <v>199</v>
      </c>
      <c r="L121" s="111" t="s">
        <v>150</v>
      </c>
      <c r="M121" s="822" t="s">
        <v>350</v>
      </c>
      <c r="N121" s="6">
        <v>4.75</v>
      </c>
      <c r="O121" s="6">
        <v>4.75</v>
      </c>
      <c r="P121" s="6">
        <v>4.75</v>
      </c>
      <c r="Q121" s="6">
        <v>4.75</v>
      </c>
      <c r="R121" s="813">
        <v>5.51</v>
      </c>
      <c r="S121" s="813">
        <v>5.51</v>
      </c>
      <c r="T121" s="813">
        <v>5.51</v>
      </c>
      <c r="U121" s="813">
        <v>5.51</v>
      </c>
      <c r="V121" s="813">
        <v>5.51</v>
      </c>
      <c r="W121" s="813">
        <v>5.51</v>
      </c>
      <c r="X121" s="813">
        <v>5.51</v>
      </c>
      <c r="Y121" s="813">
        <v>5.51</v>
      </c>
      <c r="Z121" s="195">
        <v>0.32</v>
      </c>
      <c r="AA121" s="2">
        <v>0.32</v>
      </c>
      <c r="AB121" s="2">
        <v>0.32</v>
      </c>
      <c r="AC121" s="2">
        <v>0.32</v>
      </c>
      <c r="AD121" s="772">
        <v>0.78000000000000025</v>
      </c>
      <c r="AE121" s="823">
        <v>0.46000000000000085</v>
      </c>
      <c r="AF121" s="823">
        <v>0.46000000000000085</v>
      </c>
      <c r="AG121" s="823">
        <v>0.46000000000000085</v>
      </c>
      <c r="AH121" s="823">
        <v>0.46000000000000085</v>
      </c>
      <c r="AI121" s="823">
        <v>0.46000000000000085</v>
      </c>
      <c r="AJ121" s="823">
        <v>0.46000000000000085</v>
      </c>
      <c r="AK121" s="823">
        <v>0.46000000000000085</v>
      </c>
      <c r="AL121" s="545">
        <v>2028</v>
      </c>
      <c r="AM121" s="496">
        <f t="shared" si="98"/>
        <v>648.96</v>
      </c>
      <c r="AN121" s="568">
        <v>2304</v>
      </c>
      <c r="AO121" s="496">
        <f t="shared" si="99"/>
        <v>737.28</v>
      </c>
      <c r="AP121" s="568">
        <v>4068</v>
      </c>
      <c r="AQ121" s="621">
        <f t="shared" si="100"/>
        <v>1301.76</v>
      </c>
      <c r="AR121" s="569">
        <v>588</v>
      </c>
      <c r="AS121" s="777">
        <f t="shared" si="101"/>
        <v>188.16</v>
      </c>
      <c r="AT121" s="571">
        <v>3888</v>
      </c>
      <c r="AU121" s="496">
        <f t="shared" si="102"/>
        <v>3032.6400000000008</v>
      </c>
      <c r="AV121" s="115">
        <v>1000</v>
      </c>
      <c r="AW121" s="390">
        <f t="shared" si="103"/>
        <v>460.00000000000085</v>
      </c>
      <c r="AX121" s="114">
        <v>1000</v>
      </c>
      <c r="AY121" s="389">
        <f t="shared" si="104"/>
        <v>460.00000000000085</v>
      </c>
      <c r="AZ121" s="115">
        <v>1000</v>
      </c>
      <c r="BA121" s="389">
        <f t="shared" si="105"/>
        <v>460.00000000000085</v>
      </c>
      <c r="BB121" s="115">
        <v>1000</v>
      </c>
      <c r="BC121" s="391">
        <f t="shared" si="106"/>
        <v>460.00000000000085</v>
      </c>
      <c r="BD121" s="114">
        <v>1000</v>
      </c>
      <c r="BE121" s="389">
        <f t="shared" si="107"/>
        <v>460.00000000000085</v>
      </c>
      <c r="BF121" s="115">
        <v>1000</v>
      </c>
      <c r="BG121" s="389">
        <f t="shared" si="108"/>
        <v>460.00000000000085</v>
      </c>
      <c r="BH121" s="115">
        <v>1000</v>
      </c>
      <c r="BI121" s="392">
        <f t="shared" si="109"/>
        <v>460.00000000000085</v>
      </c>
      <c r="BJ121" s="177" t="s">
        <v>557</v>
      </c>
      <c r="BK121" s="78" t="s">
        <v>219</v>
      </c>
      <c r="BL121" s="78" t="s">
        <v>202</v>
      </c>
      <c r="BM121" s="9" t="s">
        <v>346</v>
      </c>
    </row>
    <row r="122" spans="1:65" ht="14.5" customHeight="1">
      <c r="A122" s="197" t="s">
        <v>383</v>
      </c>
      <c r="B122" s="9" t="s">
        <v>611</v>
      </c>
      <c r="C122" s="1" t="s">
        <v>30</v>
      </c>
      <c r="D122" s="1017"/>
      <c r="E122" s="1017"/>
      <c r="F122" s="1001"/>
      <c r="G122" s="170" t="s">
        <v>222</v>
      </c>
      <c r="H122" s="835" t="s">
        <v>221</v>
      </c>
      <c r="I122" s="276" t="s">
        <v>148</v>
      </c>
      <c r="J122" s="541" t="s">
        <v>198</v>
      </c>
      <c r="K122" s="1" t="s">
        <v>199</v>
      </c>
      <c r="L122" s="111" t="s">
        <v>150</v>
      </c>
      <c r="M122" s="822" t="s">
        <v>353</v>
      </c>
      <c r="N122" s="6">
        <v>4.75</v>
      </c>
      <c r="O122" s="6">
        <v>4.75</v>
      </c>
      <c r="P122" s="6">
        <v>4.75</v>
      </c>
      <c r="Q122" s="6">
        <v>4.75</v>
      </c>
      <c r="R122" s="813">
        <v>5.51</v>
      </c>
      <c r="S122" s="813">
        <v>5.51</v>
      </c>
      <c r="T122" s="813">
        <v>5.51</v>
      </c>
      <c r="U122" s="813">
        <v>5.51</v>
      </c>
      <c r="V122" s="813">
        <v>5.51</v>
      </c>
      <c r="W122" s="813">
        <v>5.51</v>
      </c>
      <c r="X122" s="813">
        <v>5.51</v>
      </c>
      <c r="Y122" s="813">
        <v>5.51</v>
      </c>
      <c r="Z122" s="195">
        <v>0.32</v>
      </c>
      <c r="AA122" s="2">
        <v>0.32</v>
      </c>
      <c r="AB122" s="2">
        <v>0.32</v>
      </c>
      <c r="AC122" s="2">
        <v>0.32</v>
      </c>
      <c r="AD122" s="772">
        <v>0.78000000000000025</v>
      </c>
      <c r="AE122" s="823">
        <v>0.46000000000000085</v>
      </c>
      <c r="AF122" s="823">
        <v>0.46000000000000085</v>
      </c>
      <c r="AG122" s="823">
        <v>0.46000000000000085</v>
      </c>
      <c r="AH122" s="823">
        <v>0.46000000000000085</v>
      </c>
      <c r="AI122" s="823">
        <v>0.46000000000000085</v>
      </c>
      <c r="AJ122" s="823">
        <v>0.46000000000000085</v>
      </c>
      <c r="AK122" s="823">
        <v>0.46000000000000085</v>
      </c>
      <c r="AL122" s="545">
        <v>480</v>
      </c>
      <c r="AM122" s="494">
        <f t="shared" si="98"/>
        <v>153.6</v>
      </c>
      <c r="AN122" s="568">
        <v>480</v>
      </c>
      <c r="AO122" s="494">
        <f t="shared" si="99"/>
        <v>153.6</v>
      </c>
      <c r="AP122" s="568">
        <v>756</v>
      </c>
      <c r="AQ122" s="620">
        <f t="shared" si="100"/>
        <v>241.92000000000002</v>
      </c>
      <c r="AR122" s="569">
        <v>360</v>
      </c>
      <c r="AS122" s="775">
        <f t="shared" si="101"/>
        <v>115.2</v>
      </c>
      <c r="AT122" s="648">
        <v>120</v>
      </c>
      <c r="AU122" s="494">
        <f t="shared" si="102"/>
        <v>93.600000000000023</v>
      </c>
      <c r="AV122" s="115">
        <v>612</v>
      </c>
      <c r="AW122" s="355">
        <f t="shared" si="103"/>
        <v>281.52000000000055</v>
      </c>
      <c r="AX122" s="114">
        <v>612</v>
      </c>
      <c r="AY122" s="127">
        <f t="shared" si="104"/>
        <v>281.52000000000055</v>
      </c>
      <c r="AZ122" s="115">
        <v>612</v>
      </c>
      <c r="BA122" s="127">
        <f t="shared" si="105"/>
        <v>281.52000000000055</v>
      </c>
      <c r="BB122" s="115">
        <v>612</v>
      </c>
      <c r="BC122" s="356">
        <f t="shared" si="106"/>
        <v>281.52000000000055</v>
      </c>
      <c r="BD122" s="114">
        <v>612</v>
      </c>
      <c r="BE122" s="127">
        <f t="shared" si="107"/>
        <v>281.52000000000055</v>
      </c>
      <c r="BF122" s="115">
        <v>612</v>
      </c>
      <c r="BG122" s="127">
        <f t="shared" si="108"/>
        <v>281.52000000000055</v>
      </c>
      <c r="BH122" s="115">
        <v>612</v>
      </c>
      <c r="BI122" s="329">
        <f t="shared" si="109"/>
        <v>281.52000000000055</v>
      </c>
      <c r="BJ122" s="177" t="s">
        <v>557</v>
      </c>
      <c r="BK122" s="78" t="s">
        <v>219</v>
      </c>
      <c r="BL122" s="78" t="s">
        <v>202</v>
      </c>
      <c r="BM122" s="9" t="s">
        <v>346</v>
      </c>
    </row>
    <row r="123" spans="1:65" ht="14.5" customHeight="1">
      <c r="A123" s="197" t="s">
        <v>383</v>
      </c>
      <c r="B123" s="9" t="s">
        <v>611</v>
      </c>
      <c r="C123" s="1" t="s">
        <v>30</v>
      </c>
      <c r="D123" s="1017"/>
      <c r="E123" s="1017"/>
      <c r="F123" s="1001"/>
      <c r="G123" s="170" t="s">
        <v>222</v>
      </c>
      <c r="H123" s="835" t="s">
        <v>221</v>
      </c>
      <c r="I123" s="276" t="s">
        <v>148</v>
      </c>
      <c r="J123" s="541" t="s">
        <v>198</v>
      </c>
      <c r="K123" s="1" t="s">
        <v>199</v>
      </c>
      <c r="L123" s="111" t="s">
        <v>154</v>
      </c>
      <c r="M123" s="822" t="s">
        <v>358</v>
      </c>
      <c r="N123" s="6">
        <v>4.75</v>
      </c>
      <c r="O123" s="6">
        <v>4.75</v>
      </c>
      <c r="P123" s="6">
        <v>4.75</v>
      </c>
      <c r="Q123" s="6">
        <v>4.75</v>
      </c>
      <c r="R123" s="813">
        <v>5.51</v>
      </c>
      <c r="S123" s="813">
        <v>5.51</v>
      </c>
      <c r="T123" s="813">
        <v>5.51</v>
      </c>
      <c r="U123" s="813">
        <v>5.51</v>
      </c>
      <c r="V123" s="813">
        <v>5.51</v>
      </c>
      <c r="W123" s="813">
        <v>5.51</v>
      </c>
      <c r="X123" s="813">
        <v>5.51</v>
      </c>
      <c r="Y123" s="813">
        <v>5.51</v>
      </c>
      <c r="Z123" s="195">
        <v>0.32</v>
      </c>
      <c r="AA123" s="2">
        <v>0.32</v>
      </c>
      <c r="AB123" s="2">
        <v>0.32</v>
      </c>
      <c r="AC123" s="2">
        <v>0.32</v>
      </c>
      <c r="AD123" s="772">
        <v>0.78000000000000025</v>
      </c>
      <c r="AE123" s="823">
        <v>0.46000000000000085</v>
      </c>
      <c r="AF123" s="823">
        <v>0.46000000000000085</v>
      </c>
      <c r="AG123" s="823">
        <v>0.46000000000000085</v>
      </c>
      <c r="AH123" s="823">
        <v>0.46000000000000085</v>
      </c>
      <c r="AI123" s="823">
        <v>0.46000000000000085</v>
      </c>
      <c r="AJ123" s="823">
        <v>0.46000000000000085</v>
      </c>
      <c r="AK123" s="823">
        <v>0.46000000000000085</v>
      </c>
      <c r="AL123" s="545">
        <v>1860</v>
      </c>
      <c r="AM123" s="496">
        <f t="shared" si="98"/>
        <v>595.20000000000005</v>
      </c>
      <c r="AN123" s="568">
        <v>1716</v>
      </c>
      <c r="AO123" s="496">
        <f t="shared" si="99"/>
        <v>549.12</v>
      </c>
      <c r="AP123" s="568">
        <v>3360</v>
      </c>
      <c r="AQ123" s="621">
        <f t="shared" si="100"/>
        <v>1075.2</v>
      </c>
      <c r="AR123" s="569">
        <v>900</v>
      </c>
      <c r="AS123" s="777">
        <f t="shared" si="101"/>
        <v>288</v>
      </c>
      <c r="AT123" s="571">
        <v>3840</v>
      </c>
      <c r="AU123" s="496">
        <f t="shared" si="102"/>
        <v>2995.2000000000007</v>
      </c>
      <c r="AV123" s="115">
        <v>2000</v>
      </c>
      <c r="AW123" s="390">
        <f t="shared" si="103"/>
        <v>920.00000000000171</v>
      </c>
      <c r="AX123" s="115">
        <v>2000</v>
      </c>
      <c r="AY123" s="389">
        <f t="shared" si="104"/>
        <v>920.00000000000171</v>
      </c>
      <c r="AZ123" s="115">
        <v>2000</v>
      </c>
      <c r="BA123" s="389">
        <f t="shared" si="105"/>
        <v>920.00000000000171</v>
      </c>
      <c r="BB123" s="115">
        <v>2000</v>
      </c>
      <c r="BC123" s="391">
        <f t="shared" si="106"/>
        <v>920.00000000000171</v>
      </c>
      <c r="BD123" s="114">
        <v>2000</v>
      </c>
      <c r="BE123" s="389">
        <f t="shared" si="107"/>
        <v>920.00000000000171</v>
      </c>
      <c r="BF123" s="115">
        <v>2000</v>
      </c>
      <c r="BG123" s="389">
        <f t="shared" si="108"/>
        <v>920.00000000000171</v>
      </c>
      <c r="BH123" s="115">
        <v>2000</v>
      </c>
      <c r="BI123" s="392">
        <f t="shared" si="109"/>
        <v>920.00000000000171</v>
      </c>
      <c r="BJ123" s="177" t="s">
        <v>557</v>
      </c>
      <c r="BK123" s="78" t="s">
        <v>219</v>
      </c>
      <c r="BL123" s="78" t="s">
        <v>202</v>
      </c>
      <c r="BM123" s="9" t="s">
        <v>346</v>
      </c>
    </row>
    <row r="124" spans="1:65" ht="14.5" customHeight="1">
      <c r="A124" s="197" t="s">
        <v>383</v>
      </c>
      <c r="B124" s="9" t="s">
        <v>611</v>
      </c>
      <c r="C124" s="1" t="s">
        <v>30</v>
      </c>
      <c r="D124" s="1017"/>
      <c r="E124" s="1017"/>
      <c r="F124" s="1001"/>
      <c r="G124" s="170" t="s">
        <v>222</v>
      </c>
      <c r="H124" s="835" t="s">
        <v>223</v>
      </c>
      <c r="I124" s="276" t="s">
        <v>204</v>
      </c>
      <c r="J124" s="541" t="s">
        <v>198</v>
      </c>
      <c r="K124" s="1" t="s">
        <v>199</v>
      </c>
      <c r="L124" s="111" t="s">
        <v>150</v>
      </c>
      <c r="M124" s="348" t="s">
        <v>361</v>
      </c>
      <c r="N124" s="6">
        <v>2.0499999999999998</v>
      </c>
      <c r="O124" s="6">
        <v>2.0499999999999998</v>
      </c>
      <c r="P124" s="6">
        <v>2.0499999999999998</v>
      </c>
      <c r="Q124" s="6">
        <v>2.0499999999999998</v>
      </c>
      <c r="R124" s="813">
        <v>2.13</v>
      </c>
      <c r="S124" s="813">
        <v>2.13</v>
      </c>
      <c r="T124" s="813">
        <v>2.13</v>
      </c>
      <c r="U124" s="813">
        <v>2.13</v>
      </c>
      <c r="V124" s="813">
        <v>2.13</v>
      </c>
      <c r="W124" s="813">
        <v>2.13</v>
      </c>
      <c r="X124" s="813">
        <v>2.13</v>
      </c>
      <c r="Y124" s="813">
        <v>2.13</v>
      </c>
      <c r="Z124" s="195">
        <v>2.9999999999999805E-2</v>
      </c>
      <c r="AA124" s="2">
        <v>2.9999999999999805E-2</v>
      </c>
      <c r="AB124" s="2">
        <v>2.9999999999999805E-2</v>
      </c>
      <c r="AC124" s="2">
        <v>2.9999999999999805E-2</v>
      </c>
      <c r="AD124" s="2">
        <v>2.9999999999999805E-2</v>
      </c>
      <c r="AE124" s="2">
        <v>2.9999999999999805E-2</v>
      </c>
      <c r="AF124" s="2">
        <v>2.9999999999999805E-2</v>
      </c>
      <c r="AG124" s="2">
        <v>2.9999999999999805E-2</v>
      </c>
      <c r="AH124" s="2">
        <v>2.9999999999999805E-2</v>
      </c>
      <c r="AI124" s="2">
        <v>2.9999999999999805E-2</v>
      </c>
      <c r="AJ124" s="2">
        <v>2.9999999999999805E-2</v>
      </c>
      <c r="AK124" s="480">
        <v>2.9999999999999805E-2</v>
      </c>
      <c r="AL124" s="545">
        <v>120</v>
      </c>
      <c r="AM124" s="494">
        <f t="shared" si="98"/>
        <v>3.5999999999999766</v>
      </c>
      <c r="AN124" s="568">
        <v>360</v>
      </c>
      <c r="AO124" s="494">
        <f t="shared" si="99"/>
        <v>10.79999999999993</v>
      </c>
      <c r="AP124" s="568">
        <v>1080</v>
      </c>
      <c r="AQ124" s="620">
        <f t="shared" si="100"/>
        <v>32.399999999999793</v>
      </c>
      <c r="AR124" s="569">
        <v>600</v>
      </c>
      <c r="AS124" s="775">
        <f t="shared" si="101"/>
        <v>17.999999999999883</v>
      </c>
      <c r="AT124" s="571">
        <v>0</v>
      </c>
      <c r="AU124" s="494">
        <f t="shared" si="102"/>
        <v>0</v>
      </c>
      <c r="AV124" s="115">
        <v>800</v>
      </c>
      <c r="AW124" s="355">
        <f t="shared" si="103"/>
        <v>23.999999999999844</v>
      </c>
      <c r="AX124" s="114">
        <v>800</v>
      </c>
      <c r="AY124" s="127">
        <f t="shared" si="104"/>
        <v>23.999999999999844</v>
      </c>
      <c r="AZ124" s="115">
        <v>800</v>
      </c>
      <c r="BA124" s="127">
        <f t="shared" si="105"/>
        <v>23.999999999999844</v>
      </c>
      <c r="BB124" s="115">
        <v>800</v>
      </c>
      <c r="BC124" s="356">
        <f t="shared" si="106"/>
        <v>23.999999999999844</v>
      </c>
      <c r="BD124" s="114">
        <v>800</v>
      </c>
      <c r="BE124" s="127">
        <f t="shared" si="107"/>
        <v>23.999999999999844</v>
      </c>
      <c r="BF124" s="115">
        <v>800</v>
      </c>
      <c r="BG124" s="127">
        <f t="shared" si="108"/>
        <v>23.999999999999844</v>
      </c>
      <c r="BH124" s="115">
        <v>800</v>
      </c>
      <c r="BI124" s="329">
        <f t="shared" si="109"/>
        <v>23.999999999999844</v>
      </c>
      <c r="BJ124" s="177" t="s">
        <v>224</v>
      </c>
      <c r="BK124" s="78" t="s">
        <v>225</v>
      </c>
      <c r="BL124" s="78" t="s">
        <v>201</v>
      </c>
      <c r="BM124" s="9" t="s">
        <v>418</v>
      </c>
    </row>
    <row r="125" spans="1:65" ht="14.5" customHeight="1">
      <c r="A125" s="197" t="s">
        <v>383</v>
      </c>
      <c r="B125" s="9" t="s">
        <v>611</v>
      </c>
      <c r="C125" s="1" t="s">
        <v>30</v>
      </c>
      <c r="D125" s="1017"/>
      <c r="E125" s="1017"/>
      <c r="F125" s="1001"/>
      <c r="G125" s="170" t="s">
        <v>222</v>
      </c>
      <c r="H125" s="857" t="s">
        <v>223</v>
      </c>
      <c r="I125" s="275" t="s">
        <v>204</v>
      </c>
      <c r="J125" s="541" t="s">
        <v>198</v>
      </c>
      <c r="K125" s="1" t="s">
        <v>199</v>
      </c>
      <c r="L125" s="111" t="s">
        <v>150</v>
      </c>
      <c r="M125" s="348" t="s">
        <v>351</v>
      </c>
      <c r="N125" s="6">
        <v>2.0499999999999998</v>
      </c>
      <c r="O125" s="6">
        <v>2.0499999999999998</v>
      </c>
      <c r="P125" s="6">
        <v>2.0499999999999998</v>
      </c>
      <c r="Q125" s="6">
        <v>2.0499999999999998</v>
      </c>
      <c r="R125" s="813">
        <v>2.23</v>
      </c>
      <c r="S125" s="813">
        <v>2.23</v>
      </c>
      <c r="T125" s="813">
        <v>2.23</v>
      </c>
      <c r="U125" s="813">
        <v>2.23</v>
      </c>
      <c r="V125" s="813">
        <v>2.23</v>
      </c>
      <c r="W125" s="813">
        <v>2.23</v>
      </c>
      <c r="X125" s="813">
        <v>2.23</v>
      </c>
      <c r="Y125" s="813">
        <v>2.23</v>
      </c>
      <c r="Z125" s="195">
        <v>2.9999999999999805E-2</v>
      </c>
      <c r="AA125" s="2">
        <v>2.9999999999999805E-2</v>
      </c>
      <c r="AB125" s="2">
        <v>2.9999999999999805E-2</v>
      </c>
      <c r="AC125" s="2">
        <v>2.9999999999999805E-2</v>
      </c>
      <c r="AD125" s="2">
        <v>2.9999999999999805E-2</v>
      </c>
      <c r="AE125" s="2">
        <v>2.9999999999999805E-2</v>
      </c>
      <c r="AF125" s="2">
        <v>2.9999999999999805E-2</v>
      </c>
      <c r="AG125" s="2">
        <v>2.9999999999999805E-2</v>
      </c>
      <c r="AH125" s="2">
        <v>2.9999999999999805E-2</v>
      </c>
      <c r="AI125" s="2">
        <v>2.9999999999999805E-2</v>
      </c>
      <c r="AJ125" s="2">
        <v>2.9999999999999805E-2</v>
      </c>
      <c r="AK125" s="480">
        <v>2.9999999999999805E-2</v>
      </c>
      <c r="AL125" s="545">
        <v>0</v>
      </c>
      <c r="AM125" s="496">
        <f t="shared" si="98"/>
        <v>0</v>
      </c>
      <c r="AN125" s="568">
        <v>0</v>
      </c>
      <c r="AO125" s="496">
        <f t="shared" si="99"/>
        <v>0</v>
      </c>
      <c r="AP125" s="568">
        <v>0</v>
      </c>
      <c r="AQ125" s="621">
        <f t="shared" si="100"/>
        <v>0</v>
      </c>
      <c r="AR125" s="569">
        <v>0</v>
      </c>
      <c r="AS125" s="777">
        <f t="shared" si="101"/>
        <v>0</v>
      </c>
      <c r="AT125" s="571">
        <v>0</v>
      </c>
      <c r="AU125" s="496">
        <f t="shared" si="102"/>
        <v>0</v>
      </c>
      <c r="AV125" s="115">
        <v>720</v>
      </c>
      <c r="AW125" s="390">
        <f t="shared" si="103"/>
        <v>21.599999999999859</v>
      </c>
      <c r="AX125" s="114">
        <v>720</v>
      </c>
      <c r="AY125" s="389">
        <f t="shared" si="104"/>
        <v>21.599999999999859</v>
      </c>
      <c r="AZ125" s="115">
        <v>720</v>
      </c>
      <c r="BA125" s="389">
        <f t="shared" si="105"/>
        <v>21.599999999999859</v>
      </c>
      <c r="BB125" s="115">
        <v>720</v>
      </c>
      <c r="BC125" s="391">
        <f t="shared" si="106"/>
        <v>21.599999999999859</v>
      </c>
      <c r="BD125" s="114">
        <v>720</v>
      </c>
      <c r="BE125" s="389">
        <f t="shared" si="107"/>
        <v>21.599999999999859</v>
      </c>
      <c r="BF125" s="115">
        <v>720</v>
      </c>
      <c r="BG125" s="389">
        <f t="shared" si="108"/>
        <v>21.599999999999859</v>
      </c>
      <c r="BH125" s="115">
        <v>720</v>
      </c>
      <c r="BI125" s="392">
        <f t="shared" si="109"/>
        <v>21.599999999999859</v>
      </c>
      <c r="BJ125" s="177" t="s">
        <v>224</v>
      </c>
      <c r="BK125" s="78" t="s">
        <v>225</v>
      </c>
      <c r="BL125" s="78" t="s">
        <v>201</v>
      </c>
      <c r="BM125" s="9" t="s">
        <v>418</v>
      </c>
    </row>
    <row r="126" spans="1:65" ht="14.5" customHeight="1">
      <c r="A126" s="197" t="s">
        <v>383</v>
      </c>
      <c r="B126" s="9" t="s">
        <v>611</v>
      </c>
      <c r="C126" s="1" t="s">
        <v>30</v>
      </c>
      <c r="D126" s="1017"/>
      <c r="E126" s="1017"/>
      <c r="F126" s="1001"/>
      <c r="G126" s="170" t="s">
        <v>222</v>
      </c>
      <c r="H126" s="857" t="s">
        <v>223</v>
      </c>
      <c r="I126" s="275" t="s">
        <v>204</v>
      </c>
      <c r="J126" s="541" t="s">
        <v>198</v>
      </c>
      <c r="K126" s="1" t="s">
        <v>199</v>
      </c>
      <c r="L126" s="111" t="s">
        <v>150</v>
      </c>
      <c r="M126" s="348" t="s">
        <v>348</v>
      </c>
      <c r="N126" s="6">
        <v>2.0499999999999998</v>
      </c>
      <c r="O126" s="6">
        <v>2.0499999999999998</v>
      </c>
      <c r="P126" s="6">
        <v>2.0499999999999998</v>
      </c>
      <c r="Q126" s="6">
        <v>2.0499999999999998</v>
      </c>
      <c r="R126" s="813">
        <v>2.13</v>
      </c>
      <c r="S126" s="813">
        <v>2.13</v>
      </c>
      <c r="T126" s="813">
        <v>2.13</v>
      </c>
      <c r="U126" s="813">
        <v>2.13</v>
      </c>
      <c r="V126" s="813">
        <v>2.13</v>
      </c>
      <c r="W126" s="813">
        <v>2.13</v>
      </c>
      <c r="X126" s="813">
        <v>2.13</v>
      </c>
      <c r="Y126" s="813">
        <v>2.13</v>
      </c>
      <c r="Z126" s="195">
        <v>2.9999999999999805E-2</v>
      </c>
      <c r="AA126" s="2">
        <v>2.9999999999999805E-2</v>
      </c>
      <c r="AB126" s="2">
        <v>2.9999999999999805E-2</v>
      </c>
      <c r="AC126" s="2">
        <v>2.9999999999999805E-2</v>
      </c>
      <c r="AD126" s="2">
        <v>2.9999999999999805E-2</v>
      </c>
      <c r="AE126" s="2">
        <v>2.9999999999999805E-2</v>
      </c>
      <c r="AF126" s="2">
        <v>2.9999999999999805E-2</v>
      </c>
      <c r="AG126" s="2">
        <v>2.9999999999999805E-2</v>
      </c>
      <c r="AH126" s="2">
        <v>2.9999999999999805E-2</v>
      </c>
      <c r="AI126" s="2">
        <v>2.9999999999999805E-2</v>
      </c>
      <c r="AJ126" s="2">
        <v>2.9999999999999805E-2</v>
      </c>
      <c r="AK126" s="480">
        <v>2.9999999999999805E-2</v>
      </c>
      <c r="AL126" s="545">
        <v>0</v>
      </c>
      <c r="AM126" s="494">
        <f t="shared" si="98"/>
        <v>0</v>
      </c>
      <c r="AN126" s="568">
        <v>960</v>
      </c>
      <c r="AO126" s="494">
        <f t="shared" si="99"/>
        <v>28.799999999999812</v>
      </c>
      <c r="AP126" s="568">
        <v>240</v>
      </c>
      <c r="AQ126" s="620">
        <f t="shared" si="100"/>
        <v>7.1999999999999531</v>
      </c>
      <c r="AR126" s="569">
        <v>360</v>
      </c>
      <c r="AS126" s="775">
        <f t="shared" si="101"/>
        <v>10.79999999999993</v>
      </c>
      <c r="AT126" s="571">
        <v>960</v>
      </c>
      <c r="AU126" s="494">
        <f t="shared" si="102"/>
        <v>28.799999999999812</v>
      </c>
      <c r="AV126" s="115">
        <v>900</v>
      </c>
      <c r="AW126" s="355">
        <f t="shared" si="103"/>
        <v>26.999999999999822</v>
      </c>
      <c r="AX126" s="114">
        <v>900</v>
      </c>
      <c r="AY126" s="127">
        <f t="shared" si="104"/>
        <v>26.999999999999822</v>
      </c>
      <c r="AZ126" s="115">
        <v>900</v>
      </c>
      <c r="BA126" s="127">
        <f t="shared" si="105"/>
        <v>26.999999999999822</v>
      </c>
      <c r="BB126" s="115">
        <v>900</v>
      </c>
      <c r="BC126" s="356">
        <f t="shared" si="106"/>
        <v>26.999999999999822</v>
      </c>
      <c r="BD126" s="114">
        <v>900</v>
      </c>
      <c r="BE126" s="127">
        <f t="shared" si="107"/>
        <v>26.999999999999822</v>
      </c>
      <c r="BF126" s="115">
        <v>900</v>
      </c>
      <c r="BG126" s="127">
        <f t="shared" si="108"/>
        <v>26.999999999999822</v>
      </c>
      <c r="BH126" s="115">
        <v>900</v>
      </c>
      <c r="BI126" s="329">
        <f t="shared" si="109"/>
        <v>26.999999999999822</v>
      </c>
      <c r="BJ126" s="177" t="s">
        <v>224</v>
      </c>
      <c r="BK126" s="78" t="s">
        <v>225</v>
      </c>
      <c r="BL126" s="78" t="s">
        <v>202</v>
      </c>
      <c r="BM126" s="9" t="s">
        <v>418</v>
      </c>
    </row>
    <row r="127" spans="1:65" ht="14.5" customHeight="1">
      <c r="A127" s="197" t="s">
        <v>383</v>
      </c>
      <c r="B127" s="9" t="s">
        <v>611</v>
      </c>
      <c r="C127" s="1" t="s">
        <v>30</v>
      </c>
      <c r="D127" s="1017"/>
      <c r="E127" s="1017"/>
      <c r="F127" s="1001"/>
      <c r="G127" s="170" t="s">
        <v>222</v>
      </c>
      <c r="H127" s="857" t="s">
        <v>223</v>
      </c>
      <c r="I127" s="275" t="s">
        <v>204</v>
      </c>
      <c r="J127" s="541" t="s">
        <v>198</v>
      </c>
      <c r="K127" s="1" t="s">
        <v>199</v>
      </c>
      <c r="L127" s="111" t="s">
        <v>150</v>
      </c>
      <c r="M127" s="348" t="s">
        <v>349</v>
      </c>
      <c r="N127" s="6">
        <v>2.0499999999999998</v>
      </c>
      <c r="O127" s="6">
        <v>2.0499999999999998</v>
      </c>
      <c r="P127" s="6">
        <v>2.0499999999999998</v>
      </c>
      <c r="Q127" s="6">
        <v>2.0499999999999998</v>
      </c>
      <c r="R127" s="813">
        <v>2.13</v>
      </c>
      <c r="S127" s="813">
        <v>2.13</v>
      </c>
      <c r="T127" s="813">
        <v>2.13</v>
      </c>
      <c r="U127" s="813">
        <v>2.13</v>
      </c>
      <c r="V127" s="813">
        <v>2.13</v>
      </c>
      <c r="W127" s="813">
        <v>2.13</v>
      </c>
      <c r="X127" s="813">
        <v>2.13</v>
      </c>
      <c r="Y127" s="813">
        <v>2.13</v>
      </c>
      <c r="Z127" s="195">
        <v>2.9999999999999805E-2</v>
      </c>
      <c r="AA127" s="2">
        <v>2.9999999999999805E-2</v>
      </c>
      <c r="AB127" s="2">
        <v>2.9999999999999805E-2</v>
      </c>
      <c r="AC127" s="2">
        <v>2.9999999999999805E-2</v>
      </c>
      <c r="AD127" s="2">
        <v>2.9999999999999805E-2</v>
      </c>
      <c r="AE127" s="2">
        <v>2.9999999999999805E-2</v>
      </c>
      <c r="AF127" s="2">
        <v>2.9999999999999805E-2</v>
      </c>
      <c r="AG127" s="2">
        <v>2.9999999999999805E-2</v>
      </c>
      <c r="AH127" s="2">
        <v>2.9999999999999805E-2</v>
      </c>
      <c r="AI127" s="2">
        <v>2.9999999999999805E-2</v>
      </c>
      <c r="AJ127" s="2">
        <v>2.9999999999999805E-2</v>
      </c>
      <c r="AK127" s="480">
        <v>2.9999999999999805E-2</v>
      </c>
      <c r="AL127" s="545">
        <v>240</v>
      </c>
      <c r="AM127" s="496">
        <f t="shared" si="98"/>
        <v>7.1999999999999531</v>
      </c>
      <c r="AN127" s="568">
        <v>120</v>
      </c>
      <c r="AO127" s="496">
        <f t="shared" si="99"/>
        <v>3.5999999999999766</v>
      </c>
      <c r="AP127" s="568">
        <v>480</v>
      </c>
      <c r="AQ127" s="621">
        <f t="shared" si="100"/>
        <v>14.399999999999906</v>
      </c>
      <c r="AR127" s="569">
        <v>240</v>
      </c>
      <c r="AS127" s="777">
        <f t="shared" si="101"/>
        <v>7.1999999999999531</v>
      </c>
      <c r="AT127" s="571">
        <v>1080</v>
      </c>
      <c r="AU127" s="496">
        <f t="shared" si="102"/>
        <v>32.399999999999793</v>
      </c>
      <c r="AV127" s="115">
        <v>1500</v>
      </c>
      <c r="AW127" s="390">
        <f t="shared" si="103"/>
        <v>44.999999999999709</v>
      </c>
      <c r="AX127" s="114">
        <v>1500</v>
      </c>
      <c r="AY127" s="389">
        <f t="shared" si="104"/>
        <v>44.999999999999709</v>
      </c>
      <c r="AZ127" s="115">
        <v>1500</v>
      </c>
      <c r="BA127" s="389">
        <f t="shared" si="105"/>
        <v>44.999999999999709</v>
      </c>
      <c r="BB127" s="115">
        <v>1500</v>
      </c>
      <c r="BC127" s="391">
        <f t="shared" si="106"/>
        <v>44.999999999999709</v>
      </c>
      <c r="BD127" s="114">
        <v>1500</v>
      </c>
      <c r="BE127" s="389">
        <f t="shared" si="107"/>
        <v>44.999999999999709</v>
      </c>
      <c r="BF127" s="115">
        <v>1500</v>
      </c>
      <c r="BG127" s="389">
        <f t="shared" si="108"/>
        <v>44.999999999999709</v>
      </c>
      <c r="BH127" s="115">
        <v>1500</v>
      </c>
      <c r="BI127" s="392">
        <f t="shared" si="109"/>
        <v>44.999999999999709</v>
      </c>
      <c r="BJ127" s="177" t="s">
        <v>224</v>
      </c>
      <c r="BK127" s="78" t="s">
        <v>225</v>
      </c>
      <c r="BL127" s="78" t="s">
        <v>202</v>
      </c>
      <c r="BM127" s="9" t="s">
        <v>418</v>
      </c>
    </row>
    <row r="128" spans="1:65" ht="14.5" customHeight="1">
      <c r="A128" s="197" t="s">
        <v>383</v>
      </c>
      <c r="B128" s="9" t="s">
        <v>611</v>
      </c>
      <c r="C128" s="1" t="s">
        <v>30</v>
      </c>
      <c r="D128" s="1017"/>
      <c r="E128" s="1017"/>
      <c r="F128" s="1001"/>
      <c r="G128" s="170" t="s">
        <v>222</v>
      </c>
      <c r="H128" s="857" t="s">
        <v>223</v>
      </c>
      <c r="I128" s="275" t="s">
        <v>204</v>
      </c>
      <c r="J128" s="541" t="s">
        <v>198</v>
      </c>
      <c r="K128" s="1" t="s">
        <v>199</v>
      </c>
      <c r="L128" s="111" t="s">
        <v>150</v>
      </c>
      <c r="M128" s="348" t="s">
        <v>350</v>
      </c>
      <c r="N128" s="6">
        <v>2.0499999999999998</v>
      </c>
      <c r="O128" s="6">
        <v>2.0499999999999998</v>
      </c>
      <c r="P128" s="6">
        <v>2.0499999999999998</v>
      </c>
      <c r="Q128" s="6">
        <v>2.0499999999999998</v>
      </c>
      <c r="R128" s="813">
        <v>2.13</v>
      </c>
      <c r="S128" s="813">
        <v>2.13</v>
      </c>
      <c r="T128" s="813">
        <v>2.13</v>
      </c>
      <c r="U128" s="813">
        <v>2.13</v>
      </c>
      <c r="V128" s="813">
        <v>2.13</v>
      </c>
      <c r="W128" s="813">
        <v>2.13</v>
      </c>
      <c r="X128" s="813">
        <v>2.13</v>
      </c>
      <c r="Y128" s="813">
        <v>2.13</v>
      </c>
      <c r="Z128" s="195">
        <v>2.9999999999999805E-2</v>
      </c>
      <c r="AA128" s="2">
        <v>2.9999999999999805E-2</v>
      </c>
      <c r="AB128" s="2">
        <v>2.9999999999999805E-2</v>
      </c>
      <c r="AC128" s="2">
        <v>2.9999999999999805E-2</v>
      </c>
      <c r="AD128" s="2">
        <v>2.9999999999999805E-2</v>
      </c>
      <c r="AE128" s="2">
        <v>2.9999999999999805E-2</v>
      </c>
      <c r="AF128" s="2">
        <v>2.9999999999999805E-2</v>
      </c>
      <c r="AG128" s="2">
        <v>2.9999999999999805E-2</v>
      </c>
      <c r="AH128" s="2">
        <v>2.9999999999999805E-2</v>
      </c>
      <c r="AI128" s="2">
        <v>2.9999999999999805E-2</v>
      </c>
      <c r="AJ128" s="2">
        <v>2.9999999999999805E-2</v>
      </c>
      <c r="AK128" s="480">
        <v>2.9999999999999805E-2</v>
      </c>
      <c r="AL128" s="545">
        <v>960</v>
      </c>
      <c r="AM128" s="494">
        <f t="shared" si="98"/>
        <v>28.799999999999812</v>
      </c>
      <c r="AN128" s="568">
        <v>1800</v>
      </c>
      <c r="AO128" s="494">
        <f t="shared" si="99"/>
        <v>53.999999999999645</v>
      </c>
      <c r="AP128" s="568">
        <v>2520</v>
      </c>
      <c r="AQ128" s="620">
        <f t="shared" si="100"/>
        <v>75.599999999999511</v>
      </c>
      <c r="AR128" s="569">
        <v>120</v>
      </c>
      <c r="AS128" s="775">
        <f t="shared" si="101"/>
        <v>3.5999999999999766</v>
      </c>
      <c r="AT128" s="571">
        <v>2880</v>
      </c>
      <c r="AU128" s="494">
        <f t="shared" si="102"/>
        <v>86.399999999999437</v>
      </c>
      <c r="AV128" s="115">
        <v>600</v>
      </c>
      <c r="AW128" s="355">
        <f t="shared" si="103"/>
        <v>17.999999999999883</v>
      </c>
      <c r="AX128" s="114">
        <v>600</v>
      </c>
      <c r="AY128" s="127">
        <f t="shared" si="104"/>
        <v>17.999999999999883</v>
      </c>
      <c r="AZ128" s="115">
        <v>600</v>
      </c>
      <c r="BA128" s="127">
        <f t="shared" si="105"/>
        <v>17.999999999999883</v>
      </c>
      <c r="BB128" s="115">
        <v>600</v>
      </c>
      <c r="BC128" s="356">
        <f t="shared" si="106"/>
        <v>17.999999999999883</v>
      </c>
      <c r="BD128" s="114">
        <v>600</v>
      </c>
      <c r="BE128" s="127">
        <f t="shared" si="107"/>
        <v>17.999999999999883</v>
      </c>
      <c r="BF128" s="115">
        <v>600</v>
      </c>
      <c r="BG128" s="127">
        <f t="shared" si="108"/>
        <v>17.999999999999883</v>
      </c>
      <c r="BH128" s="115">
        <v>600</v>
      </c>
      <c r="BI128" s="329">
        <f t="shared" si="109"/>
        <v>17.999999999999883</v>
      </c>
      <c r="BJ128" s="177" t="s">
        <v>224</v>
      </c>
      <c r="BK128" s="78" t="s">
        <v>225</v>
      </c>
      <c r="BL128" s="78" t="s">
        <v>202</v>
      </c>
      <c r="BM128" s="9" t="s">
        <v>418</v>
      </c>
    </row>
    <row r="129" spans="1:65" ht="17" customHeight="1">
      <c r="A129" s="197" t="s">
        <v>383</v>
      </c>
      <c r="B129" s="9" t="s">
        <v>611</v>
      </c>
      <c r="C129" s="1" t="s">
        <v>30</v>
      </c>
      <c r="D129" s="1017"/>
      <c r="E129" s="1017"/>
      <c r="F129" s="1001"/>
      <c r="G129" s="170" t="s">
        <v>222</v>
      </c>
      <c r="H129" s="857" t="s">
        <v>223</v>
      </c>
      <c r="I129" s="275" t="s">
        <v>204</v>
      </c>
      <c r="J129" s="541" t="s">
        <v>198</v>
      </c>
      <c r="K129" s="1" t="s">
        <v>199</v>
      </c>
      <c r="L129" s="111" t="s">
        <v>150</v>
      </c>
      <c r="M129" s="348" t="s">
        <v>353</v>
      </c>
      <c r="N129" s="6">
        <v>2.0499999999999998</v>
      </c>
      <c r="O129" s="6">
        <v>2.0499999999999998</v>
      </c>
      <c r="P129" s="6">
        <v>2.0499999999999998</v>
      </c>
      <c r="Q129" s="6">
        <v>2.0499999999999998</v>
      </c>
      <c r="R129" s="813">
        <v>2.13</v>
      </c>
      <c r="S129" s="813">
        <v>2.13</v>
      </c>
      <c r="T129" s="813">
        <v>2.13</v>
      </c>
      <c r="U129" s="813">
        <v>2.13</v>
      </c>
      <c r="V129" s="813">
        <v>2.13</v>
      </c>
      <c r="W129" s="813">
        <v>2.13</v>
      </c>
      <c r="X129" s="813">
        <v>2.13</v>
      </c>
      <c r="Y129" s="813">
        <v>2.13</v>
      </c>
      <c r="Z129" s="195">
        <v>2.9999999999999805E-2</v>
      </c>
      <c r="AA129" s="2">
        <v>2.9999999999999805E-2</v>
      </c>
      <c r="AB129" s="2">
        <v>2.9999999999999805E-2</v>
      </c>
      <c r="AC129" s="2">
        <v>2.9999999999999805E-2</v>
      </c>
      <c r="AD129" s="2">
        <v>2.9999999999999805E-2</v>
      </c>
      <c r="AE129" s="2">
        <v>2.9999999999999805E-2</v>
      </c>
      <c r="AF129" s="2">
        <v>2.9999999999999805E-2</v>
      </c>
      <c r="AG129" s="2">
        <v>2.9999999999999805E-2</v>
      </c>
      <c r="AH129" s="2">
        <v>2.9999999999999805E-2</v>
      </c>
      <c r="AI129" s="2">
        <v>2.9999999999999805E-2</v>
      </c>
      <c r="AJ129" s="2">
        <v>2.9999999999999805E-2</v>
      </c>
      <c r="AK129" s="480">
        <v>2.9999999999999805E-2</v>
      </c>
      <c r="AL129" s="545">
        <v>0</v>
      </c>
      <c r="AM129" s="496">
        <f t="shared" si="98"/>
        <v>0</v>
      </c>
      <c r="AN129" s="568">
        <v>0</v>
      </c>
      <c r="AO129" s="494">
        <f t="shared" si="99"/>
        <v>0</v>
      </c>
      <c r="AP129" s="568">
        <v>0</v>
      </c>
      <c r="AQ129" s="621">
        <f t="shared" si="100"/>
        <v>0</v>
      </c>
      <c r="AR129" s="569">
        <v>0</v>
      </c>
      <c r="AS129" s="777">
        <f t="shared" si="101"/>
        <v>0</v>
      </c>
      <c r="AT129" s="571">
        <v>0</v>
      </c>
      <c r="AU129" s="496">
        <f t="shared" si="102"/>
        <v>0</v>
      </c>
      <c r="AV129" s="115">
        <v>420</v>
      </c>
      <c r="AW129" s="390">
        <f t="shared" si="103"/>
        <v>12.599999999999918</v>
      </c>
      <c r="AX129" s="114">
        <v>420</v>
      </c>
      <c r="AY129" s="389">
        <f t="shared" si="104"/>
        <v>12.599999999999918</v>
      </c>
      <c r="AZ129" s="115">
        <v>420</v>
      </c>
      <c r="BA129" s="389">
        <f t="shared" si="105"/>
        <v>12.599999999999918</v>
      </c>
      <c r="BB129" s="115">
        <v>420</v>
      </c>
      <c r="BC129" s="391">
        <f t="shared" si="106"/>
        <v>12.599999999999918</v>
      </c>
      <c r="BD129" s="114">
        <v>420</v>
      </c>
      <c r="BE129" s="389">
        <f t="shared" si="107"/>
        <v>12.599999999999918</v>
      </c>
      <c r="BF129" s="115">
        <v>420</v>
      </c>
      <c r="BG129" s="389">
        <f t="shared" si="108"/>
        <v>12.599999999999918</v>
      </c>
      <c r="BH129" s="115">
        <v>420</v>
      </c>
      <c r="BI129" s="392">
        <f t="shared" si="109"/>
        <v>12.599999999999918</v>
      </c>
      <c r="BJ129" s="177" t="s">
        <v>224</v>
      </c>
      <c r="BK129" s="78" t="s">
        <v>225</v>
      </c>
      <c r="BL129" s="78" t="s">
        <v>202</v>
      </c>
      <c r="BM129" s="9" t="s">
        <v>418</v>
      </c>
    </row>
    <row r="130" spans="1:65" s="332" customFormat="1" ht="17" customHeight="1">
      <c r="A130" s="197" t="s">
        <v>383</v>
      </c>
      <c r="B130" s="9" t="s">
        <v>611</v>
      </c>
      <c r="C130" s="78" t="s">
        <v>30</v>
      </c>
      <c r="D130" s="1017"/>
      <c r="E130" s="1017"/>
      <c r="F130" s="1001"/>
      <c r="G130" s="224" t="s">
        <v>222</v>
      </c>
      <c r="H130" s="857" t="s">
        <v>223</v>
      </c>
      <c r="I130" s="275" t="s">
        <v>204</v>
      </c>
      <c r="J130" s="541" t="s">
        <v>198</v>
      </c>
      <c r="K130" s="1" t="s">
        <v>199</v>
      </c>
      <c r="L130" s="751" t="s">
        <v>150</v>
      </c>
      <c r="M130" s="348" t="s">
        <v>358</v>
      </c>
      <c r="N130" s="6">
        <v>2.0499999999999998</v>
      </c>
      <c r="O130" s="6">
        <v>2.0499999999999998</v>
      </c>
      <c r="P130" s="6">
        <v>2.0499999999999998</v>
      </c>
      <c r="Q130" s="6">
        <v>2.0499999999999998</v>
      </c>
      <c r="R130" s="813">
        <v>2.13</v>
      </c>
      <c r="S130" s="813">
        <v>2.13</v>
      </c>
      <c r="T130" s="813">
        <v>2.13</v>
      </c>
      <c r="U130" s="813">
        <v>2.13</v>
      </c>
      <c r="V130" s="813">
        <v>2.13</v>
      </c>
      <c r="W130" s="813">
        <v>2.13</v>
      </c>
      <c r="X130" s="813">
        <v>2.13</v>
      </c>
      <c r="Y130" s="813">
        <v>2.13</v>
      </c>
      <c r="Z130" s="195">
        <v>2.9999999999999805E-2</v>
      </c>
      <c r="AA130" s="2">
        <v>2.9999999999999805E-2</v>
      </c>
      <c r="AB130" s="2">
        <v>2.9999999999999805E-2</v>
      </c>
      <c r="AC130" s="2">
        <v>2.9999999999999805E-2</v>
      </c>
      <c r="AD130" s="2">
        <v>2.9999999999999805E-2</v>
      </c>
      <c r="AE130" s="2">
        <v>2.9999999999999805E-2</v>
      </c>
      <c r="AF130" s="2">
        <v>2.9999999999999805E-2</v>
      </c>
      <c r="AG130" s="2">
        <v>2.9999999999999805E-2</v>
      </c>
      <c r="AH130" s="2">
        <v>2.9999999999999805E-2</v>
      </c>
      <c r="AI130" s="2">
        <v>2.9999999999999805E-2</v>
      </c>
      <c r="AJ130" s="2">
        <v>2.9999999999999805E-2</v>
      </c>
      <c r="AK130" s="480">
        <v>2.9999999999999805E-2</v>
      </c>
      <c r="AL130" s="545">
        <v>240</v>
      </c>
      <c r="AM130" s="519">
        <f t="shared" si="98"/>
        <v>7.1999999999999531</v>
      </c>
      <c r="AN130" s="572">
        <v>0</v>
      </c>
      <c r="AO130" s="494">
        <f t="shared" si="99"/>
        <v>0</v>
      </c>
      <c r="AP130" s="572">
        <v>1080</v>
      </c>
      <c r="AQ130" s="621">
        <f t="shared" si="100"/>
        <v>32.399999999999793</v>
      </c>
      <c r="AR130" s="786">
        <v>240</v>
      </c>
      <c r="AS130" s="777">
        <f t="shared" si="101"/>
        <v>7.1999999999999531</v>
      </c>
      <c r="AT130" s="991">
        <v>1080</v>
      </c>
      <c r="AU130" s="494">
        <f t="shared" si="102"/>
        <v>32.399999999999793</v>
      </c>
      <c r="AV130" s="425">
        <v>0</v>
      </c>
      <c r="AW130" s="390">
        <f t="shared" si="103"/>
        <v>0</v>
      </c>
      <c r="AX130" s="434">
        <v>0</v>
      </c>
      <c r="AY130" s="117">
        <f t="shared" si="104"/>
        <v>0</v>
      </c>
      <c r="AZ130" s="425">
        <v>0</v>
      </c>
      <c r="BA130" s="127">
        <f t="shared" si="105"/>
        <v>0</v>
      </c>
      <c r="BB130" s="425">
        <v>0</v>
      </c>
      <c r="BC130" s="364">
        <f t="shared" si="106"/>
        <v>0</v>
      </c>
      <c r="BD130" s="434">
        <v>0</v>
      </c>
      <c r="BE130" s="117">
        <f t="shared" si="107"/>
        <v>0</v>
      </c>
      <c r="BF130" s="425">
        <v>0</v>
      </c>
      <c r="BG130" s="117">
        <f t="shared" si="108"/>
        <v>0</v>
      </c>
      <c r="BH130" s="425">
        <v>0</v>
      </c>
      <c r="BI130" s="459">
        <f t="shared" si="109"/>
        <v>0</v>
      </c>
      <c r="BJ130" s="177" t="s">
        <v>224</v>
      </c>
      <c r="BK130" s="78" t="s">
        <v>225</v>
      </c>
      <c r="BL130" s="78" t="s">
        <v>202</v>
      </c>
      <c r="BM130" s="9" t="s">
        <v>418</v>
      </c>
    </row>
    <row r="131" spans="1:65" s="332" customFormat="1" ht="17.5" customHeight="1">
      <c r="A131" s="197" t="s">
        <v>383</v>
      </c>
      <c r="B131" s="9" t="s">
        <v>611</v>
      </c>
      <c r="C131" s="1" t="s">
        <v>30</v>
      </c>
      <c r="D131" s="1017"/>
      <c r="E131" s="1017"/>
      <c r="F131" s="1001"/>
      <c r="G131" s="170" t="s">
        <v>222</v>
      </c>
      <c r="H131" s="857" t="s">
        <v>502</v>
      </c>
      <c r="I131" s="275" t="s">
        <v>204</v>
      </c>
      <c r="J131" s="541" t="s">
        <v>198</v>
      </c>
      <c r="K131" s="1" t="s">
        <v>199</v>
      </c>
      <c r="L131" s="751" t="s">
        <v>150</v>
      </c>
      <c r="M131" s="348" t="s">
        <v>352</v>
      </c>
      <c r="N131" s="6">
        <v>2.0499999999999998</v>
      </c>
      <c r="O131" s="6">
        <v>2.0499999999999998</v>
      </c>
      <c r="P131" s="6">
        <v>2.0499999999999998</v>
      </c>
      <c r="Q131" s="6">
        <v>2.0499999999999998</v>
      </c>
      <c r="R131" s="813">
        <v>2.23</v>
      </c>
      <c r="S131" s="813">
        <v>2.23</v>
      </c>
      <c r="T131" s="813">
        <v>2.23</v>
      </c>
      <c r="U131" s="813">
        <v>2.23</v>
      </c>
      <c r="V131" s="813">
        <v>2.23</v>
      </c>
      <c r="W131" s="813">
        <v>2.23</v>
      </c>
      <c r="X131" s="813">
        <v>2.23</v>
      </c>
      <c r="Y131" s="813">
        <v>2.23</v>
      </c>
      <c r="Z131" s="195">
        <v>2.9999999999999805E-2</v>
      </c>
      <c r="AA131" s="2">
        <v>2.9999999999999805E-2</v>
      </c>
      <c r="AB131" s="2">
        <v>2.9999999999999805E-2</v>
      </c>
      <c r="AC131" s="2">
        <v>2.9999999999999805E-2</v>
      </c>
      <c r="AD131" s="2">
        <v>2.9999999999999805E-2</v>
      </c>
      <c r="AE131" s="2">
        <v>2.9999999999999805E-2</v>
      </c>
      <c r="AF131" s="2">
        <v>2.9999999999999805E-2</v>
      </c>
      <c r="AG131" s="2">
        <v>2.9999999999999805E-2</v>
      </c>
      <c r="AH131" s="2">
        <v>2.9999999999999805E-2</v>
      </c>
      <c r="AI131" s="2">
        <v>2.9999999999999805E-2</v>
      </c>
      <c r="AJ131" s="2">
        <v>2.9999999999999805E-2</v>
      </c>
      <c r="AK131" s="480">
        <v>2.9999999999999805E-2</v>
      </c>
      <c r="AL131" s="545">
        <v>1920</v>
      </c>
      <c r="AM131" s="519">
        <f t="shared" si="98"/>
        <v>57.599999999999625</v>
      </c>
      <c r="AN131" s="568">
        <v>0</v>
      </c>
      <c r="AO131" s="496">
        <f t="shared" si="99"/>
        <v>0</v>
      </c>
      <c r="AP131" s="568">
        <v>1440</v>
      </c>
      <c r="AQ131" s="621">
        <f t="shared" si="100"/>
        <v>43.199999999999719</v>
      </c>
      <c r="AR131" s="572">
        <v>4320</v>
      </c>
      <c r="AS131" s="782">
        <f t="shared" si="101"/>
        <v>129.59999999999917</v>
      </c>
      <c r="AT131" s="991">
        <v>0</v>
      </c>
      <c r="AU131" s="519">
        <f t="shared" si="102"/>
        <v>0</v>
      </c>
      <c r="AV131" s="425">
        <v>2000</v>
      </c>
      <c r="AW131" s="437">
        <f t="shared" si="103"/>
        <v>59.999999999999609</v>
      </c>
      <c r="AX131" s="114">
        <v>2000</v>
      </c>
      <c r="AY131" s="667">
        <f t="shared" si="104"/>
        <v>59.999999999999609</v>
      </c>
      <c r="AZ131" s="115">
        <v>2000</v>
      </c>
      <c r="BA131" s="667">
        <f t="shared" si="105"/>
        <v>59.999999999999609</v>
      </c>
      <c r="BB131" s="115">
        <v>2000</v>
      </c>
      <c r="BC131" s="668">
        <f t="shared" si="106"/>
        <v>59.999999999999609</v>
      </c>
      <c r="BD131" s="114">
        <v>2000</v>
      </c>
      <c r="BE131" s="667">
        <f t="shared" si="107"/>
        <v>59.999999999999609</v>
      </c>
      <c r="BF131" s="115">
        <v>2000</v>
      </c>
      <c r="BG131" s="667">
        <f t="shared" si="108"/>
        <v>59.999999999999609</v>
      </c>
      <c r="BH131" s="115">
        <v>2000</v>
      </c>
      <c r="BI131" s="669">
        <f t="shared" si="109"/>
        <v>59.999999999999609</v>
      </c>
      <c r="BJ131" s="670" t="s">
        <v>224</v>
      </c>
      <c r="BK131" s="671" t="s">
        <v>225</v>
      </c>
      <c r="BL131" s="78" t="s">
        <v>201</v>
      </c>
      <c r="BM131" s="9" t="s">
        <v>418</v>
      </c>
    </row>
    <row r="132" spans="1:65" s="450" customFormat="1" ht="17" customHeight="1" thickBot="1">
      <c r="A132" s="197" t="s">
        <v>383</v>
      </c>
      <c r="B132" s="9" t="s">
        <v>611</v>
      </c>
      <c r="C132" s="1" t="s">
        <v>30</v>
      </c>
      <c r="D132" s="1017"/>
      <c r="E132" s="1017"/>
      <c r="F132" s="1001"/>
      <c r="G132" s="170" t="s">
        <v>222</v>
      </c>
      <c r="H132" s="857" t="s">
        <v>503</v>
      </c>
      <c r="I132" s="275" t="s">
        <v>148</v>
      </c>
      <c r="J132" s="541" t="s">
        <v>198</v>
      </c>
      <c r="K132" s="1" t="s">
        <v>199</v>
      </c>
      <c r="L132" s="111" t="s">
        <v>210</v>
      </c>
      <c r="M132" s="348" t="s">
        <v>349</v>
      </c>
      <c r="N132" s="672">
        <v>14.02</v>
      </c>
      <c r="O132" s="673">
        <v>14.02</v>
      </c>
      <c r="P132" s="673">
        <v>14.02</v>
      </c>
      <c r="Q132" s="673">
        <v>14.02</v>
      </c>
      <c r="R132" s="827">
        <v>14.670000000000002</v>
      </c>
      <c r="S132" s="827">
        <v>14.670000000000002</v>
      </c>
      <c r="T132" s="827">
        <v>14.670000000000002</v>
      </c>
      <c r="U132" s="827">
        <v>14.670000000000002</v>
      </c>
      <c r="V132" s="827">
        <v>14.670000000000002</v>
      </c>
      <c r="W132" s="827">
        <v>14.670000000000002</v>
      </c>
      <c r="X132" s="827">
        <v>14.670000000000002</v>
      </c>
      <c r="Y132" s="827">
        <v>14.670000000000002</v>
      </c>
      <c r="Z132" s="476">
        <v>1.4900000000000002</v>
      </c>
      <c r="AA132" s="92">
        <v>1.4900000000000002</v>
      </c>
      <c r="AB132" s="92">
        <v>1.4900000000000002</v>
      </c>
      <c r="AC132" s="92">
        <v>1.4900000000000002</v>
      </c>
      <c r="AD132" s="770">
        <f>1.49-0.36</f>
        <v>1.1299999999999999</v>
      </c>
      <c r="AE132" s="770">
        <f t="shared" ref="AE132:AK132" si="114">1.49-0.36</f>
        <v>1.1299999999999999</v>
      </c>
      <c r="AF132" s="770">
        <f t="shared" si="114"/>
        <v>1.1299999999999999</v>
      </c>
      <c r="AG132" s="770">
        <f t="shared" si="114"/>
        <v>1.1299999999999999</v>
      </c>
      <c r="AH132" s="770">
        <f t="shared" si="114"/>
        <v>1.1299999999999999</v>
      </c>
      <c r="AI132" s="770">
        <f t="shared" si="114"/>
        <v>1.1299999999999999</v>
      </c>
      <c r="AJ132" s="770">
        <f t="shared" si="114"/>
        <v>1.1299999999999999</v>
      </c>
      <c r="AK132" s="770">
        <f t="shared" si="114"/>
        <v>1.1299999999999999</v>
      </c>
      <c r="AL132" s="675">
        <v>140</v>
      </c>
      <c r="AM132" s="519">
        <f t="shared" si="98"/>
        <v>208.60000000000002</v>
      </c>
      <c r="AN132" s="572">
        <v>240</v>
      </c>
      <c r="AO132" s="512">
        <f t="shared" si="99"/>
        <v>357.6</v>
      </c>
      <c r="AP132" s="572">
        <v>0</v>
      </c>
      <c r="AQ132" s="649">
        <f t="shared" si="100"/>
        <v>0</v>
      </c>
      <c r="AR132" s="545">
        <v>0</v>
      </c>
      <c r="AS132" s="680">
        <f t="shared" si="101"/>
        <v>0</v>
      </c>
      <c r="AT132" s="571">
        <v>0</v>
      </c>
      <c r="AU132" s="680">
        <f t="shared" si="102"/>
        <v>0</v>
      </c>
      <c r="AV132" s="115">
        <v>0</v>
      </c>
      <c r="AW132" s="668">
        <f t="shared" si="103"/>
        <v>0</v>
      </c>
      <c r="AX132" s="114">
        <v>0</v>
      </c>
      <c r="AY132" s="667">
        <f t="shared" si="104"/>
        <v>0</v>
      </c>
      <c r="AZ132" s="115">
        <v>0</v>
      </c>
      <c r="BA132" s="667">
        <f t="shared" si="105"/>
        <v>0</v>
      </c>
      <c r="BB132" s="115">
        <v>0</v>
      </c>
      <c r="BC132" s="668">
        <f t="shared" si="106"/>
        <v>0</v>
      </c>
      <c r="BD132" s="114">
        <v>0</v>
      </c>
      <c r="BE132" s="667">
        <f t="shared" si="107"/>
        <v>0</v>
      </c>
      <c r="BF132" s="115">
        <v>0</v>
      </c>
      <c r="BG132" s="667">
        <f t="shared" si="108"/>
        <v>0</v>
      </c>
      <c r="BH132" s="115">
        <v>0</v>
      </c>
      <c r="BI132" s="669">
        <f t="shared" si="109"/>
        <v>0</v>
      </c>
      <c r="BJ132" s="676" t="s">
        <v>504</v>
      </c>
      <c r="BK132" s="677" t="s">
        <v>505</v>
      </c>
      <c r="BL132" s="678" t="s">
        <v>92</v>
      </c>
      <c r="BM132" s="678" t="s">
        <v>506</v>
      </c>
    </row>
    <row r="133" spans="1:65" s="450" customFormat="1" ht="17" customHeight="1">
      <c r="A133" s="762" t="s">
        <v>383</v>
      </c>
      <c r="B133" s="763" t="s">
        <v>611</v>
      </c>
      <c r="C133" s="764" t="s">
        <v>30</v>
      </c>
      <c r="D133" s="1017"/>
      <c r="E133" s="1017"/>
      <c r="F133" s="1001"/>
      <c r="G133" s="759" t="s">
        <v>612</v>
      </c>
      <c r="H133" s="860" t="s">
        <v>613</v>
      </c>
      <c r="I133" s="753" t="s">
        <v>614</v>
      </c>
      <c r="J133" s="754" t="s">
        <v>198</v>
      </c>
      <c r="K133" s="971" t="s">
        <v>714</v>
      </c>
      <c r="L133" s="755" t="s">
        <v>200</v>
      </c>
      <c r="M133" s="752" t="s">
        <v>350</v>
      </c>
      <c r="N133" s="740">
        <v>0</v>
      </c>
      <c r="O133" s="742">
        <v>0</v>
      </c>
      <c r="P133" s="702">
        <v>6.08</v>
      </c>
      <c r="Q133" s="702">
        <v>6.08</v>
      </c>
      <c r="R133" s="828">
        <v>6.72</v>
      </c>
      <c r="S133" s="828">
        <v>6.72</v>
      </c>
      <c r="T133" s="828">
        <v>6.72</v>
      </c>
      <c r="U133" s="828">
        <v>6.72</v>
      </c>
      <c r="V133" s="828">
        <v>6.72</v>
      </c>
      <c r="W133" s="828">
        <v>6.72</v>
      </c>
      <c r="X133" s="828">
        <v>6.72</v>
      </c>
      <c r="Y133" s="828">
        <v>6.72</v>
      </c>
      <c r="Z133" s="736">
        <v>0</v>
      </c>
      <c r="AA133" s="738">
        <v>0</v>
      </c>
      <c r="AB133" s="703">
        <v>0.19000000000000039</v>
      </c>
      <c r="AC133" s="703">
        <v>0.19000000000000039</v>
      </c>
      <c r="AD133" s="738">
        <v>0.83000000000000007</v>
      </c>
      <c r="AE133" s="817">
        <v>0.40000000000000036</v>
      </c>
      <c r="AF133" s="817">
        <v>0.40000000000000036</v>
      </c>
      <c r="AG133" s="817">
        <v>0.40000000000000036</v>
      </c>
      <c r="AH133" s="817">
        <v>0.40000000000000036</v>
      </c>
      <c r="AI133" s="817">
        <v>0.40000000000000036</v>
      </c>
      <c r="AJ133" s="817">
        <v>0.40000000000000036</v>
      </c>
      <c r="AK133" s="817">
        <v>0.40000000000000036</v>
      </c>
      <c r="AL133" s="679">
        <v>0</v>
      </c>
      <c r="AM133" s="680">
        <f t="shared" si="98"/>
        <v>0</v>
      </c>
      <c r="AN133" s="571">
        <v>0</v>
      </c>
      <c r="AO133" s="680">
        <f t="shared" si="99"/>
        <v>0</v>
      </c>
      <c r="AP133" s="571">
        <v>0</v>
      </c>
      <c r="AQ133" s="692">
        <f t="shared" si="100"/>
        <v>0</v>
      </c>
      <c r="AR133" s="679">
        <v>1332</v>
      </c>
      <c r="AS133" s="680">
        <f t="shared" si="101"/>
        <v>253.08000000000052</v>
      </c>
      <c r="AT133" s="571">
        <v>5028</v>
      </c>
      <c r="AU133" s="680">
        <f t="shared" si="102"/>
        <v>4173.2400000000007</v>
      </c>
      <c r="AV133" s="368">
        <v>3000</v>
      </c>
      <c r="AW133" s="668">
        <f t="shared" si="103"/>
        <v>1200.0000000000011</v>
      </c>
      <c r="AX133" s="368">
        <v>3000</v>
      </c>
      <c r="AY133" s="667">
        <f t="shared" si="104"/>
        <v>1200.0000000000011</v>
      </c>
      <c r="AZ133" s="368">
        <v>3000</v>
      </c>
      <c r="BA133" s="667">
        <f t="shared" si="105"/>
        <v>1200.0000000000011</v>
      </c>
      <c r="BB133" s="368">
        <v>3000</v>
      </c>
      <c r="BC133" s="668">
        <f t="shared" si="106"/>
        <v>1200.0000000000011</v>
      </c>
      <c r="BD133" s="368">
        <v>3000</v>
      </c>
      <c r="BE133" s="667">
        <f t="shared" si="107"/>
        <v>1200.0000000000011</v>
      </c>
      <c r="BF133" s="368">
        <v>3000</v>
      </c>
      <c r="BG133" s="667">
        <f t="shared" si="108"/>
        <v>1200.0000000000011</v>
      </c>
      <c r="BH133" s="368">
        <v>3000</v>
      </c>
      <c r="BI133" s="669">
        <f t="shared" si="109"/>
        <v>1200.0000000000011</v>
      </c>
      <c r="BJ133" s="682" t="s">
        <v>615</v>
      </c>
      <c r="BK133" s="683"/>
      <c r="BL133" s="684" t="s">
        <v>202</v>
      </c>
      <c r="BM133" s="684" t="s">
        <v>715</v>
      </c>
    </row>
    <row r="134" spans="1:65" s="450" customFormat="1" ht="17" customHeight="1">
      <c r="A134" s="765" t="s">
        <v>383</v>
      </c>
      <c r="B134" s="766" t="s">
        <v>611</v>
      </c>
      <c r="C134" s="261" t="s">
        <v>30</v>
      </c>
      <c r="D134" s="1017"/>
      <c r="E134" s="1017"/>
      <c r="F134" s="1001"/>
      <c r="G134" s="760" t="s">
        <v>612</v>
      </c>
      <c r="H134" s="858" t="s">
        <v>613</v>
      </c>
      <c r="I134" s="257" t="s">
        <v>614</v>
      </c>
      <c r="J134" s="756" t="s">
        <v>198</v>
      </c>
      <c r="K134" s="972" t="s">
        <v>714</v>
      </c>
      <c r="L134" s="57" t="s">
        <v>154</v>
      </c>
      <c r="M134" s="169" t="s">
        <v>358</v>
      </c>
      <c r="N134" s="740">
        <v>0</v>
      </c>
      <c r="O134" s="742">
        <v>0</v>
      </c>
      <c r="P134" s="702">
        <v>6.08</v>
      </c>
      <c r="Q134" s="702">
        <v>6.08</v>
      </c>
      <c r="R134" s="828">
        <v>6.72</v>
      </c>
      <c r="S134" s="828">
        <v>6.72</v>
      </c>
      <c r="T134" s="828">
        <v>6.72</v>
      </c>
      <c r="U134" s="828">
        <v>6.72</v>
      </c>
      <c r="V134" s="828">
        <v>6.72</v>
      </c>
      <c r="W134" s="828">
        <v>6.72</v>
      </c>
      <c r="X134" s="828">
        <v>6.72</v>
      </c>
      <c r="Y134" s="828">
        <v>6.72</v>
      </c>
      <c r="Z134" s="736">
        <v>0</v>
      </c>
      <c r="AA134" s="738">
        <v>0</v>
      </c>
      <c r="AB134" s="703">
        <v>0.19000000000000039</v>
      </c>
      <c r="AC134" s="703">
        <v>0.19000000000000039</v>
      </c>
      <c r="AD134" s="738">
        <v>0.83000000000000007</v>
      </c>
      <c r="AE134" s="817">
        <v>0.40000000000000036</v>
      </c>
      <c r="AF134" s="817">
        <v>0.40000000000000036</v>
      </c>
      <c r="AG134" s="817">
        <v>0.40000000000000036</v>
      </c>
      <c r="AH134" s="817">
        <v>0.40000000000000036</v>
      </c>
      <c r="AI134" s="817">
        <v>0.40000000000000036</v>
      </c>
      <c r="AJ134" s="817">
        <v>0.40000000000000036</v>
      </c>
      <c r="AK134" s="817">
        <v>0.40000000000000036</v>
      </c>
      <c r="AL134" s="679">
        <v>0</v>
      </c>
      <c r="AM134" s="680">
        <f t="shared" si="98"/>
        <v>0</v>
      </c>
      <c r="AN134" s="571">
        <v>0</v>
      </c>
      <c r="AO134" s="680">
        <f t="shared" si="99"/>
        <v>0</v>
      </c>
      <c r="AP134" s="571">
        <v>0</v>
      </c>
      <c r="AQ134" s="692">
        <f t="shared" si="100"/>
        <v>0</v>
      </c>
      <c r="AR134" s="679">
        <v>480</v>
      </c>
      <c r="AS134" s="680">
        <f t="shared" si="101"/>
        <v>91.200000000000188</v>
      </c>
      <c r="AT134" s="571">
        <v>468</v>
      </c>
      <c r="AU134" s="680">
        <f t="shared" si="102"/>
        <v>388.44000000000005</v>
      </c>
      <c r="AV134" s="368">
        <v>1000</v>
      </c>
      <c r="AW134" s="668">
        <f t="shared" si="103"/>
        <v>400.00000000000034</v>
      </c>
      <c r="AX134" s="681">
        <v>1000</v>
      </c>
      <c r="AY134" s="667">
        <f t="shared" si="104"/>
        <v>400.00000000000034</v>
      </c>
      <c r="AZ134" s="368">
        <v>1000</v>
      </c>
      <c r="BA134" s="667">
        <f t="shared" si="105"/>
        <v>400.00000000000034</v>
      </c>
      <c r="BB134" s="368">
        <v>1000</v>
      </c>
      <c r="BC134" s="668">
        <f t="shared" si="106"/>
        <v>400.00000000000034</v>
      </c>
      <c r="BD134" s="681">
        <v>1000</v>
      </c>
      <c r="BE134" s="667">
        <f t="shared" si="107"/>
        <v>400.00000000000034</v>
      </c>
      <c r="BF134" s="368">
        <v>1000</v>
      </c>
      <c r="BG134" s="667">
        <f t="shared" si="108"/>
        <v>400.00000000000034</v>
      </c>
      <c r="BH134" s="368">
        <v>1000</v>
      </c>
      <c r="BI134" s="669">
        <f t="shared" si="109"/>
        <v>400.00000000000034</v>
      </c>
      <c r="BJ134" s="682" t="s">
        <v>615</v>
      </c>
      <c r="BK134" s="683"/>
      <c r="BL134" s="684" t="s">
        <v>202</v>
      </c>
      <c r="BM134" s="684" t="s">
        <v>616</v>
      </c>
    </row>
    <row r="135" spans="1:65" s="450" customFormat="1" ht="17" customHeight="1">
      <c r="A135" s="765" t="s">
        <v>383</v>
      </c>
      <c r="B135" s="766" t="s">
        <v>611</v>
      </c>
      <c r="C135" s="261" t="s">
        <v>30</v>
      </c>
      <c r="D135" s="1017"/>
      <c r="E135" s="1017"/>
      <c r="F135" s="1001"/>
      <c r="G135" s="760" t="s">
        <v>612</v>
      </c>
      <c r="H135" s="858" t="s">
        <v>617</v>
      </c>
      <c r="I135" s="257" t="s">
        <v>148</v>
      </c>
      <c r="J135" s="756" t="s">
        <v>198</v>
      </c>
      <c r="K135" s="972" t="s">
        <v>714</v>
      </c>
      <c r="L135" s="57" t="s">
        <v>200</v>
      </c>
      <c r="M135" s="169" t="s">
        <v>350</v>
      </c>
      <c r="N135" s="740">
        <v>0</v>
      </c>
      <c r="O135" s="742">
        <v>0</v>
      </c>
      <c r="P135" s="702">
        <v>4.17</v>
      </c>
      <c r="Q135" s="702">
        <v>4.17</v>
      </c>
      <c r="R135" s="828">
        <v>4.7</v>
      </c>
      <c r="S135" s="828">
        <v>4.7</v>
      </c>
      <c r="T135" s="828">
        <v>4.7</v>
      </c>
      <c r="U135" s="828">
        <v>4.7</v>
      </c>
      <c r="V135" s="828">
        <v>4.7</v>
      </c>
      <c r="W135" s="828">
        <v>4.7</v>
      </c>
      <c r="X135" s="828">
        <v>4.7</v>
      </c>
      <c r="Y135" s="828">
        <v>4.7</v>
      </c>
      <c r="Z135" s="736">
        <v>0</v>
      </c>
      <c r="AA135" s="738">
        <v>0</v>
      </c>
      <c r="AB135" s="703">
        <v>0.25</v>
      </c>
      <c r="AC135" s="703">
        <v>0.25</v>
      </c>
      <c r="AD135" s="738">
        <v>0.78</v>
      </c>
      <c r="AE135" s="817">
        <v>0.35000000000000053</v>
      </c>
      <c r="AF135" s="817">
        <v>0.35000000000000053</v>
      </c>
      <c r="AG135" s="817">
        <v>0.35000000000000053</v>
      </c>
      <c r="AH135" s="817">
        <v>0.35000000000000053</v>
      </c>
      <c r="AI135" s="817">
        <v>0.35000000000000053</v>
      </c>
      <c r="AJ135" s="817">
        <v>0.35000000000000053</v>
      </c>
      <c r="AK135" s="817">
        <v>0.35000000000000053</v>
      </c>
      <c r="AL135" s="679">
        <v>0</v>
      </c>
      <c r="AM135" s="680">
        <f t="shared" si="98"/>
        <v>0</v>
      </c>
      <c r="AN135" s="571">
        <v>0</v>
      </c>
      <c r="AO135" s="680">
        <f t="shared" si="99"/>
        <v>0</v>
      </c>
      <c r="AP135" s="571">
        <v>0</v>
      </c>
      <c r="AQ135" s="692">
        <f t="shared" si="100"/>
        <v>0</v>
      </c>
      <c r="AR135" s="679">
        <v>96</v>
      </c>
      <c r="AS135" s="680">
        <f t="shared" si="101"/>
        <v>24</v>
      </c>
      <c r="AT135" s="571">
        <v>60</v>
      </c>
      <c r="AU135" s="680">
        <f t="shared" si="102"/>
        <v>46.800000000000004</v>
      </c>
      <c r="AV135" s="368">
        <v>300</v>
      </c>
      <c r="AW135" s="668">
        <f t="shared" si="103"/>
        <v>105.00000000000016</v>
      </c>
      <c r="AX135" s="681">
        <v>300</v>
      </c>
      <c r="AY135" s="667">
        <f t="shared" si="104"/>
        <v>105.00000000000016</v>
      </c>
      <c r="AZ135" s="368">
        <v>300</v>
      </c>
      <c r="BA135" s="667">
        <f t="shared" si="105"/>
        <v>105.00000000000016</v>
      </c>
      <c r="BB135" s="368">
        <v>300</v>
      </c>
      <c r="BC135" s="668">
        <f t="shared" si="106"/>
        <v>105.00000000000016</v>
      </c>
      <c r="BD135" s="681">
        <v>300</v>
      </c>
      <c r="BE135" s="667">
        <f t="shared" si="107"/>
        <v>105.00000000000016</v>
      </c>
      <c r="BF135" s="368">
        <v>300</v>
      </c>
      <c r="BG135" s="667">
        <f t="shared" si="108"/>
        <v>105.00000000000016</v>
      </c>
      <c r="BH135" s="368">
        <v>300</v>
      </c>
      <c r="BI135" s="669">
        <f t="shared" si="109"/>
        <v>105.00000000000016</v>
      </c>
      <c r="BJ135" s="682" t="s">
        <v>618</v>
      </c>
      <c r="BK135" s="683"/>
      <c r="BL135" s="684" t="s">
        <v>202</v>
      </c>
      <c r="BM135" s="684" t="s">
        <v>716</v>
      </c>
    </row>
    <row r="136" spans="1:65" s="450" customFormat="1" ht="17" customHeight="1">
      <c r="A136" s="765" t="s">
        <v>383</v>
      </c>
      <c r="B136" s="766" t="s">
        <v>611</v>
      </c>
      <c r="C136" s="261" t="s">
        <v>30</v>
      </c>
      <c r="D136" s="1017"/>
      <c r="E136" s="1017"/>
      <c r="F136" s="1001"/>
      <c r="G136" s="760" t="s">
        <v>612</v>
      </c>
      <c r="H136" s="858" t="s">
        <v>617</v>
      </c>
      <c r="I136" s="257" t="s">
        <v>148</v>
      </c>
      <c r="J136" s="756" t="s">
        <v>198</v>
      </c>
      <c r="K136" s="972" t="s">
        <v>714</v>
      </c>
      <c r="L136" s="57" t="s">
        <v>154</v>
      </c>
      <c r="M136" s="169" t="s">
        <v>358</v>
      </c>
      <c r="N136" s="740">
        <v>0</v>
      </c>
      <c r="O136" s="742">
        <v>0</v>
      </c>
      <c r="P136" s="702">
        <v>4.17</v>
      </c>
      <c r="Q136" s="702">
        <v>4.17</v>
      </c>
      <c r="R136" s="828">
        <v>4.7</v>
      </c>
      <c r="S136" s="828">
        <v>4.7</v>
      </c>
      <c r="T136" s="828">
        <v>4.7</v>
      </c>
      <c r="U136" s="828">
        <v>4.7</v>
      </c>
      <c r="V136" s="828">
        <v>4.7</v>
      </c>
      <c r="W136" s="828">
        <v>4.7</v>
      </c>
      <c r="X136" s="828">
        <v>4.7</v>
      </c>
      <c r="Y136" s="828">
        <v>4.7</v>
      </c>
      <c r="Z136" s="736">
        <v>0</v>
      </c>
      <c r="AA136" s="738">
        <v>0</v>
      </c>
      <c r="AB136" s="703">
        <v>0.25</v>
      </c>
      <c r="AC136" s="703">
        <v>0.25</v>
      </c>
      <c r="AD136" s="738">
        <v>0.78</v>
      </c>
      <c r="AE136" s="817">
        <v>0.35000000000000053</v>
      </c>
      <c r="AF136" s="817">
        <v>0.35000000000000053</v>
      </c>
      <c r="AG136" s="817">
        <v>0.35000000000000053</v>
      </c>
      <c r="AH136" s="817">
        <v>0.35000000000000053</v>
      </c>
      <c r="AI136" s="817">
        <v>0.35000000000000053</v>
      </c>
      <c r="AJ136" s="817">
        <v>0.35000000000000053</v>
      </c>
      <c r="AK136" s="817">
        <v>0.35000000000000053</v>
      </c>
      <c r="AL136" s="679">
        <v>0</v>
      </c>
      <c r="AM136" s="680">
        <f t="shared" si="98"/>
        <v>0</v>
      </c>
      <c r="AN136" s="571">
        <v>0</v>
      </c>
      <c r="AO136" s="680">
        <f t="shared" si="99"/>
        <v>0</v>
      </c>
      <c r="AP136" s="571">
        <v>0</v>
      </c>
      <c r="AQ136" s="692">
        <f t="shared" si="100"/>
        <v>0</v>
      </c>
      <c r="AR136" s="679">
        <v>0</v>
      </c>
      <c r="AS136" s="680">
        <f t="shared" si="101"/>
        <v>0</v>
      </c>
      <c r="AT136" s="571">
        <v>0</v>
      </c>
      <c r="AU136" s="680">
        <f t="shared" si="102"/>
        <v>0</v>
      </c>
      <c r="AV136" s="368">
        <v>300</v>
      </c>
      <c r="AW136" s="668">
        <f t="shared" si="103"/>
        <v>105.00000000000016</v>
      </c>
      <c r="AX136" s="681">
        <v>300</v>
      </c>
      <c r="AY136" s="667">
        <f t="shared" si="104"/>
        <v>105.00000000000016</v>
      </c>
      <c r="AZ136" s="368">
        <v>300</v>
      </c>
      <c r="BA136" s="667">
        <f t="shared" si="105"/>
        <v>105.00000000000016</v>
      </c>
      <c r="BB136" s="368">
        <v>300</v>
      </c>
      <c r="BC136" s="668">
        <f t="shared" si="106"/>
        <v>105.00000000000016</v>
      </c>
      <c r="BD136" s="681">
        <v>300</v>
      </c>
      <c r="BE136" s="667">
        <f t="shared" si="107"/>
        <v>105.00000000000016</v>
      </c>
      <c r="BF136" s="368">
        <v>300</v>
      </c>
      <c r="BG136" s="667">
        <f t="shared" si="108"/>
        <v>105.00000000000016</v>
      </c>
      <c r="BH136" s="368">
        <v>300</v>
      </c>
      <c r="BI136" s="669">
        <f t="shared" si="109"/>
        <v>105.00000000000016</v>
      </c>
      <c r="BJ136" s="682" t="s">
        <v>618</v>
      </c>
      <c r="BK136" s="683"/>
      <c r="BL136" s="684" t="s">
        <v>202</v>
      </c>
      <c r="BM136" s="684" t="s">
        <v>619</v>
      </c>
    </row>
    <row r="137" spans="1:65" s="450" customFormat="1" ht="17" customHeight="1">
      <c r="A137" s="765" t="s">
        <v>383</v>
      </c>
      <c r="B137" s="766" t="s">
        <v>611</v>
      </c>
      <c r="C137" s="261" t="s">
        <v>30</v>
      </c>
      <c r="D137" s="1017"/>
      <c r="E137" s="1017"/>
      <c r="F137" s="1001"/>
      <c r="G137" s="760" t="s">
        <v>612</v>
      </c>
      <c r="H137" s="858" t="s">
        <v>617</v>
      </c>
      <c r="I137" s="257" t="s">
        <v>148</v>
      </c>
      <c r="J137" s="756" t="s">
        <v>198</v>
      </c>
      <c r="K137" s="972" t="s">
        <v>714</v>
      </c>
      <c r="L137" s="972" t="s">
        <v>200</v>
      </c>
      <c r="M137" s="169" t="s">
        <v>348</v>
      </c>
      <c r="N137" s="740">
        <v>0</v>
      </c>
      <c r="O137" s="742">
        <v>0</v>
      </c>
      <c r="P137" s="702">
        <v>4.17</v>
      </c>
      <c r="Q137" s="702">
        <v>4.17</v>
      </c>
      <c r="R137" s="828">
        <v>4.7</v>
      </c>
      <c r="S137" s="828">
        <v>4.7</v>
      </c>
      <c r="T137" s="828">
        <v>4.7</v>
      </c>
      <c r="U137" s="828">
        <v>4.7</v>
      </c>
      <c r="V137" s="828">
        <v>4.7</v>
      </c>
      <c r="W137" s="828">
        <v>4.7</v>
      </c>
      <c r="X137" s="828">
        <v>4.7</v>
      </c>
      <c r="Y137" s="828">
        <v>4.7</v>
      </c>
      <c r="Z137" s="736">
        <v>0</v>
      </c>
      <c r="AA137" s="738">
        <v>0</v>
      </c>
      <c r="AB137" s="703">
        <v>0.25</v>
      </c>
      <c r="AC137" s="703">
        <v>0.25</v>
      </c>
      <c r="AD137" s="738">
        <v>0.78</v>
      </c>
      <c r="AE137" s="817">
        <v>0.35000000000000053</v>
      </c>
      <c r="AF137" s="817">
        <v>0.35000000000000053</v>
      </c>
      <c r="AG137" s="817">
        <v>0.35000000000000053</v>
      </c>
      <c r="AH137" s="817">
        <v>0.35000000000000053</v>
      </c>
      <c r="AI137" s="817">
        <v>0.35000000000000053</v>
      </c>
      <c r="AJ137" s="817">
        <v>0.35000000000000053</v>
      </c>
      <c r="AK137" s="817">
        <v>0.35000000000000053</v>
      </c>
      <c r="AL137" s="679">
        <v>0</v>
      </c>
      <c r="AM137" s="680">
        <f t="shared" si="98"/>
        <v>0</v>
      </c>
      <c r="AN137" s="571">
        <v>0</v>
      </c>
      <c r="AO137" s="680">
        <f t="shared" si="99"/>
        <v>0</v>
      </c>
      <c r="AP137" s="571">
        <v>0</v>
      </c>
      <c r="AQ137" s="692">
        <f t="shared" si="100"/>
        <v>0</v>
      </c>
      <c r="AR137" s="679">
        <v>0</v>
      </c>
      <c r="AS137" s="680">
        <f t="shared" si="101"/>
        <v>0</v>
      </c>
      <c r="AT137" s="571">
        <v>12</v>
      </c>
      <c r="AU137" s="680">
        <f t="shared" si="102"/>
        <v>9.36</v>
      </c>
      <c r="AV137" s="368">
        <v>300</v>
      </c>
      <c r="AW137" s="973">
        <f t="shared" si="103"/>
        <v>105.00000000000016</v>
      </c>
      <c r="AX137" s="681">
        <v>300</v>
      </c>
      <c r="AY137" s="667">
        <f t="shared" si="104"/>
        <v>105.00000000000016</v>
      </c>
      <c r="AZ137" s="368">
        <v>300</v>
      </c>
      <c r="BA137" s="667">
        <f t="shared" si="105"/>
        <v>105.00000000000016</v>
      </c>
      <c r="BB137" s="368">
        <v>300</v>
      </c>
      <c r="BC137" s="668">
        <f t="shared" si="106"/>
        <v>105.00000000000016</v>
      </c>
      <c r="BD137" s="681">
        <v>300</v>
      </c>
      <c r="BE137" s="667">
        <f t="shared" si="107"/>
        <v>105.00000000000016</v>
      </c>
      <c r="BF137" s="368">
        <v>300</v>
      </c>
      <c r="BG137" s="667">
        <f t="shared" si="108"/>
        <v>105.00000000000016</v>
      </c>
      <c r="BH137" s="368">
        <v>300</v>
      </c>
      <c r="BI137" s="669">
        <f t="shared" si="109"/>
        <v>105.00000000000016</v>
      </c>
      <c r="BJ137" s="682" t="s">
        <v>618</v>
      </c>
      <c r="BK137" s="683"/>
      <c r="BL137" s="684" t="s">
        <v>202</v>
      </c>
      <c r="BM137" s="684" t="s">
        <v>619</v>
      </c>
    </row>
    <row r="138" spans="1:65" s="450" customFormat="1" ht="17" customHeight="1">
      <c r="A138" s="974" t="s">
        <v>383</v>
      </c>
      <c r="B138" s="975" t="s">
        <v>611</v>
      </c>
      <c r="C138" s="450" t="s">
        <v>30</v>
      </c>
      <c r="D138" s="1017"/>
      <c r="E138" s="1017"/>
      <c r="F138" s="1001"/>
      <c r="G138" s="976" t="s">
        <v>612</v>
      </c>
      <c r="H138" s="977" t="s">
        <v>617</v>
      </c>
      <c r="I138" s="978" t="s">
        <v>148</v>
      </c>
      <c r="J138" s="979" t="s">
        <v>198</v>
      </c>
      <c r="K138" s="972" t="s">
        <v>714</v>
      </c>
      <c r="L138" s="972" t="s">
        <v>200</v>
      </c>
      <c r="M138" s="980" t="s">
        <v>360</v>
      </c>
      <c r="N138" s="981">
        <v>0</v>
      </c>
      <c r="O138" s="982">
        <v>0</v>
      </c>
      <c r="P138" s="983">
        <v>4.17</v>
      </c>
      <c r="Q138" s="983">
        <v>4.17</v>
      </c>
      <c r="R138" s="984">
        <v>4.8500000000000005</v>
      </c>
      <c r="S138" s="984">
        <v>4.8500000000000005</v>
      </c>
      <c r="T138" s="984">
        <v>4.8500000000000005</v>
      </c>
      <c r="U138" s="984">
        <v>4.8500000000000005</v>
      </c>
      <c r="V138" s="984">
        <v>4.8500000000000005</v>
      </c>
      <c r="W138" s="984">
        <v>4.8500000000000005</v>
      </c>
      <c r="X138" s="984">
        <v>4.8500000000000005</v>
      </c>
      <c r="Y138" s="984">
        <v>4.8500000000000005</v>
      </c>
      <c r="Z138" s="985">
        <v>0</v>
      </c>
      <c r="AA138" s="986">
        <v>0</v>
      </c>
      <c r="AB138" s="986">
        <v>0.25</v>
      </c>
      <c r="AC138" s="986">
        <v>0.25</v>
      </c>
      <c r="AD138" s="986">
        <v>0.78</v>
      </c>
      <c r="AE138" s="987">
        <v>0.35000000000000053</v>
      </c>
      <c r="AF138" s="987">
        <v>0.35000000000000053</v>
      </c>
      <c r="AG138" s="987">
        <v>0.35000000000000053</v>
      </c>
      <c r="AH138" s="987">
        <v>0.35000000000000053</v>
      </c>
      <c r="AI138" s="987">
        <v>0.35000000000000053</v>
      </c>
      <c r="AJ138" s="987">
        <v>0.35000000000000053</v>
      </c>
      <c r="AK138" s="987">
        <v>0.35000000000000053</v>
      </c>
      <c r="AL138" s="988">
        <v>0</v>
      </c>
      <c r="AM138" s="970">
        <f t="shared" si="98"/>
        <v>0</v>
      </c>
      <c r="AN138" s="967">
        <v>0</v>
      </c>
      <c r="AO138" s="970">
        <f t="shared" si="99"/>
        <v>0</v>
      </c>
      <c r="AP138" s="967">
        <v>0</v>
      </c>
      <c r="AQ138" s="989">
        <f t="shared" si="100"/>
        <v>0</v>
      </c>
      <c r="AR138" s="679">
        <v>0</v>
      </c>
      <c r="AS138" s="680">
        <f t="shared" si="101"/>
        <v>0</v>
      </c>
      <c r="AT138" s="571">
        <v>720</v>
      </c>
      <c r="AU138" s="680">
        <f t="shared" si="102"/>
        <v>561.6</v>
      </c>
      <c r="AV138" s="368">
        <v>4320</v>
      </c>
      <c r="AW138" s="668">
        <f t="shared" si="103"/>
        <v>1512.0000000000023</v>
      </c>
      <c r="AX138" s="681">
        <v>300</v>
      </c>
      <c r="AY138" s="667">
        <f t="shared" si="104"/>
        <v>105.00000000000016</v>
      </c>
      <c r="AZ138" s="368">
        <v>300</v>
      </c>
      <c r="BA138" s="667">
        <f t="shared" si="105"/>
        <v>105.00000000000016</v>
      </c>
      <c r="BB138" s="368">
        <v>300</v>
      </c>
      <c r="BC138" s="668">
        <f t="shared" si="106"/>
        <v>105.00000000000016</v>
      </c>
      <c r="BD138" s="681">
        <v>300</v>
      </c>
      <c r="BE138" s="667">
        <f t="shared" si="107"/>
        <v>105.00000000000016</v>
      </c>
      <c r="BF138" s="368">
        <v>300</v>
      </c>
      <c r="BG138" s="667">
        <f t="shared" si="108"/>
        <v>105.00000000000016</v>
      </c>
      <c r="BH138" s="368">
        <v>300</v>
      </c>
      <c r="BI138" s="669">
        <f t="shared" si="109"/>
        <v>105.00000000000016</v>
      </c>
      <c r="BJ138" s="682" t="s">
        <v>618</v>
      </c>
      <c r="BK138" s="683"/>
      <c r="BL138" s="334" t="s">
        <v>201</v>
      </c>
      <c r="BM138" s="684" t="s">
        <v>619</v>
      </c>
    </row>
    <row r="139" spans="1:65" s="450" customFormat="1" ht="17" customHeight="1">
      <c r="A139" s="765" t="s">
        <v>383</v>
      </c>
      <c r="B139" s="766" t="s">
        <v>611</v>
      </c>
      <c r="C139" s="261" t="s">
        <v>30</v>
      </c>
      <c r="D139" s="1017"/>
      <c r="E139" s="1017"/>
      <c r="F139" s="1001"/>
      <c r="G139" s="760" t="s">
        <v>612</v>
      </c>
      <c r="H139" s="858" t="s">
        <v>620</v>
      </c>
      <c r="I139" s="257" t="s">
        <v>148</v>
      </c>
      <c r="J139" s="756" t="s">
        <v>198</v>
      </c>
      <c r="K139" s="972" t="s">
        <v>714</v>
      </c>
      <c r="L139" s="972" t="s">
        <v>200</v>
      </c>
      <c r="M139" s="169" t="s">
        <v>348</v>
      </c>
      <c r="N139" s="740">
        <v>0</v>
      </c>
      <c r="O139" s="742">
        <v>0</v>
      </c>
      <c r="P139" s="702">
        <v>4.4000000000000004</v>
      </c>
      <c r="Q139" s="702">
        <v>4.4000000000000004</v>
      </c>
      <c r="R139" s="828">
        <v>4.8000000000000007</v>
      </c>
      <c r="S139" s="828">
        <v>4.8000000000000007</v>
      </c>
      <c r="T139" s="828">
        <v>4.8000000000000007</v>
      </c>
      <c r="U139" s="828">
        <v>4.8000000000000007</v>
      </c>
      <c r="V139" s="828">
        <v>4.8000000000000007</v>
      </c>
      <c r="W139" s="828">
        <v>4.8000000000000007</v>
      </c>
      <c r="X139" s="828">
        <v>4.8000000000000007</v>
      </c>
      <c r="Y139" s="828">
        <v>4.8000000000000007</v>
      </c>
      <c r="Z139" s="736">
        <v>0</v>
      </c>
      <c r="AA139" s="738">
        <v>0</v>
      </c>
      <c r="AB139" s="703">
        <v>0.1800000000000006</v>
      </c>
      <c r="AC139" s="703">
        <v>0.1800000000000006</v>
      </c>
      <c r="AD139" s="738">
        <v>0.57999999999999996</v>
      </c>
      <c r="AE139" s="817">
        <v>0.15000000000000036</v>
      </c>
      <c r="AF139" s="817">
        <v>0.15000000000000036</v>
      </c>
      <c r="AG139" s="817">
        <v>0.15000000000000036</v>
      </c>
      <c r="AH139" s="817">
        <v>0.15000000000000036</v>
      </c>
      <c r="AI139" s="817">
        <v>0.15000000000000036</v>
      </c>
      <c r="AJ139" s="817">
        <v>0.15000000000000036</v>
      </c>
      <c r="AK139" s="817">
        <v>0.15000000000000036</v>
      </c>
      <c r="AL139" s="679">
        <v>0</v>
      </c>
      <c r="AM139" s="680">
        <f>Z139*AL139</f>
        <v>0</v>
      </c>
      <c r="AN139" s="571">
        <v>0</v>
      </c>
      <c r="AO139" s="680">
        <f>AA139*AN139</f>
        <v>0</v>
      </c>
      <c r="AP139" s="571">
        <v>0</v>
      </c>
      <c r="AQ139" s="692">
        <f>AB139*AP139</f>
        <v>0</v>
      </c>
      <c r="AR139" s="679">
        <v>0</v>
      </c>
      <c r="AS139" s="680">
        <f>AC139*AR139</f>
        <v>0</v>
      </c>
      <c r="AT139" s="571">
        <v>0</v>
      </c>
      <c r="AU139" s="680">
        <f>AD139*AT139</f>
        <v>0</v>
      </c>
      <c r="AV139" s="368">
        <v>100</v>
      </c>
      <c r="AW139" s="973">
        <f>AE139*AV139</f>
        <v>15.000000000000036</v>
      </c>
      <c r="AX139" s="368">
        <v>100</v>
      </c>
      <c r="AY139" s="667">
        <f>AF139*AX139</f>
        <v>15.000000000000036</v>
      </c>
      <c r="AZ139" s="368">
        <v>100</v>
      </c>
      <c r="BA139" s="667">
        <f>AG139*AZ139</f>
        <v>15.000000000000036</v>
      </c>
      <c r="BB139" s="368">
        <v>100</v>
      </c>
      <c r="BC139" s="668">
        <f>AH139*BB139</f>
        <v>15.000000000000036</v>
      </c>
      <c r="BD139" s="368">
        <v>100</v>
      </c>
      <c r="BE139" s="667">
        <f>AI139*BD139</f>
        <v>15.000000000000036</v>
      </c>
      <c r="BF139" s="368">
        <v>100</v>
      </c>
      <c r="BG139" s="667">
        <f>AJ139*BF139</f>
        <v>15.000000000000036</v>
      </c>
      <c r="BH139" s="368">
        <v>100</v>
      </c>
      <c r="BI139" s="669">
        <f>AK139*BH139</f>
        <v>15.000000000000036</v>
      </c>
      <c r="BJ139" s="682" t="s">
        <v>621</v>
      </c>
      <c r="BK139" s="683"/>
      <c r="BL139" s="684" t="s">
        <v>202</v>
      </c>
      <c r="BM139" s="684" t="s">
        <v>676</v>
      </c>
    </row>
    <row r="140" spans="1:65" s="450" customFormat="1" ht="17" customHeight="1">
      <c r="A140" s="765" t="s">
        <v>383</v>
      </c>
      <c r="B140" s="766" t="s">
        <v>611</v>
      </c>
      <c r="C140" s="261" t="s">
        <v>30</v>
      </c>
      <c r="D140" s="1017"/>
      <c r="E140" s="1017"/>
      <c r="F140" s="1001"/>
      <c r="G140" s="760" t="s">
        <v>612</v>
      </c>
      <c r="H140" s="858" t="s">
        <v>622</v>
      </c>
      <c r="I140" s="257" t="s">
        <v>204</v>
      </c>
      <c r="J140" s="756" t="s">
        <v>198</v>
      </c>
      <c r="K140" s="972" t="s">
        <v>714</v>
      </c>
      <c r="L140" s="972" t="s">
        <v>150</v>
      </c>
      <c r="M140" s="169" t="s">
        <v>350</v>
      </c>
      <c r="N140" s="740">
        <v>0</v>
      </c>
      <c r="O140" s="742">
        <v>0</v>
      </c>
      <c r="P140" s="702">
        <v>1.85</v>
      </c>
      <c r="Q140" s="702">
        <v>1.85</v>
      </c>
      <c r="R140" s="828">
        <v>1.85</v>
      </c>
      <c r="S140" s="828">
        <v>1.85</v>
      </c>
      <c r="T140" s="828">
        <v>1.85</v>
      </c>
      <c r="U140" s="828">
        <v>1.85</v>
      </c>
      <c r="V140" s="828">
        <v>1.85</v>
      </c>
      <c r="W140" s="828">
        <v>1.85</v>
      </c>
      <c r="X140" s="828">
        <v>1.85</v>
      </c>
      <c r="Y140" s="829">
        <v>1.85</v>
      </c>
      <c r="Z140" s="736">
        <v>0</v>
      </c>
      <c r="AA140" s="738">
        <v>0</v>
      </c>
      <c r="AB140" s="703">
        <v>0</v>
      </c>
      <c r="AC140" s="703">
        <v>0</v>
      </c>
      <c r="AD140" s="703">
        <v>0</v>
      </c>
      <c r="AE140" s="703">
        <v>0</v>
      </c>
      <c r="AF140" s="703">
        <v>0</v>
      </c>
      <c r="AG140" s="703">
        <v>0</v>
      </c>
      <c r="AH140" s="703">
        <v>0</v>
      </c>
      <c r="AI140" s="703">
        <v>0</v>
      </c>
      <c r="AJ140" s="703">
        <v>0</v>
      </c>
      <c r="AK140" s="704">
        <v>0</v>
      </c>
      <c r="AL140" s="679">
        <v>0</v>
      </c>
      <c r="AM140" s="680">
        <f t="shared" ref="AM140:AM143" si="115">Z140*AL140</f>
        <v>0</v>
      </c>
      <c r="AN140" s="571">
        <v>0</v>
      </c>
      <c r="AO140" s="680">
        <f t="shared" ref="AO140:AO143" si="116">AA140*AN140</f>
        <v>0</v>
      </c>
      <c r="AP140" s="571">
        <v>0</v>
      </c>
      <c r="AQ140" s="692">
        <f t="shared" ref="AQ140:AQ143" si="117">AB140*AP140</f>
        <v>0</v>
      </c>
      <c r="AR140" s="679">
        <v>96</v>
      </c>
      <c r="AS140" s="680">
        <f t="shared" ref="AS140:AS143" si="118">AC140*AR140</f>
        <v>0</v>
      </c>
      <c r="AT140" s="571">
        <v>96</v>
      </c>
      <c r="AU140" s="680">
        <f t="shared" ref="AU140:AU143" si="119">AD140*AT140</f>
        <v>0</v>
      </c>
      <c r="AV140" s="368">
        <v>100</v>
      </c>
      <c r="AW140" s="668">
        <f t="shared" ref="AW140:AW143" si="120">AE140*AV140</f>
        <v>0</v>
      </c>
      <c r="AX140" s="368">
        <v>100</v>
      </c>
      <c r="AY140" s="667">
        <f t="shared" ref="AY140:AY143" si="121">AF140*AX140</f>
        <v>0</v>
      </c>
      <c r="AZ140" s="368">
        <v>100</v>
      </c>
      <c r="BA140" s="667">
        <f t="shared" ref="BA140:BA143" si="122">AG140*AZ140</f>
        <v>0</v>
      </c>
      <c r="BB140" s="368">
        <v>100</v>
      </c>
      <c r="BC140" s="668">
        <f t="shared" ref="BC140:BC143" si="123">AH140*BB140</f>
        <v>0</v>
      </c>
      <c r="BD140" s="368">
        <v>100</v>
      </c>
      <c r="BE140" s="667">
        <f t="shared" ref="BE140:BE143" si="124">AI140*BD140</f>
        <v>0</v>
      </c>
      <c r="BF140" s="368">
        <v>100</v>
      </c>
      <c r="BG140" s="667">
        <f t="shared" ref="BG140:BG143" si="125">AJ140*BF140</f>
        <v>0</v>
      </c>
      <c r="BH140" s="368">
        <v>100</v>
      </c>
      <c r="BI140" s="669">
        <f t="shared" ref="BI140:BI143" si="126">AK140*BH140</f>
        <v>0</v>
      </c>
      <c r="BJ140" s="682" t="s">
        <v>623</v>
      </c>
      <c r="BK140" s="683"/>
      <c r="BL140" s="684" t="s">
        <v>202</v>
      </c>
      <c r="BM140" s="684" t="s">
        <v>677</v>
      </c>
    </row>
    <row r="141" spans="1:65" s="450" customFormat="1" ht="17" customHeight="1">
      <c r="A141" s="765" t="s">
        <v>383</v>
      </c>
      <c r="B141" s="766" t="s">
        <v>611</v>
      </c>
      <c r="C141" s="261" t="s">
        <v>30</v>
      </c>
      <c r="D141" s="1017"/>
      <c r="E141" s="1017"/>
      <c r="F141" s="1001"/>
      <c r="G141" s="760" t="s">
        <v>612</v>
      </c>
      <c r="H141" s="858" t="s">
        <v>622</v>
      </c>
      <c r="I141" s="257" t="s">
        <v>204</v>
      </c>
      <c r="J141" s="756" t="s">
        <v>198</v>
      </c>
      <c r="K141" s="972" t="s">
        <v>714</v>
      </c>
      <c r="L141" s="972" t="s">
        <v>150</v>
      </c>
      <c r="M141" s="169" t="s">
        <v>358</v>
      </c>
      <c r="N141" s="740">
        <v>0</v>
      </c>
      <c r="O141" s="742">
        <v>0</v>
      </c>
      <c r="P141" s="702">
        <v>1.85</v>
      </c>
      <c r="Q141" s="702">
        <v>1.85</v>
      </c>
      <c r="R141" s="828">
        <v>1.85</v>
      </c>
      <c r="S141" s="828">
        <v>1.85</v>
      </c>
      <c r="T141" s="828">
        <v>1.85</v>
      </c>
      <c r="U141" s="828">
        <v>1.85</v>
      </c>
      <c r="V141" s="828">
        <v>1.85</v>
      </c>
      <c r="W141" s="828">
        <v>1.85</v>
      </c>
      <c r="X141" s="828">
        <v>1.85</v>
      </c>
      <c r="Y141" s="829">
        <v>1.85</v>
      </c>
      <c r="Z141" s="736">
        <v>0</v>
      </c>
      <c r="AA141" s="738">
        <v>0</v>
      </c>
      <c r="AB141" s="703">
        <v>0</v>
      </c>
      <c r="AC141" s="703">
        <v>0</v>
      </c>
      <c r="AD141" s="703">
        <v>0</v>
      </c>
      <c r="AE141" s="703">
        <v>0</v>
      </c>
      <c r="AF141" s="703">
        <v>0</v>
      </c>
      <c r="AG141" s="703">
        <v>0</v>
      </c>
      <c r="AH141" s="703">
        <v>0</v>
      </c>
      <c r="AI141" s="703">
        <v>0</v>
      </c>
      <c r="AJ141" s="703">
        <v>0</v>
      </c>
      <c r="AK141" s="704">
        <v>0</v>
      </c>
      <c r="AL141" s="679">
        <v>0</v>
      </c>
      <c r="AM141" s="680">
        <f t="shared" si="115"/>
        <v>0</v>
      </c>
      <c r="AN141" s="571">
        <v>0</v>
      </c>
      <c r="AO141" s="680">
        <f t="shared" si="116"/>
        <v>0</v>
      </c>
      <c r="AP141" s="571">
        <v>0</v>
      </c>
      <c r="AQ141" s="692">
        <f t="shared" si="117"/>
        <v>0</v>
      </c>
      <c r="AR141" s="679">
        <v>0</v>
      </c>
      <c r="AS141" s="680">
        <f t="shared" si="118"/>
        <v>0</v>
      </c>
      <c r="AT141" s="571">
        <v>0</v>
      </c>
      <c r="AU141" s="680">
        <f t="shared" si="119"/>
        <v>0</v>
      </c>
      <c r="AV141" s="368">
        <v>100</v>
      </c>
      <c r="AW141" s="668">
        <f t="shared" si="120"/>
        <v>0</v>
      </c>
      <c r="AX141" s="368">
        <v>100</v>
      </c>
      <c r="AY141" s="667">
        <f t="shared" si="121"/>
        <v>0</v>
      </c>
      <c r="AZ141" s="368">
        <v>100</v>
      </c>
      <c r="BA141" s="667">
        <f t="shared" si="122"/>
        <v>0</v>
      </c>
      <c r="BB141" s="368">
        <v>100</v>
      </c>
      <c r="BC141" s="668">
        <f t="shared" si="123"/>
        <v>0</v>
      </c>
      <c r="BD141" s="368">
        <v>100</v>
      </c>
      <c r="BE141" s="667">
        <f t="shared" si="124"/>
        <v>0</v>
      </c>
      <c r="BF141" s="368">
        <v>100</v>
      </c>
      <c r="BG141" s="667">
        <f t="shared" si="125"/>
        <v>0</v>
      </c>
      <c r="BH141" s="368">
        <v>100</v>
      </c>
      <c r="BI141" s="669">
        <f t="shared" si="126"/>
        <v>0</v>
      </c>
      <c r="BJ141" s="682" t="s">
        <v>623</v>
      </c>
      <c r="BK141" s="683"/>
      <c r="BL141" s="684" t="s">
        <v>202</v>
      </c>
      <c r="BM141" s="684" t="s">
        <v>624</v>
      </c>
    </row>
    <row r="142" spans="1:65" s="450" customFormat="1" ht="17" customHeight="1">
      <c r="A142" s="765" t="s">
        <v>383</v>
      </c>
      <c r="B142" s="766" t="s">
        <v>611</v>
      </c>
      <c r="C142" s="261" t="s">
        <v>30</v>
      </c>
      <c r="D142" s="1017"/>
      <c r="E142" s="1017"/>
      <c r="F142" s="1001"/>
      <c r="G142" s="760" t="s">
        <v>612</v>
      </c>
      <c r="H142" s="858" t="s">
        <v>622</v>
      </c>
      <c r="I142" s="257" t="s">
        <v>204</v>
      </c>
      <c r="J142" s="756" t="s">
        <v>198</v>
      </c>
      <c r="K142" s="972" t="s">
        <v>714</v>
      </c>
      <c r="L142" s="972" t="s">
        <v>150</v>
      </c>
      <c r="M142" s="169" t="s">
        <v>348</v>
      </c>
      <c r="N142" s="740">
        <v>0</v>
      </c>
      <c r="O142" s="742">
        <v>0</v>
      </c>
      <c r="P142" s="702">
        <v>1.85</v>
      </c>
      <c r="Q142" s="702">
        <v>1.85</v>
      </c>
      <c r="R142" s="828">
        <v>1.85</v>
      </c>
      <c r="S142" s="828">
        <v>1.85</v>
      </c>
      <c r="T142" s="828">
        <v>1.85</v>
      </c>
      <c r="U142" s="828">
        <v>1.85</v>
      </c>
      <c r="V142" s="828">
        <v>1.85</v>
      </c>
      <c r="W142" s="828">
        <v>1.85</v>
      </c>
      <c r="X142" s="828">
        <v>1.85</v>
      </c>
      <c r="Y142" s="829">
        <v>1.85</v>
      </c>
      <c r="Z142" s="736">
        <v>0</v>
      </c>
      <c r="AA142" s="738">
        <v>0</v>
      </c>
      <c r="AB142" s="703">
        <v>0</v>
      </c>
      <c r="AC142" s="703">
        <v>0</v>
      </c>
      <c r="AD142" s="703">
        <v>0</v>
      </c>
      <c r="AE142" s="703">
        <v>0</v>
      </c>
      <c r="AF142" s="703">
        <v>0</v>
      </c>
      <c r="AG142" s="703">
        <v>0</v>
      </c>
      <c r="AH142" s="703">
        <v>0</v>
      </c>
      <c r="AI142" s="703">
        <v>0</v>
      </c>
      <c r="AJ142" s="703">
        <v>0</v>
      </c>
      <c r="AK142" s="704">
        <v>0</v>
      </c>
      <c r="AL142" s="679">
        <v>0</v>
      </c>
      <c r="AM142" s="680">
        <f t="shared" si="115"/>
        <v>0</v>
      </c>
      <c r="AN142" s="571">
        <v>0</v>
      </c>
      <c r="AO142" s="680">
        <f t="shared" si="116"/>
        <v>0</v>
      </c>
      <c r="AP142" s="571">
        <v>0</v>
      </c>
      <c r="AQ142" s="692">
        <f t="shared" si="117"/>
        <v>0</v>
      </c>
      <c r="AR142" s="679">
        <v>0</v>
      </c>
      <c r="AS142" s="680">
        <f t="shared" si="118"/>
        <v>0</v>
      </c>
      <c r="AT142" s="571">
        <v>0</v>
      </c>
      <c r="AU142" s="680">
        <f t="shared" si="119"/>
        <v>0</v>
      </c>
      <c r="AV142" s="368">
        <v>100</v>
      </c>
      <c r="AW142" s="668">
        <f t="shared" si="120"/>
        <v>0</v>
      </c>
      <c r="AX142" s="368">
        <v>100</v>
      </c>
      <c r="AY142" s="667">
        <f t="shared" si="121"/>
        <v>0</v>
      </c>
      <c r="AZ142" s="368">
        <v>100</v>
      </c>
      <c r="BA142" s="667">
        <f t="shared" si="122"/>
        <v>0</v>
      </c>
      <c r="BB142" s="368">
        <v>100</v>
      </c>
      <c r="BC142" s="668">
        <f t="shared" si="123"/>
        <v>0</v>
      </c>
      <c r="BD142" s="368">
        <v>100</v>
      </c>
      <c r="BE142" s="667">
        <f t="shared" si="124"/>
        <v>0</v>
      </c>
      <c r="BF142" s="368">
        <v>100</v>
      </c>
      <c r="BG142" s="667">
        <f t="shared" si="125"/>
        <v>0</v>
      </c>
      <c r="BH142" s="368">
        <v>100</v>
      </c>
      <c r="BI142" s="669">
        <f t="shared" si="126"/>
        <v>0</v>
      </c>
      <c r="BJ142" s="682" t="s">
        <v>623</v>
      </c>
      <c r="BK142" s="683"/>
      <c r="BL142" s="684" t="s">
        <v>202</v>
      </c>
      <c r="BM142" s="684" t="s">
        <v>624</v>
      </c>
    </row>
    <row r="143" spans="1:65" ht="15" thickBot="1">
      <c r="A143" s="767" t="s">
        <v>383</v>
      </c>
      <c r="B143" s="405" t="s">
        <v>611</v>
      </c>
      <c r="C143" s="263" t="s">
        <v>30</v>
      </c>
      <c r="D143" s="1018"/>
      <c r="E143" s="1018"/>
      <c r="F143" s="1002"/>
      <c r="G143" s="761" t="s">
        <v>612</v>
      </c>
      <c r="H143" s="861" t="s">
        <v>625</v>
      </c>
      <c r="I143" s="757" t="s">
        <v>204</v>
      </c>
      <c r="J143" s="758" t="s">
        <v>198</v>
      </c>
      <c r="K143" s="613" t="s">
        <v>714</v>
      </c>
      <c r="L143" s="613" t="s">
        <v>150</v>
      </c>
      <c r="M143" s="103" t="s">
        <v>348</v>
      </c>
      <c r="N143" s="741">
        <v>0</v>
      </c>
      <c r="O143" s="743">
        <v>0</v>
      </c>
      <c r="P143" s="705">
        <v>1.96</v>
      </c>
      <c r="Q143" s="705">
        <v>1.96</v>
      </c>
      <c r="R143" s="830">
        <v>1.96</v>
      </c>
      <c r="S143" s="830">
        <v>1.96</v>
      </c>
      <c r="T143" s="830">
        <v>1.96</v>
      </c>
      <c r="U143" s="830">
        <v>1.96</v>
      </c>
      <c r="V143" s="830">
        <v>1.96</v>
      </c>
      <c r="W143" s="830">
        <v>1.96</v>
      </c>
      <c r="X143" s="830">
        <v>1.96</v>
      </c>
      <c r="Y143" s="831">
        <v>1.96</v>
      </c>
      <c r="Z143" s="737">
        <v>0</v>
      </c>
      <c r="AA143" s="739">
        <v>0</v>
      </c>
      <c r="AB143" s="706">
        <v>7.0000000000000062E-2</v>
      </c>
      <c r="AC143" s="706">
        <v>7.0000000000000062E-2</v>
      </c>
      <c r="AD143" s="706">
        <v>7.0000000000000062E-2</v>
      </c>
      <c r="AE143" s="706">
        <v>7.0000000000000062E-2</v>
      </c>
      <c r="AF143" s="706">
        <v>7.0000000000000062E-2</v>
      </c>
      <c r="AG143" s="706">
        <v>7.0000000000000062E-2</v>
      </c>
      <c r="AH143" s="706">
        <v>7.0000000000000062E-2</v>
      </c>
      <c r="AI143" s="706">
        <v>7.0000000000000062E-2</v>
      </c>
      <c r="AJ143" s="706">
        <v>7.0000000000000062E-2</v>
      </c>
      <c r="AK143" s="707">
        <v>7.0000000000000062E-2</v>
      </c>
      <c r="AL143" s="685">
        <v>0</v>
      </c>
      <c r="AM143" s="501">
        <f t="shared" si="115"/>
        <v>0</v>
      </c>
      <c r="AN143" s="686">
        <v>0</v>
      </c>
      <c r="AO143" s="501">
        <f t="shared" si="116"/>
        <v>0</v>
      </c>
      <c r="AP143" s="686">
        <v>0</v>
      </c>
      <c r="AQ143" s="618">
        <f t="shared" si="117"/>
        <v>0</v>
      </c>
      <c r="AR143" s="685">
        <v>0</v>
      </c>
      <c r="AS143" s="501">
        <f t="shared" si="118"/>
        <v>0</v>
      </c>
      <c r="AT143" s="686">
        <v>0</v>
      </c>
      <c r="AU143" s="501">
        <f t="shared" si="119"/>
        <v>0</v>
      </c>
      <c r="AV143" s="688">
        <v>0</v>
      </c>
      <c r="AW143" s="360">
        <f t="shared" si="120"/>
        <v>0</v>
      </c>
      <c r="AX143" s="687">
        <v>0</v>
      </c>
      <c r="AY143" s="138">
        <f t="shared" si="121"/>
        <v>0</v>
      </c>
      <c r="AZ143" s="688">
        <v>0</v>
      </c>
      <c r="BA143" s="138">
        <f t="shared" si="122"/>
        <v>0</v>
      </c>
      <c r="BB143" s="688">
        <v>0</v>
      </c>
      <c r="BC143" s="360">
        <f t="shared" si="123"/>
        <v>0</v>
      </c>
      <c r="BD143" s="687">
        <v>0</v>
      </c>
      <c r="BE143" s="138">
        <f t="shared" si="124"/>
        <v>0</v>
      </c>
      <c r="BF143" s="688">
        <v>0</v>
      </c>
      <c r="BG143" s="138">
        <f t="shared" si="125"/>
        <v>0</v>
      </c>
      <c r="BH143" s="688">
        <v>0</v>
      </c>
      <c r="BI143" s="464">
        <f t="shared" si="126"/>
        <v>0</v>
      </c>
      <c r="BJ143" s="689" t="s">
        <v>626</v>
      </c>
      <c r="BK143" s="690"/>
      <c r="BL143" s="691" t="s">
        <v>202</v>
      </c>
      <c r="BM143" s="691" t="s">
        <v>627</v>
      </c>
    </row>
    <row r="144" spans="1:65">
      <c r="A144" s="350" t="s">
        <v>383</v>
      </c>
      <c r="B144" s="22" t="s">
        <v>186</v>
      </c>
      <c r="C144" s="22" t="s">
        <v>30</v>
      </c>
      <c r="D144" s="1019" t="s">
        <v>478</v>
      </c>
      <c r="E144" s="1021" t="s">
        <v>226</v>
      </c>
      <c r="F144" s="1001" t="s">
        <v>479</v>
      </c>
      <c r="G144" s="205">
        <v>2024</v>
      </c>
      <c r="H144" s="862" t="s">
        <v>227</v>
      </c>
      <c r="I144" s="256" t="s">
        <v>148</v>
      </c>
      <c r="J144" s="75">
        <v>14</v>
      </c>
      <c r="K144" s="321" t="s">
        <v>180</v>
      </c>
      <c r="L144" s="157" t="s">
        <v>150</v>
      </c>
      <c r="M144" s="316" t="s">
        <v>321</v>
      </c>
      <c r="N144" s="448">
        <v>3.5</v>
      </c>
      <c r="O144" s="171">
        <v>3.5</v>
      </c>
      <c r="P144" s="171">
        <v>3.5</v>
      </c>
      <c r="Q144" s="171">
        <v>3.5</v>
      </c>
      <c r="R144" s="171">
        <v>3.5</v>
      </c>
      <c r="S144" s="171">
        <v>3.5</v>
      </c>
      <c r="T144" s="171">
        <v>3.5</v>
      </c>
      <c r="U144" s="171">
        <v>3.5</v>
      </c>
      <c r="V144" s="171">
        <v>3.5</v>
      </c>
      <c r="W144" s="171">
        <v>3.5</v>
      </c>
      <c r="X144" s="171">
        <v>3.5</v>
      </c>
      <c r="Y144" s="171">
        <v>3.5</v>
      </c>
      <c r="Z144" s="336">
        <v>0.5</v>
      </c>
      <c r="AA144" s="381">
        <v>0.5</v>
      </c>
      <c r="AB144" s="708">
        <v>0.5</v>
      </c>
      <c r="AC144" s="708">
        <v>0</v>
      </c>
      <c r="AD144" s="708">
        <v>0.5</v>
      </c>
      <c r="AE144" s="708">
        <v>0.5</v>
      </c>
      <c r="AF144" s="708">
        <v>0.5</v>
      </c>
      <c r="AG144" s="708">
        <v>0.5</v>
      </c>
      <c r="AH144" s="708">
        <v>0.5</v>
      </c>
      <c r="AI144" s="725">
        <v>0.5</v>
      </c>
      <c r="AJ144" s="708">
        <v>0.5</v>
      </c>
      <c r="AK144" s="726">
        <v>0.5</v>
      </c>
      <c r="AL144" s="523">
        <v>3640</v>
      </c>
      <c r="AM144" s="512">
        <f t="shared" ref="AM144:AM227" si="127">Z144*AL144</f>
        <v>1820</v>
      </c>
      <c r="AN144" s="560">
        <v>1480</v>
      </c>
      <c r="AO144" s="496">
        <f t="shared" ref="AO144:AO227" si="128">AA144*AN144</f>
        <v>740</v>
      </c>
      <c r="AP144" s="560">
        <v>7720</v>
      </c>
      <c r="AQ144" s="621">
        <f t="shared" ref="AQ144:AQ227" si="129">AB144*AP144</f>
        <v>3860</v>
      </c>
      <c r="AR144" s="787">
        <v>800</v>
      </c>
      <c r="AS144" s="777">
        <f t="shared" ref="AS144:AS227" si="130">AC144*AR144</f>
        <v>0</v>
      </c>
      <c r="AT144" s="560">
        <v>6550</v>
      </c>
      <c r="AU144" s="496">
        <f t="shared" ref="AU144:AU227" si="131">AD144*AT144</f>
        <v>3275</v>
      </c>
      <c r="AV144" s="76">
        <v>6064</v>
      </c>
      <c r="AW144" s="390">
        <f t="shared" ref="AW144:AW227" si="132">AE144*AV144</f>
        <v>3032</v>
      </c>
      <c r="AX144" s="143">
        <v>2041</v>
      </c>
      <c r="AY144" s="389">
        <f t="shared" ref="AY144:AY227" si="133">AF144*AX144</f>
        <v>1020.5</v>
      </c>
      <c r="AZ144" s="76">
        <v>3714</v>
      </c>
      <c r="BA144" s="389">
        <f t="shared" ref="BA144:BA227" si="134">AG144*AZ144</f>
        <v>1857</v>
      </c>
      <c r="BB144" s="144">
        <v>0</v>
      </c>
      <c r="BC144" s="391">
        <f t="shared" ref="BC144:BC227" si="135">AH144*BB144</f>
        <v>0</v>
      </c>
      <c r="BD144" s="143">
        <v>0</v>
      </c>
      <c r="BE144" s="389">
        <f t="shared" ref="BE144:BE227" si="136">AI144*BD144</f>
        <v>0</v>
      </c>
      <c r="BF144" s="252">
        <v>0</v>
      </c>
      <c r="BG144" s="389">
        <f t="shared" ref="BG144:BG227" si="137">AJ144*BF144</f>
        <v>0</v>
      </c>
      <c r="BH144" s="540">
        <v>0</v>
      </c>
      <c r="BI144" s="392">
        <f t="shared" ref="BI144:BI227" si="138">AK144*BH144</f>
        <v>0</v>
      </c>
      <c r="BJ144" s="244" t="s">
        <v>558</v>
      </c>
      <c r="BK144" s="78" t="s">
        <v>219</v>
      </c>
      <c r="BL144" s="78" t="s">
        <v>92</v>
      </c>
      <c r="BM144" s="9" t="s">
        <v>292</v>
      </c>
    </row>
    <row r="145" spans="1:65">
      <c r="A145" s="197" t="s">
        <v>383</v>
      </c>
      <c r="B145" s="9" t="s">
        <v>186</v>
      </c>
      <c r="C145" s="9" t="s">
        <v>30</v>
      </c>
      <c r="D145" s="1019"/>
      <c r="E145" s="1021"/>
      <c r="F145" s="1001"/>
      <c r="G145" s="199">
        <v>2021</v>
      </c>
      <c r="H145" s="863" t="s">
        <v>333</v>
      </c>
      <c r="I145" s="257" t="s">
        <v>148</v>
      </c>
      <c r="J145" s="56">
        <v>17</v>
      </c>
      <c r="K145" s="321" t="s">
        <v>180</v>
      </c>
      <c r="L145" s="57" t="s">
        <v>150</v>
      </c>
      <c r="M145" s="316" t="s">
        <v>321</v>
      </c>
      <c r="N145" s="303">
        <v>3.1</v>
      </c>
      <c r="O145" s="81">
        <v>3.1</v>
      </c>
      <c r="P145" s="81">
        <v>3.1</v>
      </c>
      <c r="Q145" s="81">
        <v>3.1</v>
      </c>
      <c r="R145" s="81">
        <v>3.6</v>
      </c>
      <c r="S145" s="81">
        <v>3.6</v>
      </c>
      <c r="T145" s="81">
        <v>3.6</v>
      </c>
      <c r="U145" s="81">
        <v>3.6</v>
      </c>
      <c r="V145" s="81">
        <v>3.6</v>
      </c>
      <c r="W145" s="81">
        <v>3.6</v>
      </c>
      <c r="X145" s="81">
        <v>3.6</v>
      </c>
      <c r="Y145" s="81">
        <v>3.6</v>
      </c>
      <c r="Z145" s="195">
        <v>0.3</v>
      </c>
      <c r="AA145" s="96">
        <v>0.3</v>
      </c>
      <c r="AB145" s="92">
        <v>0.3</v>
      </c>
      <c r="AC145" s="96">
        <v>0</v>
      </c>
      <c r="AD145" s="92">
        <v>0.3</v>
      </c>
      <c r="AE145" s="96">
        <v>0.3</v>
      </c>
      <c r="AF145" s="92">
        <v>0.3</v>
      </c>
      <c r="AG145" s="96">
        <v>0.3</v>
      </c>
      <c r="AH145" s="92">
        <v>0.3</v>
      </c>
      <c r="AI145" s="96">
        <v>0.3</v>
      </c>
      <c r="AJ145" s="92">
        <v>0.3</v>
      </c>
      <c r="AK145" s="718">
        <v>0.3</v>
      </c>
      <c r="AL145" s="521">
        <v>6920</v>
      </c>
      <c r="AM145" s="496">
        <f t="shared" si="127"/>
        <v>2076</v>
      </c>
      <c r="AN145" s="558">
        <v>5840</v>
      </c>
      <c r="AO145" s="496">
        <f t="shared" si="128"/>
        <v>1752</v>
      </c>
      <c r="AP145" s="657">
        <v>80</v>
      </c>
      <c r="AQ145" s="621">
        <f t="shared" si="129"/>
        <v>24</v>
      </c>
      <c r="AR145" s="788">
        <v>40</v>
      </c>
      <c r="AS145" s="777">
        <f t="shared" si="130"/>
        <v>0</v>
      </c>
      <c r="AT145" s="558">
        <v>0</v>
      </c>
      <c r="AU145" s="496">
        <f t="shared" si="131"/>
        <v>0</v>
      </c>
      <c r="AV145" s="59">
        <v>300</v>
      </c>
      <c r="AW145" s="390">
        <f t="shared" si="132"/>
        <v>90</v>
      </c>
      <c r="AX145" s="140">
        <v>0</v>
      </c>
      <c r="AY145" s="389">
        <f t="shared" si="133"/>
        <v>0</v>
      </c>
      <c r="AZ145" s="59">
        <v>0</v>
      </c>
      <c r="BA145" s="389">
        <f t="shared" si="134"/>
        <v>0</v>
      </c>
      <c r="BB145" s="124">
        <v>867.58150562710296</v>
      </c>
      <c r="BC145" s="391">
        <f t="shared" si="135"/>
        <v>260.27445168813085</v>
      </c>
      <c r="BD145" s="140">
        <v>657.20772973350495</v>
      </c>
      <c r="BE145" s="389">
        <f t="shared" si="136"/>
        <v>197.16231892005149</v>
      </c>
      <c r="BF145" s="141">
        <v>1078.6552262610201</v>
      </c>
      <c r="BG145" s="389">
        <f t="shared" si="137"/>
        <v>323.59656787830602</v>
      </c>
      <c r="BH145" s="142">
        <v>1264.85104318294</v>
      </c>
      <c r="BI145" s="392">
        <f t="shared" si="138"/>
        <v>379.455312954882</v>
      </c>
      <c r="BJ145" s="177" t="s">
        <v>559</v>
      </c>
      <c r="BK145" s="78"/>
      <c r="BL145" s="78" t="s">
        <v>92</v>
      </c>
      <c r="BM145" s="9" t="s">
        <v>293</v>
      </c>
    </row>
    <row r="146" spans="1:65">
      <c r="A146" s="197" t="s">
        <v>383</v>
      </c>
      <c r="B146" s="9" t="s">
        <v>186</v>
      </c>
      <c r="C146" s="9" t="s">
        <v>30</v>
      </c>
      <c r="D146" s="1019"/>
      <c r="E146" s="1021"/>
      <c r="F146" s="1001"/>
      <c r="G146" s="199">
        <v>2024</v>
      </c>
      <c r="H146" s="863" t="s">
        <v>228</v>
      </c>
      <c r="I146" s="257" t="s">
        <v>148</v>
      </c>
      <c r="J146" s="56">
        <v>17</v>
      </c>
      <c r="K146" s="321" t="s">
        <v>180</v>
      </c>
      <c r="L146" s="57" t="s">
        <v>150</v>
      </c>
      <c r="M146" s="316" t="s">
        <v>321</v>
      </c>
      <c r="N146" s="303">
        <v>3.1</v>
      </c>
      <c r="O146" s="81">
        <v>3.1</v>
      </c>
      <c r="P146" s="81">
        <v>3.1</v>
      </c>
      <c r="Q146" s="81">
        <v>3.1</v>
      </c>
      <c r="R146" s="81">
        <v>3.6</v>
      </c>
      <c r="S146" s="81">
        <v>3.6</v>
      </c>
      <c r="T146" s="81">
        <v>3.6</v>
      </c>
      <c r="U146" s="81">
        <v>3.6</v>
      </c>
      <c r="V146" s="81">
        <v>3.6</v>
      </c>
      <c r="W146" s="81">
        <v>3.6</v>
      </c>
      <c r="X146" s="81">
        <v>3.6</v>
      </c>
      <c r="Y146" s="81">
        <v>3.6</v>
      </c>
      <c r="Z146" s="195">
        <v>0.3</v>
      </c>
      <c r="AA146" s="96">
        <v>0.3</v>
      </c>
      <c r="AB146" s="92">
        <v>0.3</v>
      </c>
      <c r="AC146" s="92">
        <v>0</v>
      </c>
      <c r="AD146" s="92">
        <v>0.3</v>
      </c>
      <c r="AE146" s="92">
        <v>0.3</v>
      </c>
      <c r="AF146" s="92">
        <v>0.3</v>
      </c>
      <c r="AG146" s="92">
        <v>0.3</v>
      </c>
      <c r="AH146" s="376">
        <v>0.3</v>
      </c>
      <c r="AI146" s="374">
        <v>0.3</v>
      </c>
      <c r="AJ146" s="92">
        <v>0.3</v>
      </c>
      <c r="AK146" s="674">
        <v>0.3</v>
      </c>
      <c r="AL146" s="521">
        <v>8440</v>
      </c>
      <c r="AM146" s="519">
        <f t="shared" si="127"/>
        <v>2532</v>
      </c>
      <c r="AN146" s="558">
        <v>4740</v>
      </c>
      <c r="AO146" s="494">
        <f t="shared" si="128"/>
        <v>1422</v>
      </c>
      <c r="AP146" s="657">
        <v>0</v>
      </c>
      <c r="AQ146" s="622">
        <f t="shared" si="129"/>
        <v>0</v>
      </c>
      <c r="AR146" s="788">
        <v>0</v>
      </c>
      <c r="AS146" s="775">
        <f t="shared" si="130"/>
        <v>0</v>
      </c>
      <c r="AT146" s="558">
        <v>0</v>
      </c>
      <c r="AU146" s="494">
        <f t="shared" si="131"/>
        <v>0</v>
      </c>
      <c r="AV146" s="59">
        <v>0</v>
      </c>
      <c r="AW146" s="355">
        <f t="shared" si="132"/>
        <v>0</v>
      </c>
      <c r="AX146" s="140">
        <v>0</v>
      </c>
      <c r="AY146" s="127">
        <f t="shared" si="133"/>
        <v>0</v>
      </c>
      <c r="AZ146" s="59">
        <v>0</v>
      </c>
      <c r="BA146" s="127">
        <f t="shared" si="134"/>
        <v>0</v>
      </c>
      <c r="BB146" s="124">
        <v>0</v>
      </c>
      <c r="BC146" s="356">
        <f t="shared" si="135"/>
        <v>0</v>
      </c>
      <c r="BD146" s="140">
        <v>0</v>
      </c>
      <c r="BE146" s="127">
        <f t="shared" si="136"/>
        <v>0</v>
      </c>
      <c r="BF146" s="141">
        <v>0</v>
      </c>
      <c r="BG146" s="127">
        <f t="shared" si="137"/>
        <v>0</v>
      </c>
      <c r="BH146" s="142">
        <v>0</v>
      </c>
      <c r="BI146" s="329">
        <f t="shared" si="138"/>
        <v>0</v>
      </c>
      <c r="BJ146" s="177" t="s">
        <v>560</v>
      </c>
      <c r="BK146" s="78"/>
      <c r="BL146" s="78" t="s">
        <v>92</v>
      </c>
      <c r="BM146" s="9" t="s">
        <v>419</v>
      </c>
    </row>
    <row r="147" spans="1:65">
      <c r="A147" s="197" t="s">
        <v>383</v>
      </c>
      <c r="B147" s="9" t="s">
        <v>186</v>
      </c>
      <c r="C147" s="9" t="s">
        <v>30</v>
      </c>
      <c r="D147" s="1019"/>
      <c r="E147" s="1021"/>
      <c r="F147" s="1001"/>
      <c r="G147" s="199">
        <v>2021</v>
      </c>
      <c r="H147" s="863" t="s">
        <v>333</v>
      </c>
      <c r="I147" s="257" t="s">
        <v>148</v>
      </c>
      <c r="J147" s="56">
        <v>17</v>
      </c>
      <c r="K147" s="62" t="s">
        <v>153</v>
      </c>
      <c r="L147" s="57" t="s">
        <v>150</v>
      </c>
      <c r="M147" s="316" t="s">
        <v>321</v>
      </c>
      <c r="N147" s="303">
        <v>3.1</v>
      </c>
      <c r="O147" s="81">
        <v>3.1</v>
      </c>
      <c r="P147" s="81">
        <v>3.1</v>
      </c>
      <c r="Q147" s="81">
        <v>3.1</v>
      </c>
      <c r="R147" s="81">
        <v>3.6</v>
      </c>
      <c r="S147" s="81">
        <v>3.6</v>
      </c>
      <c r="T147" s="81">
        <v>3.6</v>
      </c>
      <c r="U147" s="81">
        <v>3.6</v>
      </c>
      <c r="V147" s="81">
        <v>3.6</v>
      </c>
      <c r="W147" s="81">
        <v>3.6</v>
      </c>
      <c r="X147" s="81">
        <v>3.6</v>
      </c>
      <c r="Y147" s="81">
        <v>3.6</v>
      </c>
      <c r="Z147" s="195">
        <v>0.3</v>
      </c>
      <c r="AA147" s="96">
        <v>0.3</v>
      </c>
      <c r="AB147" s="92">
        <v>0.3</v>
      </c>
      <c r="AC147" s="96">
        <v>0</v>
      </c>
      <c r="AD147" s="92">
        <v>0.3</v>
      </c>
      <c r="AE147" s="96">
        <v>0.3</v>
      </c>
      <c r="AF147" s="92">
        <v>0.3</v>
      </c>
      <c r="AG147" s="96">
        <v>0.3</v>
      </c>
      <c r="AH147" s="92">
        <v>0.3</v>
      </c>
      <c r="AI147" s="96">
        <v>0.3</v>
      </c>
      <c r="AJ147" s="92">
        <v>0.3</v>
      </c>
      <c r="AK147" s="718">
        <v>0.3</v>
      </c>
      <c r="AL147" s="521">
        <v>23138</v>
      </c>
      <c r="AM147" s="496">
        <f t="shared" si="127"/>
        <v>6941.4</v>
      </c>
      <c r="AN147" s="558">
        <v>9440</v>
      </c>
      <c r="AO147" s="496">
        <f t="shared" si="128"/>
        <v>2832</v>
      </c>
      <c r="AP147" s="657">
        <v>2840</v>
      </c>
      <c r="AQ147" s="621">
        <f t="shared" si="129"/>
        <v>852</v>
      </c>
      <c r="AR147" s="788">
        <v>1280</v>
      </c>
      <c r="AS147" s="777">
        <f t="shared" si="130"/>
        <v>0</v>
      </c>
      <c r="AT147" s="558">
        <v>880</v>
      </c>
      <c r="AU147" s="496">
        <f t="shared" si="131"/>
        <v>264</v>
      </c>
      <c r="AV147" s="59">
        <v>577</v>
      </c>
      <c r="AW147" s="390">
        <f t="shared" si="132"/>
        <v>173.1</v>
      </c>
      <c r="AX147" s="140">
        <v>0</v>
      </c>
      <c r="AY147" s="389">
        <f t="shared" si="133"/>
        <v>0</v>
      </c>
      <c r="AZ147" s="59">
        <v>0</v>
      </c>
      <c r="BA147" s="389">
        <f t="shared" si="134"/>
        <v>0</v>
      </c>
      <c r="BB147" s="124">
        <v>0</v>
      </c>
      <c r="BC147" s="391">
        <f t="shared" si="135"/>
        <v>0</v>
      </c>
      <c r="BD147" s="140">
        <v>0</v>
      </c>
      <c r="BE147" s="389">
        <f t="shared" si="136"/>
        <v>0</v>
      </c>
      <c r="BF147" s="141">
        <v>0</v>
      </c>
      <c r="BG147" s="389">
        <f t="shared" si="137"/>
        <v>0</v>
      </c>
      <c r="BH147" s="142">
        <v>0</v>
      </c>
      <c r="BI147" s="392">
        <f t="shared" si="138"/>
        <v>0</v>
      </c>
      <c r="BJ147" s="177" t="s">
        <v>561</v>
      </c>
      <c r="BK147" s="78"/>
      <c r="BL147" s="78" t="s">
        <v>92</v>
      </c>
      <c r="BM147" s="9" t="s">
        <v>390</v>
      </c>
    </row>
    <row r="148" spans="1:65">
      <c r="A148" s="197" t="s">
        <v>383</v>
      </c>
      <c r="B148" s="9" t="s">
        <v>186</v>
      </c>
      <c r="C148" s="9" t="s">
        <v>30</v>
      </c>
      <c r="D148" s="1019"/>
      <c r="E148" s="1021"/>
      <c r="F148" s="1001"/>
      <c r="G148" s="199">
        <v>2024</v>
      </c>
      <c r="H148" s="863" t="s">
        <v>228</v>
      </c>
      <c r="I148" s="257" t="s">
        <v>148</v>
      </c>
      <c r="J148" s="56">
        <v>17</v>
      </c>
      <c r="K148" s="62" t="s">
        <v>153</v>
      </c>
      <c r="L148" s="57" t="s">
        <v>150</v>
      </c>
      <c r="M148" s="316" t="s">
        <v>321</v>
      </c>
      <c r="N148" s="303">
        <v>3.1</v>
      </c>
      <c r="O148" s="81">
        <v>3.1</v>
      </c>
      <c r="P148" s="81">
        <v>3.1</v>
      </c>
      <c r="Q148" s="81">
        <v>3.1</v>
      </c>
      <c r="R148" s="81">
        <v>3.6</v>
      </c>
      <c r="S148" s="81">
        <v>3.6</v>
      </c>
      <c r="T148" s="81">
        <v>3.6</v>
      </c>
      <c r="U148" s="81">
        <v>3.6</v>
      </c>
      <c r="V148" s="81">
        <v>3.6</v>
      </c>
      <c r="W148" s="81">
        <v>3.6</v>
      </c>
      <c r="X148" s="81">
        <v>3.6</v>
      </c>
      <c r="Y148" s="81">
        <v>3.6</v>
      </c>
      <c r="Z148" s="195">
        <v>0.3</v>
      </c>
      <c r="AA148" s="96">
        <v>0.3</v>
      </c>
      <c r="AB148" s="92">
        <v>0.3</v>
      </c>
      <c r="AC148" s="92">
        <v>0</v>
      </c>
      <c r="AD148" s="92">
        <v>0.3</v>
      </c>
      <c r="AE148" s="92">
        <v>0.3</v>
      </c>
      <c r="AF148" s="92">
        <v>0.3</v>
      </c>
      <c r="AG148" s="92">
        <v>0.3</v>
      </c>
      <c r="AH148" s="376">
        <v>0.3</v>
      </c>
      <c r="AI148" s="374">
        <v>0.3</v>
      </c>
      <c r="AJ148" s="92">
        <v>0.3</v>
      </c>
      <c r="AK148" s="674">
        <v>0.3</v>
      </c>
      <c r="AL148" s="521">
        <v>2200</v>
      </c>
      <c r="AM148" s="519">
        <f t="shared" si="127"/>
        <v>660</v>
      </c>
      <c r="AN148" s="558">
        <v>1920</v>
      </c>
      <c r="AO148" s="494">
        <f t="shared" si="128"/>
        <v>576</v>
      </c>
      <c r="AP148" s="657">
        <v>0</v>
      </c>
      <c r="AQ148" s="620">
        <f t="shared" si="129"/>
        <v>0</v>
      </c>
      <c r="AR148" s="788">
        <v>40</v>
      </c>
      <c r="AS148" s="775">
        <f t="shared" si="130"/>
        <v>0</v>
      </c>
      <c r="AT148" s="558">
        <v>0</v>
      </c>
      <c r="AU148" s="494">
        <f t="shared" si="131"/>
        <v>0</v>
      </c>
      <c r="AV148" s="59">
        <v>0</v>
      </c>
      <c r="AW148" s="355">
        <f t="shared" si="132"/>
        <v>0</v>
      </c>
      <c r="AX148" s="140">
        <v>0</v>
      </c>
      <c r="AY148" s="127">
        <f t="shared" si="133"/>
        <v>0</v>
      </c>
      <c r="AZ148" s="59">
        <v>0</v>
      </c>
      <c r="BA148" s="127">
        <f t="shared" si="134"/>
        <v>0</v>
      </c>
      <c r="BB148" s="124">
        <v>7317.3637194347803</v>
      </c>
      <c r="BC148" s="356">
        <f t="shared" si="135"/>
        <v>2195.2091158304338</v>
      </c>
      <c r="BD148" s="140">
        <v>5543.0273311416404</v>
      </c>
      <c r="BE148" s="127">
        <f t="shared" si="136"/>
        <v>1662.908199342492</v>
      </c>
      <c r="BF148" s="141">
        <v>9097.6035879372303</v>
      </c>
      <c r="BG148" s="127">
        <f t="shared" si="137"/>
        <v>2729.281076381169</v>
      </c>
      <c r="BH148" s="142">
        <v>10668.018017726299</v>
      </c>
      <c r="BI148" s="329">
        <f t="shared" si="138"/>
        <v>3200.4054053178897</v>
      </c>
      <c r="BJ148" s="177" t="s">
        <v>562</v>
      </c>
      <c r="BK148" s="78"/>
      <c r="BL148" s="78" t="s">
        <v>92</v>
      </c>
      <c r="BM148" s="9" t="s">
        <v>294</v>
      </c>
    </row>
    <row r="149" spans="1:65">
      <c r="A149" s="197" t="s">
        <v>383</v>
      </c>
      <c r="B149" s="9" t="s">
        <v>186</v>
      </c>
      <c r="C149" s="9" t="s">
        <v>30</v>
      </c>
      <c r="D149" s="1019"/>
      <c r="E149" s="1021"/>
      <c r="F149" s="1001"/>
      <c r="G149" s="199">
        <v>2025</v>
      </c>
      <c r="H149" s="863" t="s">
        <v>333</v>
      </c>
      <c r="I149" s="257" t="s">
        <v>151</v>
      </c>
      <c r="J149" s="56">
        <v>17</v>
      </c>
      <c r="K149" s="62" t="s">
        <v>331</v>
      </c>
      <c r="L149" s="57" t="s">
        <v>160</v>
      </c>
      <c r="M149" s="316" t="s">
        <v>326</v>
      </c>
      <c r="N149" s="303">
        <v>9.5</v>
      </c>
      <c r="O149" s="81">
        <v>9.5</v>
      </c>
      <c r="P149" s="81">
        <v>9.5</v>
      </c>
      <c r="Q149" s="81">
        <v>9.5</v>
      </c>
      <c r="R149" s="81">
        <v>9.5</v>
      </c>
      <c r="S149" s="81">
        <v>9.5</v>
      </c>
      <c r="T149" s="81">
        <v>9.5</v>
      </c>
      <c r="U149" s="81">
        <v>9.5</v>
      </c>
      <c r="V149" s="81">
        <v>9.5</v>
      </c>
      <c r="W149" s="81">
        <v>9.5</v>
      </c>
      <c r="X149" s="81">
        <v>9.5</v>
      </c>
      <c r="Y149" s="81">
        <v>9.5</v>
      </c>
      <c r="Z149" s="195">
        <v>0.82</v>
      </c>
      <c r="AA149" s="96">
        <v>0.82</v>
      </c>
      <c r="AB149" s="92">
        <v>0.82</v>
      </c>
      <c r="AC149" s="96">
        <v>0</v>
      </c>
      <c r="AD149" s="92">
        <v>0.82</v>
      </c>
      <c r="AE149" s="96">
        <v>0.82</v>
      </c>
      <c r="AF149" s="92">
        <v>0.82</v>
      </c>
      <c r="AG149" s="96">
        <v>0.82</v>
      </c>
      <c r="AH149" s="92">
        <v>0.82</v>
      </c>
      <c r="AI149" s="96">
        <v>0.82</v>
      </c>
      <c r="AJ149" s="92">
        <v>0.82</v>
      </c>
      <c r="AK149" s="718">
        <v>0.82</v>
      </c>
      <c r="AL149" s="521">
        <v>680</v>
      </c>
      <c r="AM149" s="496">
        <f t="shared" si="127"/>
        <v>557.6</v>
      </c>
      <c r="AN149" s="558">
        <v>0</v>
      </c>
      <c r="AO149" s="496">
        <f t="shared" si="128"/>
        <v>0</v>
      </c>
      <c r="AP149" s="657">
        <v>0</v>
      </c>
      <c r="AQ149" s="621">
        <f t="shared" si="129"/>
        <v>0</v>
      </c>
      <c r="AR149" s="788">
        <v>2600</v>
      </c>
      <c r="AS149" s="777">
        <f t="shared" si="130"/>
        <v>0</v>
      </c>
      <c r="AT149" s="558">
        <v>400</v>
      </c>
      <c r="AU149" s="496">
        <f t="shared" si="131"/>
        <v>328</v>
      </c>
      <c r="AV149" s="59">
        <v>0</v>
      </c>
      <c r="AW149" s="390">
        <f t="shared" si="132"/>
        <v>0</v>
      </c>
      <c r="AX149" s="140">
        <v>1564</v>
      </c>
      <c r="AY149" s="389">
        <f t="shared" si="133"/>
        <v>1282.48</v>
      </c>
      <c r="AZ149" s="59">
        <v>0</v>
      </c>
      <c r="BA149" s="389">
        <f t="shared" si="134"/>
        <v>0</v>
      </c>
      <c r="BB149" s="124">
        <v>373.86924386528102</v>
      </c>
      <c r="BC149" s="391">
        <f t="shared" si="135"/>
        <v>306.57277996953042</v>
      </c>
      <c r="BD149" s="140">
        <v>283.212303840294</v>
      </c>
      <c r="BE149" s="389">
        <f t="shared" si="136"/>
        <v>232.23408914904107</v>
      </c>
      <c r="BF149" s="141">
        <v>464.827812969626</v>
      </c>
      <c r="BG149" s="389">
        <f t="shared" si="137"/>
        <v>381.1588066350933</v>
      </c>
      <c r="BH149" s="142">
        <v>545.06567976596602</v>
      </c>
      <c r="BI149" s="392">
        <f t="shared" si="138"/>
        <v>446.95385740809212</v>
      </c>
      <c r="BJ149" s="177" t="s">
        <v>516</v>
      </c>
      <c r="BK149" s="78" t="s">
        <v>219</v>
      </c>
      <c r="BL149" s="78" t="s">
        <v>92</v>
      </c>
      <c r="BM149" s="9" t="s">
        <v>420</v>
      </c>
    </row>
    <row r="150" spans="1:65">
      <c r="A150" s="197" t="s">
        <v>383</v>
      </c>
      <c r="B150" s="9" t="s">
        <v>186</v>
      </c>
      <c r="C150" s="9" t="s">
        <v>30</v>
      </c>
      <c r="D150" s="1019"/>
      <c r="E150" s="1021"/>
      <c r="F150" s="1001"/>
      <c r="G150" s="199">
        <v>2025</v>
      </c>
      <c r="H150" s="863" t="s">
        <v>333</v>
      </c>
      <c r="I150" s="257" t="s">
        <v>151</v>
      </c>
      <c r="J150" s="56">
        <v>17</v>
      </c>
      <c r="K150" s="62" t="s">
        <v>332</v>
      </c>
      <c r="L150" s="57" t="s">
        <v>160</v>
      </c>
      <c r="M150" s="316" t="s">
        <v>326</v>
      </c>
      <c r="N150" s="303">
        <v>9.5</v>
      </c>
      <c r="O150" s="81">
        <v>9.5</v>
      </c>
      <c r="P150" s="81">
        <v>9.5</v>
      </c>
      <c r="Q150" s="81">
        <v>9.5</v>
      </c>
      <c r="R150" s="81">
        <v>9.5</v>
      </c>
      <c r="S150" s="81">
        <v>9.5</v>
      </c>
      <c r="T150" s="81">
        <v>9.5</v>
      </c>
      <c r="U150" s="81">
        <v>9.5</v>
      </c>
      <c r="V150" s="81">
        <v>9.5</v>
      </c>
      <c r="W150" s="81">
        <v>9.5</v>
      </c>
      <c r="X150" s="81">
        <v>9.5</v>
      </c>
      <c r="Y150" s="81">
        <v>9.5</v>
      </c>
      <c r="Z150" s="195">
        <v>0.82</v>
      </c>
      <c r="AA150" s="96">
        <v>0.82</v>
      </c>
      <c r="AB150" s="92">
        <v>0.82</v>
      </c>
      <c r="AC150" s="96">
        <v>0</v>
      </c>
      <c r="AD150" s="92">
        <v>0.82</v>
      </c>
      <c r="AE150" s="96">
        <v>0.82</v>
      </c>
      <c r="AF150" s="92">
        <v>0.82</v>
      </c>
      <c r="AG150" s="96">
        <v>0.82</v>
      </c>
      <c r="AH150" s="92">
        <v>0.82</v>
      </c>
      <c r="AI150" s="96">
        <v>0.82</v>
      </c>
      <c r="AJ150" s="92">
        <v>0.82</v>
      </c>
      <c r="AK150" s="718">
        <v>0.82</v>
      </c>
      <c r="AL150" s="521">
        <v>0</v>
      </c>
      <c r="AM150" s="519">
        <f t="shared" si="127"/>
        <v>0</v>
      </c>
      <c r="AN150" s="573">
        <v>760</v>
      </c>
      <c r="AO150" s="494">
        <f t="shared" si="128"/>
        <v>623.19999999999993</v>
      </c>
      <c r="AP150" s="657">
        <v>0</v>
      </c>
      <c r="AQ150" s="622">
        <f t="shared" si="129"/>
        <v>0</v>
      </c>
      <c r="AR150" s="788">
        <v>80</v>
      </c>
      <c r="AS150" s="775">
        <f t="shared" si="130"/>
        <v>0</v>
      </c>
      <c r="AT150" s="558">
        <v>200</v>
      </c>
      <c r="AU150" s="494">
        <f t="shared" si="131"/>
        <v>164</v>
      </c>
      <c r="AV150" s="59">
        <v>0</v>
      </c>
      <c r="AW150" s="355">
        <f t="shared" si="132"/>
        <v>0</v>
      </c>
      <c r="AX150" s="140">
        <v>574</v>
      </c>
      <c r="AY150" s="127">
        <f t="shared" si="133"/>
        <v>470.67999999999995</v>
      </c>
      <c r="AZ150" s="59">
        <v>0</v>
      </c>
      <c r="BA150" s="127">
        <f t="shared" si="134"/>
        <v>0</v>
      </c>
      <c r="BB150" s="124">
        <v>280.37632541650402</v>
      </c>
      <c r="BC150" s="356">
        <f t="shared" si="135"/>
        <v>229.90858684153329</v>
      </c>
      <c r="BD150" s="140">
        <v>212.38982977721801</v>
      </c>
      <c r="BE150" s="127">
        <f t="shared" si="136"/>
        <v>174.15966041731875</v>
      </c>
      <c r="BF150" s="141">
        <v>348.58902220578301</v>
      </c>
      <c r="BG150" s="127">
        <f t="shared" si="137"/>
        <v>285.84299820874207</v>
      </c>
      <c r="BH150" s="142">
        <v>408.761926558737</v>
      </c>
      <c r="BI150" s="329">
        <f t="shared" si="138"/>
        <v>335.18477977816434</v>
      </c>
      <c r="BJ150" s="177" t="s">
        <v>517</v>
      </c>
      <c r="BK150" s="78" t="s">
        <v>219</v>
      </c>
      <c r="BL150" s="78" t="s">
        <v>92</v>
      </c>
      <c r="BM150" s="9" t="s">
        <v>421</v>
      </c>
    </row>
    <row r="151" spans="1:65">
      <c r="A151" s="197" t="s">
        <v>383</v>
      </c>
      <c r="B151" s="9" t="s">
        <v>186</v>
      </c>
      <c r="C151" s="9" t="s">
        <v>30</v>
      </c>
      <c r="D151" s="1019"/>
      <c r="E151" s="1021"/>
      <c r="F151" s="1001"/>
      <c r="G151" s="199">
        <v>2025</v>
      </c>
      <c r="H151" s="863" t="s">
        <v>333</v>
      </c>
      <c r="I151" s="279" t="s">
        <v>388</v>
      </c>
      <c r="J151" s="63">
        <v>17</v>
      </c>
      <c r="K151" s="62" t="s">
        <v>331</v>
      </c>
      <c r="L151" s="57" t="s">
        <v>150</v>
      </c>
      <c r="M151" s="316" t="s">
        <v>321</v>
      </c>
      <c r="N151" s="303">
        <v>9.5</v>
      </c>
      <c r="O151" s="81">
        <v>9.5</v>
      </c>
      <c r="P151" s="81">
        <v>9.5</v>
      </c>
      <c r="Q151" s="81">
        <v>9.5</v>
      </c>
      <c r="R151" s="81">
        <v>9.5</v>
      </c>
      <c r="S151" s="81">
        <v>9.5</v>
      </c>
      <c r="T151" s="81">
        <v>9.5</v>
      </c>
      <c r="U151" s="81">
        <v>9.5</v>
      </c>
      <c r="V151" s="81">
        <v>9.5</v>
      </c>
      <c r="W151" s="81">
        <v>9.5</v>
      </c>
      <c r="X151" s="81">
        <v>9.5</v>
      </c>
      <c r="Y151" s="81">
        <v>9.5</v>
      </c>
      <c r="Z151" s="195">
        <v>0.82</v>
      </c>
      <c r="AA151" s="96">
        <v>0.82</v>
      </c>
      <c r="AB151" s="92">
        <v>0.82</v>
      </c>
      <c r="AC151" s="96">
        <v>0</v>
      </c>
      <c r="AD151" s="92">
        <v>0.82</v>
      </c>
      <c r="AE151" s="96">
        <v>0.82</v>
      </c>
      <c r="AF151" s="92">
        <v>0.82</v>
      </c>
      <c r="AG151" s="96">
        <v>0.82</v>
      </c>
      <c r="AH151" s="92">
        <v>0.82</v>
      </c>
      <c r="AI151" s="96">
        <v>0.82</v>
      </c>
      <c r="AJ151" s="92">
        <v>0.82</v>
      </c>
      <c r="AK151" s="718">
        <v>0.82</v>
      </c>
      <c r="AL151" s="521">
        <v>0</v>
      </c>
      <c r="AM151" s="496">
        <f t="shared" si="127"/>
        <v>0</v>
      </c>
      <c r="AN151" s="558">
        <v>0</v>
      </c>
      <c r="AO151" s="496">
        <f t="shared" si="128"/>
        <v>0</v>
      </c>
      <c r="AP151" s="558">
        <v>0</v>
      </c>
      <c r="AQ151" s="621">
        <f t="shared" si="129"/>
        <v>0</v>
      </c>
      <c r="AR151" s="788">
        <v>0</v>
      </c>
      <c r="AS151" s="777">
        <f t="shared" si="130"/>
        <v>0</v>
      </c>
      <c r="AT151" s="558">
        <v>0</v>
      </c>
      <c r="AU151" s="496">
        <f t="shared" si="131"/>
        <v>0</v>
      </c>
      <c r="AV151" s="370">
        <v>0</v>
      </c>
      <c r="AW151" s="390">
        <f t="shared" si="132"/>
        <v>0</v>
      </c>
      <c r="AX151" s="140">
        <v>0</v>
      </c>
      <c r="AY151" s="389">
        <f t="shared" si="133"/>
        <v>0</v>
      </c>
      <c r="AZ151" s="59">
        <v>0</v>
      </c>
      <c r="BA151" s="389">
        <f t="shared" si="134"/>
        <v>0</v>
      </c>
      <c r="BB151" s="124">
        <v>0</v>
      </c>
      <c r="BC151" s="391">
        <f t="shared" si="135"/>
        <v>0</v>
      </c>
      <c r="BD151" s="140">
        <v>0</v>
      </c>
      <c r="BE151" s="389">
        <f t="shared" si="136"/>
        <v>0</v>
      </c>
      <c r="BF151" s="141">
        <v>0</v>
      </c>
      <c r="BG151" s="389">
        <f t="shared" si="137"/>
        <v>0</v>
      </c>
      <c r="BH151" s="142">
        <v>0</v>
      </c>
      <c r="BI151" s="392">
        <f t="shared" si="138"/>
        <v>0</v>
      </c>
      <c r="BJ151" s="177" t="s">
        <v>563</v>
      </c>
      <c r="BK151" s="78"/>
      <c r="BL151" s="78" t="s">
        <v>92</v>
      </c>
      <c r="BM151" s="9" t="s">
        <v>420</v>
      </c>
    </row>
    <row r="152" spans="1:65">
      <c r="A152" s="197" t="s">
        <v>383</v>
      </c>
      <c r="B152" s="9" t="s">
        <v>186</v>
      </c>
      <c r="C152" s="9" t="s">
        <v>30</v>
      </c>
      <c r="D152" s="1019"/>
      <c r="E152" s="1021"/>
      <c r="F152" s="1001"/>
      <c r="G152" s="199">
        <v>2025</v>
      </c>
      <c r="H152" s="864" t="s">
        <v>389</v>
      </c>
      <c r="I152" s="280" t="s">
        <v>151</v>
      </c>
      <c r="J152" s="189">
        <v>17</v>
      </c>
      <c r="K152" s="188" t="s">
        <v>387</v>
      </c>
      <c r="L152" s="60" t="s">
        <v>150</v>
      </c>
      <c r="M152" s="316" t="s">
        <v>391</v>
      </c>
      <c r="N152" s="303">
        <v>9.5</v>
      </c>
      <c r="O152" s="81">
        <v>9.5</v>
      </c>
      <c r="P152" s="81">
        <v>9.5</v>
      </c>
      <c r="Q152" s="81">
        <v>9.5</v>
      </c>
      <c r="R152" s="81">
        <v>9.5</v>
      </c>
      <c r="S152" s="81">
        <v>9.5</v>
      </c>
      <c r="T152" s="81">
        <v>9.5</v>
      </c>
      <c r="U152" s="81">
        <v>9.5</v>
      </c>
      <c r="V152" s="81">
        <v>9.5</v>
      </c>
      <c r="W152" s="81">
        <v>9.5</v>
      </c>
      <c r="X152" s="81">
        <v>9.5</v>
      </c>
      <c r="Y152" s="81">
        <v>9.5</v>
      </c>
      <c r="Z152" s="195">
        <v>0.82</v>
      </c>
      <c r="AA152" s="96">
        <v>0.82</v>
      </c>
      <c r="AB152" s="92">
        <v>0.82</v>
      </c>
      <c r="AC152" s="96">
        <v>0</v>
      </c>
      <c r="AD152" s="92">
        <v>0.82</v>
      </c>
      <c r="AE152" s="96">
        <v>0.82</v>
      </c>
      <c r="AF152" s="92">
        <v>0.82</v>
      </c>
      <c r="AG152" s="96">
        <v>0.82</v>
      </c>
      <c r="AH152" s="92">
        <v>0.82</v>
      </c>
      <c r="AI152" s="96">
        <v>0.82</v>
      </c>
      <c r="AJ152" s="92">
        <v>0.82</v>
      </c>
      <c r="AK152" s="718">
        <v>0.82</v>
      </c>
      <c r="AL152" s="522">
        <v>0</v>
      </c>
      <c r="AM152" s="519">
        <f t="shared" si="127"/>
        <v>0</v>
      </c>
      <c r="AN152" s="574">
        <v>0</v>
      </c>
      <c r="AO152" s="494">
        <f t="shared" si="128"/>
        <v>0</v>
      </c>
      <c r="AP152" s="574">
        <v>0</v>
      </c>
      <c r="AQ152" s="620">
        <f t="shared" si="129"/>
        <v>0</v>
      </c>
      <c r="AR152" s="789">
        <v>0</v>
      </c>
      <c r="AS152" s="777">
        <f t="shared" si="130"/>
        <v>0</v>
      </c>
      <c r="AT152" s="574">
        <v>0</v>
      </c>
      <c r="AU152" s="494">
        <f t="shared" si="131"/>
        <v>0</v>
      </c>
      <c r="AV152" s="372">
        <v>0</v>
      </c>
      <c r="AW152" s="355">
        <f t="shared" si="132"/>
        <v>0</v>
      </c>
      <c r="AX152" s="190">
        <v>0</v>
      </c>
      <c r="AY152" s="127">
        <f t="shared" si="133"/>
        <v>0</v>
      </c>
      <c r="AZ152" s="371">
        <v>0</v>
      </c>
      <c r="BA152" s="127">
        <f t="shared" si="134"/>
        <v>0</v>
      </c>
      <c r="BB152" s="373">
        <v>0</v>
      </c>
      <c r="BC152" s="356">
        <f t="shared" si="135"/>
        <v>0</v>
      </c>
      <c r="BD152" s="190">
        <v>0</v>
      </c>
      <c r="BE152" s="127">
        <f t="shared" si="136"/>
        <v>0</v>
      </c>
      <c r="BF152" s="191">
        <v>0</v>
      </c>
      <c r="BG152" s="127">
        <f t="shared" si="137"/>
        <v>0</v>
      </c>
      <c r="BH152" s="192">
        <v>0</v>
      </c>
      <c r="BI152" s="329">
        <f t="shared" si="138"/>
        <v>0</v>
      </c>
      <c r="BJ152" s="246" t="s">
        <v>564</v>
      </c>
      <c r="BK152" s="78"/>
      <c r="BL152" s="78" t="s">
        <v>92</v>
      </c>
      <c r="BM152" s="9" t="s">
        <v>421</v>
      </c>
    </row>
    <row r="153" spans="1:65">
      <c r="A153" s="197" t="s">
        <v>383</v>
      </c>
      <c r="B153" s="9" t="s">
        <v>186</v>
      </c>
      <c r="C153" s="9" t="s">
        <v>30</v>
      </c>
      <c r="D153" s="1019"/>
      <c r="E153" s="1021"/>
      <c r="F153" s="1001"/>
      <c r="G153" s="199">
        <v>2024</v>
      </c>
      <c r="H153" s="864" t="s">
        <v>333</v>
      </c>
      <c r="I153" s="280" t="s">
        <v>148</v>
      </c>
      <c r="J153" s="189">
        <v>17</v>
      </c>
      <c r="K153" s="188" t="s">
        <v>180</v>
      </c>
      <c r="L153" s="60" t="s">
        <v>154</v>
      </c>
      <c r="M153" s="316" t="s">
        <v>392</v>
      </c>
      <c r="N153" s="303">
        <v>3.1</v>
      </c>
      <c r="O153" s="81">
        <v>3.1</v>
      </c>
      <c r="P153" s="81">
        <v>3.1</v>
      </c>
      <c r="Q153" s="81">
        <v>3.1</v>
      </c>
      <c r="R153" s="81">
        <v>3.6</v>
      </c>
      <c r="S153" s="81">
        <v>3.6</v>
      </c>
      <c r="T153" s="81">
        <v>3.6</v>
      </c>
      <c r="U153" s="81">
        <v>3.6</v>
      </c>
      <c r="V153" s="81">
        <v>3.6</v>
      </c>
      <c r="W153" s="81">
        <v>3.6</v>
      </c>
      <c r="X153" s="81">
        <v>3.6</v>
      </c>
      <c r="Y153" s="81">
        <v>3.6</v>
      </c>
      <c r="Z153" s="195">
        <v>0.3</v>
      </c>
      <c r="AA153" s="96">
        <v>0.3</v>
      </c>
      <c r="AB153" s="92">
        <v>0.3</v>
      </c>
      <c r="AC153" s="96">
        <v>0</v>
      </c>
      <c r="AD153" s="92">
        <v>0.3</v>
      </c>
      <c r="AE153" s="96">
        <v>0.3</v>
      </c>
      <c r="AF153" s="92">
        <v>0.3</v>
      </c>
      <c r="AG153" s="96">
        <v>0.3</v>
      </c>
      <c r="AH153" s="92">
        <v>0.3</v>
      </c>
      <c r="AI153" s="96">
        <v>0.3</v>
      </c>
      <c r="AJ153" s="92">
        <v>0.3</v>
      </c>
      <c r="AK153" s="718">
        <v>0.3</v>
      </c>
      <c r="AL153" s="523">
        <v>2840</v>
      </c>
      <c r="AM153" s="496">
        <f t="shared" si="127"/>
        <v>852</v>
      </c>
      <c r="AN153" s="565">
        <v>2720</v>
      </c>
      <c r="AO153" s="496">
        <f t="shared" si="128"/>
        <v>816</v>
      </c>
      <c r="AP153" s="560">
        <v>120</v>
      </c>
      <c r="AQ153" s="621">
        <f t="shared" si="129"/>
        <v>36</v>
      </c>
      <c r="AR153" s="787">
        <v>160</v>
      </c>
      <c r="AS153" s="775">
        <f t="shared" si="130"/>
        <v>0</v>
      </c>
      <c r="AT153" s="560">
        <v>80</v>
      </c>
      <c r="AU153" s="494">
        <f t="shared" si="131"/>
        <v>24</v>
      </c>
      <c r="AV153" s="76">
        <v>586</v>
      </c>
      <c r="AW153" s="390">
        <f t="shared" si="132"/>
        <v>175.79999999999998</v>
      </c>
      <c r="AX153" s="143">
        <v>588</v>
      </c>
      <c r="AY153" s="389">
        <f t="shared" si="133"/>
        <v>176.4</v>
      </c>
      <c r="AZ153" s="76">
        <v>586</v>
      </c>
      <c r="BA153" s="389">
        <f t="shared" si="134"/>
        <v>175.79999999999998</v>
      </c>
      <c r="BB153" s="144">
        <v>0</v>
      </c>
      <c r="BC153" s="391">
        <f t="shared" si="135"/>
        <v>0</v>
      </c>
      <c r="BD153" s="143">
        <v>0</v>
      </c>
      <c r="BE153" s="389">
        <f t="shared" si="136"/>
        <v>0</v>
      </c>
      <c r="BF153" s="76">
        <v>0</v>
      </c>
      <c r="BG153" s="389">
        <f t="shared" si="137"/>
        <v>0</v>
      </c>
      <c r="BH153" s="144">
        <v>0</v>
      </c>
      <c r="BI153" s="392">
        <f t="shared" si="138"/>
        <v>0</v>
      </c>
      <c r="BJ153" s="247" t="s">
        <v>519</v>
      </c>
      <c r="BK153" s="78"/>
      <c r="BL153" s="78" t="s">
        <v>92</v>
      </c>
      <c r="BM153" s="9" t="s">
        <v>293</v>
      </c>
    </row>
    <row r="154" spans="1:65">
      <c r="A154" s="197" t="s">
        <v>383</v>
      </c>
      <c r="B154" s="9" t="s">
        <v>186</v>
      </c>
      <c r="C154" s="9" t="s">
        <v>30</v>
      </c>
      <c r="D154" s="1019"/>
      <c r="E154" s="1021"/>
      <c r="F154" s="1001"/>
      <c r="G154" s="199">
        <v>2024</v>
      </c>
      <c r="H154" s="864" t="s">
        <v>228</v>
      </c>
      <c r="I154" s="257" t="s">
        <v>148</v>
      </c>
      <c r="J154" s="56">
        <v>17</v>
      </c>
      <c r="K154" s="321" t="s">
        <v>180</v>
      </c>
      <c r="L154" s="153" t="s">
        <v>154</v>
      </c>
      <c r="M154" s="316" t="s">
        <v>392</v>
      </c>
      <c r="N154" s="303">
        <v>3.1</v>
      </c>
      <c r="O154" s="81">
        <v>3.1</v>
      </c>
      <c r="P154" s="81">
        <v>3.1</v>
      </c>
      <c r="Q154" s="81">
        <v>3.1</v>
      </c>
      <c r="R154" s="81">
        <v>3.6</v>
      </c>
      <c r="S154" s="81">
        <v>3.6</v>
      </c>
      <c r="T154" s="81">
        <v>3.6</v>
      </c>
      <c r="U154" s="81">
        <v>3.6</v>
      </c>
      <c r="V154" s="81">
        <v>3.6</v>
      </c>
      <c r="W154" s="81">
        <v>3.6</v>
      </c>
      <c r="X154" s="81">
        <v>3.6</v>
      </c>
      <c r="Y154" s="81">
        <v>3.6</v>
      </c>
      <c r="Z154" s="195">
        <v>0.3</v>
      </c>
      <c r="AA154" s="96">
        <v>0.3</v>
      </c>
      <c r="AB154" s="92">
        <v>0.3</v>
      </c>
      <c r="AC154" s="92">
        <v>0</v>
      </c>
      <c r="AD154" s="92">
        <v>0.3</v>
      </c>
      <c r="AE154" s="92">
        <v>0.3</v>
      </c>
      <c r="AF154" s="92">
        <v>0.3</v>
      </c>
      <c r="AG154" s="92">
        <v>0.3</v>
      </c>
      <c r="AH154" s="376">
        <v>0.3</v>
      </c>
      <c r="AI154" s="374">
        <v>0.3</v>
      </c>
      <c r="AJ154" s="92">
        <v>0.3</v>
      </c>
      <c r="AK154" s="674">
        <v>0.3</v>
      </c>
      <c r="AL154" s="523">
        <v>0</v>
      </c>
      <c r="AM154" s="519">
        <f t="shared" si="127"/>
        <v>0</v>
      </c>
      <c r="AN154" s="565">
        <v>0</v>
      </c>
      <c r="AO154" s="494">
        <f t="shared" si="128"/>
        <v>0</v>
      </c>
      <c r="AP154" s="560">
        <v>0</v>
      </c>
      <c r="AQ154" s="622">
        <f t="shared" si="129"/>
        <v>0</v>
      </c>
      <c r="AR154" s="787">
        <v>0</v>
      </c>
      <c r="AS154" s="777">
        <f t="shared" si="130"/>
        <v>0</v>
      </c>
      <c r="AT154" s="560">
        <v>0</v>
      </c>
      <c r="AU154" s="496">
        <f t="shared" si="131"/>
        <v>0</v>
      </c>
      <c r="AV154" s="76">
        <v>0</v>
      </c>
      <c r="AW154" s="355">
        <f t="shared" si="132"/>
        <v>0</v>
      </c>
      <c r="AX154" s="143">
        <v>0</v>
      </c>
      <c r="AY154" s="127">
        <f t="shared" si="133"/>
        <v>0</v>
      </c>
      <c r="AZ154" s="76">
        <v>0</v>
      </c>
      <c r="BA154" s="127">
        <f t="shared" si="134"/>
        <v>0</v>
      </c>
      <c r="BB154" s="144">
        <v>0</v>
      </c>
      <c r="BC154" s="356">
        <f t="shared" si="135"/>
        <v>0</v>
      </c>
      <c r="BD154" s="143">
        <v>0</v>
      </c>
      <c r="BE154" s="127">
        <f t="shared" si="136"/>
        <v>0</v>
      </c>
      <c r="BF154" s="76">
        <v>0</v>
      </c>
      <c r="BG154" s="127">
        <f t="shared" si="137"/>
        <v>0</v>
      </c>
      <c r="BH154" s="144">
        <v>0</v>
      </c>
      <c r="BI154" s="329">
        <f t="shared" si="138"/>
        <v>0</v>
      </c>
      <c r="BJ154" s="247" t="s">
        <v>515</v>
      </c>
      <c r="BK154" s="78" t="s">
        <v>219</v>
      </c>
      <c r="BL154" s="78" t="s">
        <v>92</v>
      </c>
      <c r="BM154" s="9" t="s">
        <v>419</v>
      </c>
    </row>
    <row r="155" spans="1:65">
      <c r="A155" s="197" t="s">
        <v>383</v>
      </c>
      <c r="B155" s="9" t="s">
        <v>186</v>
      </c>
      <c r="C155" s="9" t="s">
        <v>30</v>
      </c>
      <c r="D155" s="1019"/>
      <c r="E155" s="1021"/>
      <c r="F155" s="1001"/>
      <c r="G155" s="199">
        <v>2024</v>
      </c>
      <c r="H155" s="863" t="s">
        <v>389</v>
      </c>
      <c r="I155" s="257" t="s">
        <v>148</v>
      </c>
      <c r="J155" s="56">
        <v>17</v>
      </c>
      <c r="K155" s="321" t="s">
        <v>153</v>
      </c>
      <c r="L155" s="153" t="s">
        <v>154</v>
      </c>
      <c r="M155" s="316" t="s">
        <v>392</v>
      </c>
      <c r="N155" s="303">
        <v>3.1</v>
      </c>
      <c r="O155" s="81">
        <v>3.1</v>
      </c>
      <c r="P155" s="81">
        <v>3.1</v>
      </c>
      <c r="Q155" s="81">
        <v>3.1</v>
      </c>
      <c r="R155" s="81">
        <v>3.6</v>
      </c>
      <c r="S155" s="81">
        <v>3.6</v>
      </c>
      <c r="T155" s="81">
        <v>3.6</v>
      </c>
      <c r="U155" s="81">
        <v>3.6</v>
      </c>
      <c r="V155" s="81">
        <v>3.6</v>
      </c>
      <c r="W155" s="81">
        <v>3.6</v>
      </c>
      <c r="X155" s="81">
        <v>3.6</v>
      </c>
      <c r="Y155" s="81">
        <v>3.6</v>
      </c>
      <c r="Z155" s="195">
        <v>0.3</v>
      </c>
      <c r="AA155" s="96">
        <v>0.3</v>
      </c>
      <c r="AB155" s="92">
        <v>0.3</v>
      </c>
      <c r="AC155" s="96">
        <v>0</v>
      </c>
      <c r="AD155" s="92">
        <v>0.3</v>
      </c>
      <c r="AE155" s="96">
        <v>0.3</v>
      </c>
      <c r="AF155" s="92">
        <v>0.3</v>
      </c>
      <c r="AG155" s="96">
        <v>0.3</v>
      </c>
      <c r="AH155" s="92">
        <v>0.3</v>
      </c>
      <c r="AI155" s="96">
        <v>0.3</v>
      </c>
      <c r="AJ155" s="92">
        <v>0.3</v>
      </c>
      <c r="AK155" s="718">
        <v>0.3</v>
      </c>
      <c r="AL155" s="524">
        <v>280</v>
      </c>
      <c r="AM155" s="496">
        <f t="shared" si="127"/>
        <v>84</v>
      </c>
      <c r="AN155" s="575">
        <v>0</v>
      </c>
      <c r="AO155" s="496">
        <f t="shared" si="128"/>
        <v>0</v>
      </c>
      <c r="AP155" s="658">
        <v>0</v>
      </c>
      <c r="AQ155" s="621">
        <f t="shared" si="129"/>
        <v>0</v>
      </c>
      <c r="AR155" s="790">
        <v>0</v>
      </c>
      <c r="AS155" s="777">
        <f t="shared" si="130"/>
        <v>0</v>
      </c>
      <c r="AT155" s="658">
        <v>0</v>
      </c>
      <c r="AU155" s="494">
        <f t="shared" si="131"/>
        <v>0</v>
      </c>
      <c r="AV155" s="240">
        <v>0</v>
      </c>
      <c r="AW155" s="390">
        <f t="shared" si="132"/>
        <v>0</v>
      </c>
      <c r="AX155" s="241">
        <v>0</v>
      </c>
      <c r="AY155" s="389">
        <f t="shared" si="133"/>
        <v>0</v>
      </c>
      <c r="AZ155" s="240">
        <v>0</v>
      </c>
      <c r="BA155" s="389">
        <f t="shared" si="134"/>
        <v>0</v>
      </c>
      <c r="BB155" s="242">
        <v>0</v>
      </c>
      <c r="BC155" s="391">
        <f t="shared" si="135"/>
        <v>0</v>
      </c>
      <c r="BD155" s="241">
        <v>0</v>
      </c>
      <c r="BE155" s="389">
        <f t="shared" si="136"/>
        <v>0</v>
      </c>
      <c r="BF155" s="240">
        <v>0</v>
      </c>
      <c r="BG155" s="389">
        <f t="shared" si="137"/>
        <v>0</v>
      </c>
      <c r="BH155" s="242">
        <v>0</v>
      </c>
      <c r="BI155" s="392">
        <f t="shared" si="138"/>
        <v>0</v>
      </c>
      <c r="BJ155" s="245" t="s">
        <v>514</v>
      </c>
      <c r="BK155" s="78" t="s">
        <v>219</v>
      </c>
      <c r="BL155" s="78" t="s">
        <v>92</v>
      </c>
      <c r="BM155" s="9" t="s">
        <v>294</v>
      </c>
    </row>
    <row r="156" spans="1:65" s="333" customFormat="1" ht="15" thickBot="1">
      <c r="A156" s="197" t="s">
        <v>383</v>
      </c>
      <c r="B156" s="9" t="s">
        <v>186</v>
      </c>
      <c r="C156" s="9" t="s">
        <v>30</v>
      </c>
      <c r="D156" s="1020"/>
      <c r="E156" s="1022"/>
      <c r="F156" s="1002"/>
      <c r="G156" s="238">
        <v>2024</v>
      </c>
      <c r="H156" s="865" t="s">
        <v>228</v>
      </c>
      <c r="I156" s="281" t="s">
        <v>148</v>
      </c>
      <c r="J156" s="239">
        <v>17</v>
      </c>
      <c r="K156" s="229" t="s">
        <v>153</v>
      </c>
      <c r="L156" s="320" t="s">
        <v>154</v>
      </c>
      <c r="M156" s="316" t="s">
        <v>392</v>
      </c>
      <c r="N156" s="303">
        <v>3.1</v>
      </c>
      <c r="O156" s="81">
        <v>3.1</v>
      </c>
      <c r="P156" s="81">
        <v>3.1</v>
      </c>
      <c r="Q156" s="81">
        <v>3.1</v>
      </c>
      <c r="R156" s="81">
        <v>3.6</v>
      </c>
      <c r="S156" s="81">
        <v>3.6</v>
      </c>
      <c r="T156" s="81">
        <v>3.6</v>
      </c>
      <c r="U156" s="81">
        <v>3.6</v>
      </c>
      <c r="V156" s="81">
        <v>3.6</v>
      </c>
      <c r="W156" s="81">
        <v>3.6</v>
      </c>
      <c r="X156" s="81">
        <v>3.6</v>
      </c>
      <c r="Y156" s="81">
        <v>3.6</v>
      </c>
      <c r="Z156" s="195">
        <v>0.3</v>
      </c>
      <c r="AA156" s="96">
        <v>0.3</v>
      </c>
      <c r="AB156" s="92">
        <v>0.3</v>
      </c>
      <c r="AC156" s="92">
        <v>0</v>
      </c>
      <c r="AD156" s="92">
        <v>0.3</v>
      </c>
      <c r="AE156" s="92">
        <v>0.3</v>
      </c>
      <c r="AF156" s="92">
        <v>0.3</v>
      </c>
      <c r="AG156" s="92">
        <v>0.3</v>
      </c>
      <c r="AH156" s="376">
        <v>0.3</v>
      </c>
      <c r="AI156" s="374">
        <v>0.3</v>
      </c>
      <c r="AJ156" s="92">
        <v>0.3</v>
      </c>
      <c r="AK156" s="674">
        <v>0.3</v>
      </c>
      <c r="AL156" s="525">
        <v>10560</v>
      </c>
      <c r="AM156" s="519">
        <f t="shared" si="127"/>
        <v>3168</v>
      </c>
      <c r="AN156" s="576">
        <v>1760</v>
      </c>
      <c r="AO156" s="494">
        <f t="shared" si="128"/>
        <v>528</v>
      </c>
      <c r="AP156" s="579">
        <v>8720</v>
      </c>
      <c r="AQ156" s="620">
        <f t="shared" si="129"/>
        <v>2616</v>
      </c>
      <c r="AR156" s="791">
        <v>5680</v>
      </c>
      <c r="AS156" s="775">
        <f t="shared" si="130"/>
        <v>0</v>
      </c>
      <c r="AT156" s="579">
        <v>7080</v>
      </c>
      <c r="AU156" s="496">
        <f t="shared" si="131"/>
        <v>2124</v>
      </c>
      <c r="AV156" s="407">
        <v>1125</v>
      </c>
      <c r="AW156" s="355">
        <f t="shared" si="132"/>
        <v>337.5</v>
      </c>
      <c r="AX156" s="408">
        <v>742</v>
      </c>
      <c r="AY156" s="127">
        <f t="shared" si="133"/>
        <v>222.6</v>
      </c>
      <c r="AZ156" s="407">
        <v>156</v>
      </c>
      <c r="BA156" s="127">
        <f t="shared" si="134"/>
        <v>46.8</v>
      </c>
      <c r="BB156" s="409">
        <v>0</v>
      </c>
      <c r="BC156" s="356">
        <f t="shared" si="135"/>
        <v>0</v>
      </c>
      <c r="BD156" s="408">
        <v>0</v>
      </c>
      <c r="BE156" s="127">
        <f t="shared" si="136"/>
        <v>0</v>
      </c>
      <c r="BF156" s="407">
        <v>0</v>
      </c>
      <c r="BG156" s="127">
        <f t="shared" si="137"/>
        <v>0</v>
      </c>
      <c r="BH156" s="409">
        <v>0</v>
      </c>
      <c r="BI156" s="329">
        <f t="shared" si="138"/>
        <v>0</v>
      </c>
      <c r="BJ156" s="245" t="s">
        <v>518</v>
      </c>
      <c r="BK156" s="78"/>
      <c r="BL156" s="78" t="s">
        <v>92</v>
      </c>
      <c r="BM156" s="9" t="s">
        <v>390</v>
      </c>
    </row>
    <row r="157" spans="1:65" ht="15" thickBot="1">
      <c r="A157" s="351" t="s">
        <v>383</v>
      </c>
      <c r="B157" s="10" t="s">
        <v>186</v>
      </c>
      <c r="C157" s="10" t="s">
        <v>30</v>
      </c>
      <c r="D157" s="1020"/>
      <c r="E157" s="1022"/>
      <c r="F157" s="1002"/>
      <c r="G157" s="243">
        <v>2024</v>
      </c>
      <c r="H157" s="866" t="s">
        <v>485</v>
      </c>
      <c r="I157" s="267" t="s">
        <v>148</v>
      </c>
      <c r="J157" s="87">
        <v>15</v>
      </c>
      <c r="K157" s="183" t="s">
        <v>477</v>
      </c>
      <c r="L157" s="300" t="s">
        <v>191</v>
      </c>
      <c r="M157" s="317" t="s">
        <v>396</v>
      </c>
      <c r="N157" s="250">
        <v>2.98</v>
      </c>
      <c r="O157" s="83">
        <v>2.98</v>
      </c>
      <c r="P157" s="83">
        <v>2.98</v>
      </c>
      <c r="Q157" s="83">
        <v>2.98</v>
      </c>
      <c r="R157" s="83">
        <v>3.6</v>
      </c>
      <c r="S157" s="83">
        <v>3.6</v>
      </c>
      <c r="T157" s="83">
        <v>3.6</v>
      </c>
      <c r="U157" s="83">
        <v>3.6</v>
      </c>
      <c r="V157" s="83">
        <v>3.6</v>
      </c>
      <c r="W157" s="83">
        <v>3.6</v>
      </c>
      <c r="X157" s="83">
        <v>3.6</v>
      </c>
      <c r="Y157" s="83">
        <v>3.6</v>
      </c>
      <c r="Z157" s="253">
        <v>0.4</v>
      </c>
      <c r="AA157" s="342">
        <v>0.4</v>
      </c>
      <c r="AB157" s="342">
        <v>0.4</v>
      </c>
      <c r="AC157" s="342">
        <v>0</v>
      </c>
      <c r="AD157" s="342">
        <v>0.52</v>
      </c>
      <c r="AE157" s="342">
        <v>0.52</v>
      </c>
      <c r="AF157" s="342">
        <v>0.52</v>
      </c>
      <c r="AG157" s="342">
        <v>0.52</v>
      </c>
      <c r="AH157" s="342">
        <v>0.52</v>
      </c>
      <c r="AI157" s="342">
        <v>0.52</v>
      </c>
      <c r="AJ157" s="342">
        <v>0.52</v>
      </c>
      <c r="AK157" s="342">
        <v>0.52</v>
      </c>
      <c r="AL157" s="526">
        <v>27160</v>
      </c>
      <c r="AM157" s="507">
        <f t="shared" si="127"/>
        <v>10864</v>
      </c>
      <c r="AN157" s="577">
        <v>11994</v>
      </c>
      <c r="AO157" s="507">
        <f t="shared" si="128"/>
        <v>4797.6000000000004</v>
      </c>
      <c r="AP157" s="580">
        <v>8958</v>
      </c>
      <c r="AQ157" s="619">
        <f t="shared" si="129"/>
        <v>3583.2000000000003</v>
      </c>
      <c r="AR157" s="791">
        <v>8720</v>
      </c>
      <c r="AS157" s="777">
        <f t="shared" si="130"/>
        <v>0</v>
      </c>
      <c r="AT157" s="579">
        <v>22200</v>
      </c>
      <c r="AU157" s="496">
        <f t="shared" si="131"/>
        <v>11544</v>
      </c>
      <c r="AV157" s="407">
        <v>2283</v>
      </c>
      <c r="AW157" s="390">
        <f t="shared" si="132"/>
        <v>1187.1600000000001</v>
      </c>
      <c r="AX157" s="408">
        <v>4074</v>
      </c>
      <c r="AY157" s="389">
        <f t="shared" si="133"/>
        <v>2118.48</v>
      </c>
      <c r="AZ157" s="407">
        <v>5370</v>
      </c>
      <c r="BA157" s="389">
        <f t="shared" si="134"/>
        <v>2792.4</v>
      </c>
      <c r="BB157" s="594">
        <v>0</v>
      </c>
      <c r="BC157" s="356">
        <f t="shared" si="135"/>
        <v>0</v>
      </c>
      <c r="BD157" s="408">
        <v>0</v>
      </c>
      <c r="BE157" s="389">
        <f t="shared" si="136"/>
        <v>0</v>
      </c>
      <c r="BF157" s="407">
        <v>0</v>
      </c>
      <c r="BG157" s="389">
        <f t="shared" si="137"/>
        <v>0</v>
      </c>
      <c r="BH157" s="409">
        <v>0</v>
      </c>
      <c r="BI157" s="392">
        <f t="shared" si="138"/>
        <v>0</v>
      </c>
      <c r="BJ157" s="245" t="s">
        <v>484</v>
      </c>
      <c r="BK157" s="78"/>
      <c r="BL157" s="78" t="s">
        <v>92</v>
      </c>
      <c r="BM157" s="9" t="s">
        <v>486</v>
      </c>
    </row>
    <row r="158" spans="1:65">
      <c r="A158" s="336" t="s">
        <v>383</v>
      </c>
      <c r="B158" s="9" t="s">
        <v>186</v>
      </c>
      <c r="C158" s="78" t="s">
        <v>30</v>
      </c>
      <c r="D158" s="997" t="s">
        <v>229</v>
      </c>
      <c r="E158" s="999" t="s">
        <v>146</v>
      </c>
      <c r="F158" s="1001" t="s">
        <v>56</v>
      </c>
      <c r="G158" s="205">
        <v>2023</v>
      </c>
      <c r="H158" s="867" t="s">
        <v>230</v>
      </c>
      <c r="I158" s="277" t="s">
        <v>148</v>
      </c>
      <c r="J158" s="278">
        <v>15</v>
      </c>
      <c r="K158" s="322" t="s">
        <v>153</v>
      </c>
      <c r="L158" s="322" t="s">
        <v>150</v>
      </c>
      <c r="M158" s="445" t="s">
        <v>320</v>
      </c>
      <c r="N158" s="474">
        <v>3.08</v>
      </c>
      <c r="O158" s="457">
        <v>3.08</v>
      </c>
      <c r="P158" s="457">
        <v>3.05</v>
      </c>
      <c r="Q158" s="457">
        <v>3.05</v>
      </c>
      <c r="R158" s="725">
        <v>3.6</v>
      </c>
      <c r="S158" s="725">
        <v>3.6</v>
      </c>
      <c r="T158" s="725">
        <v>3.6</v>
      </c>
      <c r="U158" s="725">
        <v>3.6</v>
      </c>
      <c r="V158" s="725">
        <v>3.6</v>
      </c>
      <c r="W158" s="725">
        <v>3.6</v>
      </c>
      <c r="X158" s="725">
        <v>3.6</v>
      </c>
      <c r="Y158" s="949">
        <v>3.6</v>
      </c>
      <c r="Z158" s="724">
        <v>0.28000000000000003</v>
      </c>
      <c r="AA158" s="341">
        <v>0.28000000000000003</v>
      </c>
      <c r="AB158" s="341">
        <v>0.25</v>
      </c>
      <c r="AC158" s="341">
        <v>0</v>
      </c>
      <c r="AD158" s="341">
        <v>0.3</v>
      </c>
      <c r="AE158" s="341">
        <v>0.3</v>
      </c>
      <c r="AF158" s="341">
        <v>0.3</v>
      </c>
      <c r="AG158" s="341">
        <v>0.3</v>
      </c>
      <c r="AH158" s="341">
        <v>0.3</v>
      </c>
      <c r="AI158" s="950">
        <v>0.3</v>
      </c>
      <c r="AJ158" s="950">
        <v>0.3</v>
      </c>
      <c r="AK158" s="951">
        <v>0.3</v>
      </c>
      <c r="AL158" s="502">
        <v>0</v>
      </c>
      <c r="AM158" s="520">
        <f t="shared" si="127"/>
        <v>0</v>
      </c>
      <c r="AN158" s="552">
        <v>0</v>
      </c>
      <c r="AO158" s="492">
        <f t="shared" si="128"/>
        <v>0</v>
      </c>
      <c r="AP158" s="659">
        <v>0</v>
      </c>
      <c r="AQ158" s="660">
        <f t="shared" si="129"/>
        <v>0</v>
      </c>
      <c r="AR158" s="792">
        <v>0</v>
      </c>
      <c r="AS158" s="774">
        <f t="shared" si="130"/>
        <v>0</v>
      </c>
      <c r="AT158" s="659">
        <v>0</v>
      </c>
      <c r="AU158" s="492">
        <f t="shared" si="131"/>
        <v>0</v>
      </c>
      <c r="AV158" s="419">
        <v>0</v>
      </c>
      <c r="AW158" s="424">
        <f t="shared" si="132"/>
        <v>0</v>
      </c>
      <c r="AX158" s="429">
        <v>0</v>
      </c>
      <c r="AY158" s="423">
        <f t="shared" si="133"/>
        <v>0</v>
      </c>
      <c r="AZ158" s="419">
        <v>0</v>
      </c>
      <c r="BA158" s="423">
        <f t="shared" si="134"/>
        <v>0</v>
      </c>
      <c r="BB158" s="420">
        <v>83479.966533776504</v>
      </c>
      <c r="BC158" s="426">
        <f t="shared" si="135"/>
        <v>25043.989960132949</v>
      </c>
      <c r="BD158" s="429">
        <v>84504.177534055794</v>
      </c>
      <c r="BE158" s="423">
        <f t="shared" si="136"/>
        <v>25351.253260216738</v>
      </c>
      <c r="BF158" s="430">
        <v>121352.86613469799</v>
      </c>
      <c r="BG158" s="423">
        <f t="shared" si="137"/>
        <v>36405.859840409394</v>
      </c>
      <c r="BH158" s="431">
        <v>97084.662303784804</v>
      </c>
      <c r="BI158" s="458">
        <f t="shared" si="138"/>
        <v>29125.39869113544</v>
      </c>
      <c r="BJ158" s="178" t="s">
        <v>231</v>
      </c>
      <c r="BK158" s="78"/>
      <c r="BL158" s="78" t="s">
        <v>92</v>
      </c>
      <c r="BM158" s="9" t="s">
        <v>295</v>
      </c>
    </row>
    <row r="159" spans="1:65">
      <c r="A159" s="195" t="s">
        <v>383</v>
      </c>
      <c r="B159" s="9" t="s">
        <v>186</v>
      </c>
      <c r="C159" s="78" t="s">
        <v>30</v>
      </c>
      <c r="D159" s="997"/>
      <c r="E159" s="999"/>
      <c r="F159" s="1001"/>
      <c r="G159" s="199">
        <v>2023</v>
      </c>
      <c r="H159" s="867" t="s">
        <v>230</v>
      </c>
      <c r="I159" s="279" t="s">
        <v>388</v>
      </c>
      <c r="J159" s="63">
        <v>15</v>
      </c>
      <c r="K159" s="62" t="s">
        <v>153</v>
      </c>
      <c r="L159" s="62" t="s">
        <v>150</v>
      </c>
      <c r="M159" s="446" t="s">
        <v>320</v>
      </c>
      <c r="N159" s="475">
        <v>7.8</v>
      </c>
      <c r="O159" s="374">
        <v>7.8</v>
      </c>
      <c r="P159" s="374">
        <v>7.5</v>
      </c>
      <c r="Q159" s="374">
        <v>7.75</v>
      </c>
      <c r="R159" s="374">
        <v>8.1999999999999993</v>
      </c>
      <c r="S159" s="374">
        <v>8.1999999999999993</v>
      </c>
      <c r="T159" s="374">
        <v>8.1999999999999993</v>
      </c>
      <c r="U159" s="374">
        <v>8.1999999999999993</v>
      </c>
      <c r="V159" s="374">
        <v>8.1999999999999993</v>
      </c>
      <c r="W159" s="374">
        <v>8.1999999999999993</v>
      </c>
      <c r="X159" s="374">
        <v>8.1999999999999993</v>
      </c>
      <c r="Y159" s="374">
        <v>8.1999999999999993</v>
      </c>
      <c r="Z159" s="710">
        <v>0.02</v>
      </c>
      <c r="AA159" s="378">
        <v>0.02</v>
      </c>
      <c r="AB159" s="341">
        <v>0.2</v>
      </c>
      <c r="AC159" s="378">
        <v>0</v>
      </c>
      <c r="AD159" s="92">
        <v>0.4</v>
      </c>
      <c r="AE159" s="92">
        <v>0.4</v>
      </c>
      <c r="AF159" s="92">
        <v>0.4</v>
      </c>
      <c r="AG159" s="92">
        <v>0.4</v>
      </c>
      <c r="AH159" s="92">
        <v>0.4</v>
      </c>
      <c r="AI159" s="92">
        <v>0.4</v>
      </c>
      <c r="AJ159" s="92">
        <v>0.4</v>
      </c>
      <c r="AK159" s="92">
        <v>0.4</v>
      </c>
      <c r="AL159" s="503">
        <v>16969</v>
      </c>
      <c r="AM159" s="496">
        <f t="shared" si="127"/>
        <v>339.38</v>
      </c>
      <c r="AN159" s="553">
        <v>16218</v>
      </c>
      <c r="AO159" s="496">
        <f t="shared" si="128"/>
        <v>324.36</v>
      </c>
      <c r="AP159" s="558">
        <v>5740</v>
      </c>
      <c r="AQ159" s="621">
        <f t="shared" si="129"/>
        <v>1148</v>
      </c>
      <c r="AR159" s="788">
        <v>5712</v>
      </c>
      <c r="AS159" s="775">
        <f t="shared" si="130"/>
        <v>0</v>
      </c>
      <c r="AT159" s="558">
        <v>12070</v>
      </c>
      <c r="AU159" s="496">
        <f t="shared" si="131"/>
        <v>4828</v>
      </c>
      <c r="AV159" s="59">
        <v>3715</v>
      </c>
      <c r="AW159" s="390">
        <f t="shared" si="132"/>
        <v>1486</v>
      </c>
      <c r="AX159" s="140">
        <v>5179</v>
      </c>
      <c r="AY159" s="389">
        <f t="shared" si="133"/>
        <v>2071.6</v>
      </c>
      <c r="AZ159" s="59">
        <v>7971</v>
      </c>
      <c r="BA159" s="389">
        <f t="shared" si="134"/>
        <v>3188.4</v>
      </c>
      <c r="BB159" s="124">
        <v>95.265652310832706</v>
      </c>
      <c r="BC159" s="391">
        <f t="shared" si="135"/>
        <v>38.106260924333085</v>
      </c>
      <c r="BD159" s="140">
        <v>0</v>
      </c>
      <c r="BE159" s="389">
        <f t="shared" si="136"/>
        <v>0</v>
      </c>
      <c r="BF159" s="141">
        <v>0</v>
      </c>
      <c r="BG159" s="389">
        <f t="shared" si="137"/>
        <v>0</v>
      </c>
      <c r="BH159" s="142">
        <v>0</v>
      </c>
      <c r="BI159" s="392">
        <f t="shared" si="138"/>
        <v>0</v>
      </c>
      <c r="BJ159" s="178" t="s">
        <v>233</v>
      </c>
      <c r="BK159" s="78" t="s">
        <v>219</v>
      </c>
      <c r="BL159" s="78" t="s">
        <v>92</v>
      </c>
      <c r="BM159" s="9" t="s">
        <v>297</v>
      </c>
    </row>
    <row r="160" spans="1:65">
      <c r="A160" s="195" t="s">
        <v>383</v>
      </c>
      <c r="B160" s="9" t="s">
        <v>186</v>
      </c>
      <c r="C160" s="78" t="s">
        <v>30</v>
      </c>
      <c r="D160" s="997"/>
      <c r="E160" s="999"/>
      <c r="F160" s="1001"/>
      <c r="G160" s="199">
        <v>2024</v>
      </c>
      <c r="H160" s="867" t="s">
        <v>330</v>
      </c>
      <c r="I160" s="279" t="s">
        <v>393</v>
      </c>
      <c r="J160" s="63">
        <v>15</v>
      </c>
      <c r="K160" s="62" t="s">
        <v>153</v>
      </c>
      <c r="L160" s="62" t="s">
        <v>150</v>
      </c>
      <c r="M160" s="446" t="s">
        <v>320</v>
      </c>
      <c r="N160" s="475">
        <v>3.08</v>
      </c>
      <c r="O160" s="374">
        <v>3.08</v>
      </c>
      <c r="P160" s="374">
        <v>3.05</v>
      </c>
      <c r="Q160" s="374">
        <v>3.05</v>
      </c>
      <c r="R160" s="952">
        <v>3.6</v>
      </c>
      <c r="S160" s="952">
        <v>3.6</v>
      </c>
      <c r="T160" s="952">
        <v>3.6</v>
      </c>
      <c r="U160" s="952">
        <v>3.6</v>
      </c>
      <c r="V160" s="952">
        <v>3.6</v>
      </c>
      <c r="W160" s="952">
        <v>3.6</v>
      </c>
      <c r="X160" s="952">
        <v>3.6</v>
      </c>
      <c r="Y160" s="953">
        <v>3.6</v>
      </c>
      <c r="Z160" s="711">
        <v>0.28000000000000003</v>
      </c>
      <c r="AA160" s="712">
        <v>0.28000000000000003</v>
      </c>
      <c r="AB160" s="712">
        <v>0.25</v>
      </c>
      <c r="AC160" s="712">
        <v>0</v>
      </c>
      <c r="AD160" s="712">
        <v>0.3</v>
      </c>
      <c r="AE160" s="712">
        <v>0.3</v>
      </c>
      <c r="AF160" s="712">
        <v>0.3</v>
      </c>
      <c r="AG160" s="712">
        <v>0.3</v>
      </c>
      <c r="AH160" s="712">
        <v>0.3</v>
      </c>
      <c r="AI160" s="954">
        <v>0.3</v>
      </c>
      <c r="AJ160" s="954">
        <v>0.3</v>
      </c>
      <c r="AK160" s="955">
        <v>0.3</v>
      </c>
      <c r="AL160" s="503">
        <v>85159</v>
      </c>
      <c r="AM160" s="519">
        <f t="shared" si="127"/>
        <v>23844.520000000004</v>
      </c>
      <c r="AN160" s="553">
        <v>24120</v>
      </c>
      <c r="AO160" s="494">
        <f t="shared" si="128"/>
        <v>6753.6</v>
      </c>
      <c r="AP160" s="558">
        <v>25880</v>
      </c>
      <c r="AQ160" s="620">
        <f t="shared" si="129"/>
        <v>6470</v>
      </c>
      <c r="AR160" s="788">
        <v>37680</v>
      </c>
      <c r="AS160" s="777">
        <f t="shared" si="130"/>
        <v>0</v>
      </c>
      <c r="AT160" s="558">
        <v>62549</v>
      </c>
      <c r="AU160" s="494">
        <f t="shared" si="131"/>
        <v>18764.7</v>
      </c>
      <c r="AV160" s="59">
        <v>21976</v>
      </c>
      <c r="AW160" s="355">
        <f t="shared" si="132"/>
        <v>6592.8</v>
      </c>
      <c r="AX160" s="140">
        <v>26768</v>
      </c>
      <c r="AY160" s="127">
        <f t="shared" si="133"/>
        <v>8030.4</v>
      </c>
      <c r="AZ160" s="59">
        <v>37841</v>
      </c>
      <c r="BA160" s="127">
        <f t="shared" si="134"/>
        <v>11352.3</v>
      </c>
      <c r="BB160" s="124">
        <v>231.66445619071499</v>
      </c>
      <c r="BC160" s="356">
        <f t="shared" si="135"/>
        <v>69.499336857214487</v>
      </c>
      <c r="BD160" s="140">
        <v>0</v>
      </c>
      <c r="BE160" s="127">
        <f t="shared" si="136"/>
        <v>0</v>
      </c>
      <c r="BF160" s="59">
        <v>0</v>
      </c>
      <c r="BG160" s="127">
        <f t="shared" si="137"/>
        <v>0</v>
      </c>
      <c r="BH160" s="124">
        <v>0</v>
      </c>
      <c r="BI160" s="329">
        <f t="shared" si="138"/>
        <v>0</v>
      </c>
      <c r="BJ160" s="178" t="s">
        <v>232</v>
      </c>
      <c r="BK160" s="78" t="s">
        <v>219</v>
      </c>
      <c r="BL160" s="78" t="s">
        <v>92</v>
      </c>
      <c r="BM160" s="9" t="s">
        <v>296</v>
      </c>
    </row>
    <row r="161" spans="1:65">
      <c r="A161" s="195" t="s">
        <v>383</v>
      </c>
      <c r="B161" s="9" t="s">
        <v>186</v>
      </c>
      <c r="C161" s="78" t="s">
        <v>30</v>
      </c>
      <c r="D161" s="997"/>
      <c r="E161" s="999"/>
      <c r="F161" s="1001"/>
      <c r="G161" s="199">
        <v>2024</v>
      </c>
      <c r="H161" s="867" t="s">
        <v>330</v>
      </c>
      <c r="I161" s="279" t="s">
        <v>151</v>
      </c>
      <c r="J161" s="63">
        <v>15</v>
      </c>
      <c r="K161" s="62" t="s">
        <v>153</v>
      </c>
      <c r="L161" s="62" t="s">
        <v>150</v>
      </c>
      <c r="M161" s="446" t="s">
        <v>320</v>
      </c>
      <c r="N161" s="475">
        <v>7.8</v>
      </c>
      <c r="O161" s="374">
        <v>7.8</v>
      </c>
      <c r="P161" s="374">
        <v>7.5</v>
      </c>
      <c r="Q161" s="374">
        <v>7.75</v>
      </c>
      <c r="R161" s="374">
        <v>8.1999999999999993</v>
      </c>
      <c r="S161" s="374">
        <v>8.1999999999999993</v>
      </c>
      <c r="T161" s="374">
        <v>8.1999999999999993</v>
      </c>
      <c r="U161" s="374">
        <v>8.1999999999999993</v>
      </c>
      <c r="V161" s="374">
        <v>8.1999999999999993</v>
      </c>
      <c r="W161" s="374">
        <v>8.1999999999999993</v>
      </c>
      <c r="X161" s="374">
        <v>8.1999999999999993</v>
      </c>
      <c r="Y161" s="374">
        <v>8.1999999999999993</v>
      </c>
      <c r="Z161" s="476">
        <v>0.02</v>
      </c>
      <c r="AA161" s="92">
        <v>0.02</v>
      </c>
      <c r="AB161" s="92">
        <v>0.2</v>
      </c>
      <c r="AC161" s="92">
        <v>0</v>
      </c>
      <c r="AD161" s="92">
        <v>0.4</v>
      </c>
      <c r="AE161" s="92">
        <v>0.4</v>
      </c>
      <c r="AF161" s="92">
        <v>0.4</v>
      </c>
      <c r="AG161" s="92">
        <v>0.4</v>
      </c>
      <c r="AH161" s="92">
        <v>0.4</v>
      </c>
      <c r="AI161" s="92">
        <v>0.4</v>
      </c>
      <c r="AJ161" s="92">
        <v>0.4</v>
      </c>
      <c r="AK161" s="92">
        <v>0.4</v>
      </c>
      <c r="AL161" s="503">
        <v>0</v>
      </c>
      <c r="AM161" s="496">
        <f t="shared" si="127"/>
        <v>0</v>
      </c>
      <c r="AN161" s="553">
        <v>0</v>
      </c>
      <c r="AO161" s="496">
        <f t="shared" si="128"/>
        <v>0</v>
      </c>
      <c r="AP161" s="558">
        <v>0</v>
      </c>
      <c r="AQ161" s="621">
        <f t="shared" si="129"/>
        <v>0</v>
      </c>
      <c r="AR161" s="788">
        <v>0</v>
      </c>
      <c r="AS161" s="777">
        <f t="shared" si="130"/>
        <v>0</v>
      </c>
      <c r="AT161" s="558">
        <v>0</v>
      </c>
      <c r="AU161" s="496">
        <f t="shared" si="131"/>
        <v>0</v>
      </c>
      <c r="AV161" s="59">
        <v>0</v>
      </c>
      <c r="AW161" s="390">
        <f t="shared" si="132"/>
        <v>0</v>
      </c>
      <c r="AX161" s="140">
        <v>0</v>
      </c>
      <c r="AY161" s="389">
        <f t="shared" si="133"/>
        <v>0</v>
      </c>
      <c r="AZ161" s="59">
        <v>0</v>
      </c>
      <c r="BA161" s="389">
        <f t="shared" si="134"/>
        <v>0</v>
      </c>
      <c r="BB161" s="124">
        <v>26210.626919596401</v>
      </c>
      <c r="BC161" s="391">
        <f t="shared" si="135"/>
        <v>10484.250767838561</v>
      </c>
      <c r="BD161" s="140">
        <v>26566.538076121102</v>
      </c>
      <c r="BE161" s="389">
        <f t="shared" si="136"/>
        <v>10626.615230448442</v>
      </c>
      <c r="BF161" s="59">
        <v>38130.127663947103</v>
      </c>
      <c r="BG161" s="389">
        <f t="shared" si="137"/>
        <v>15252.051065578842</v>
      </c>
      <c r="BH161" s="124">
        <v>30442.411833604401</v>
      </c>
      <c r="BI161" s="392">
        <f t="shared" si="138"/>
        <v>12176.96473344176</v>
      </c>
      <c r="BJ161" s="245" t="s">
        <v>234</v>
      </c>
      <c r="BK161" s="78"/>
      <c r="BL161" s="78" t="s">
        <v>92</v>
      </c>
      <c r="BM161" s="9" t="s">
        <v>298</v>
      </c>
    </row>
    <row r="162" spans="1:65">
      <c r="A162" s="195" t="s">
        <v>383</v>
      </c>
      <c r="B162" s="9" t="s">
        <v>186</v>
      </c>
      <c r="C162" s="78" t="s">
        <v>30</v>
      </c>
      <c r="D162" s="997"/>
      <c r="E162" s="999"/>
      <c r="F162" s="1001"/>
      <c r="G162" s="199">
        <v>2025</v>
      </c>
      <c r="H162" s="867" t="s">
        <v>230</v>
      </c>
      <c r="I162" s="279" t="s">
        <v>148</v>
      </c>
      <c r="J162" s="63">
        <v>15</v>
      </c>
      <c r="K162" s="410" t="s">
        <v>236</v>
      </c>
      <c r="L162" s="62" t="s">
        <v>150</v>
      </c>
      <c r="M162" s="446" t="s">
        <v>394</v>
      </c>
      <c r="N162" s="475">
        <v>4.75</v>
      </c>
      <c r="O162" s="374">
        <v>4.75</v>
      </c>
      <c r="P162" s="374">
        <v>4.75</v>
      </c>
      <c r="Q162" s="374">
        <v>4.75</v>
      </c>
      <c r="R162" s="374">
        <v>5.5</v>
      </c>
      <c r="S162" s="374">
        <v>5.5</v>
      </c>
      <c r="T162" s="374">
        <v>5.5</v>
      </c>
      <c r="U162" s="374">
        <v>5.5</v>
      </c>
      <c r="V162" s="374">
        <v>5.5</v>
      </c>
      <c r="W162" s="374">
        <v>5.5</v>
      </c>
      <c r="X162" s="374">
        <v>5.5</v>
      </c>
      <c r="Y162" s="956">
        <v>5.5</v>
      </c>
      <c r="Z162" s="476">
        <v>0.37</v>
      </c>
      <c r="AA162" s="92">
        <v>0.37</v>
      </c>
      <c r="AB162" s="92">
        <v>0.37</v>
      </c>
      <c r="AC162" s="92">
        <v>0</v>
      </c>
      <c r="AD162" s="92">
        <v>0.62</v>
      </c>
      <c r="AE162" s="92">
        <v>0.62</v>
      </c>
      <c r="AF162" s="92">
        <v>0.62</v>
      </c>
      <c r="AG162" s="92">
        <v>0.62</v>
      </c>
      <c r="AH162" s="92">
        <v>0.62</v>
      </c>
      <c r="AI162" s="92">
        <v>0.62</v>
      </c>
      <c r="AJ162" s="92">
        <v>0.62</v>
      </c>
      <c r="AK162" s="674">
        <v>0.62</v>
      </c>
      <c r="AL162" s="503">
        <v>27550</v>
      </c>
      <c r="AM162" s="519">
        <f t="shared" si="127"/>
        <v>10193.5</v>
      </c>
      <c r="AN162" s="553">
        <v>17936</v>
      </c>
      <c r="AO162" s="494">
        <f t="shared" si="128"/>
        <v>6636.32</v>
      </c>
      <c r="AP162" s="558">
        <v>21680</v>
      </c>
      <c r="AQ162" s="622">
        <f t="shared" si="129"/>
        <v>8021.5999999999995</v>
      </c>
      <c r="AR162" s="788">
        <v>3400</v>
      </c>
      <c r="AS162" s="775">
        <f t="shared" si="130"/>
        <v>0</v>
      </c>
      <c r="AT162" s="558">
        <v>5281</v>
      </c>
      <c r="AU162" s="494">
        <f t="shared" si="131"/>
        <v>3274.22</v>
      </c>
      <c r="AV162" s="59">
        <v>6428</v>
      </c>
      <c r="AW162" s="355">
        <f t="shared" si="132"/>
        <v>3985.36</v>
      </c>
      <c r="AX162" s="140">
        <v>6586</v>
      </c>
      <c r="AY162" s="127">
        <f t="shared" si="133"/>
        <v>4083.32</v>
      </c>
      <c r="AZ162" s="59">
        <v>5318</v>
      </c>
      <c r="BA162" s="127">
        <f t="shared" si="134"/>
        <v>3297.16</v>
      </c>
      <c r="BB162" s="124">
        <v>0</v>
      </c>
      <c r="BC162" s="356">
        <f t="shared" si="135"/>
        <v>0</v>
      </c>
      <c r="BD162" s="140">
        <v>0</v>
      </c>
      <c r="BE162" s="127">
        <f t="shared" si="136"/>
        <v>0</v>
      </c>
      <c r="BF162" s="141">
        <v>0</v>
      </c>
      <c r="BG162" s="127">
        <f t="shared" si="137"/>
        <v>0</v>
      </c>
      <c r="BH162" s="142">
        <v>0</v>
      </c>
      <c r="BI162" s="329">
        <f t="shared" si="138"/>
        <v>0</v>
      </c>
      <c r="BJ162" s="245" t="s">
        <v>565</v>
      </c>
      <c r="BK162" s="78"/>
      <c r="BL162" s="78" t="s">
        <v>92</v>
      </c>
      <c r="BM162" s="9" t="s">
        <v>480</v>
      </c>
    </row>
    <row r="163" spans="1:65">
      <c r="A163" s="195" t="s">
        <v>383</v>
      </c>
      <c r="B163" s="9" t="s">
        <v>186</v>
      </c>
      <c r="C163" s="78" t="s">
        <v>30</v>
      </c>
      <c r="D163" s="997"/>
      <c r="E163" s="999"/>
      <c r="F163" s="1001"/>
      <c r="G163" s="199">
        <v>2024</v>
      </c>
      <c r="H163" s="867" t="s">
        <v>230</v>
      </c>
      <c r="I163" s="279" t="s">
        <v>151</v>
      </c>
      <c r="J163" s="63">
        <v>15</v>
      </c>
      <c r="K163" s="410" t="s">
        <v>236</v>
      </c>
      <c r="L163" s="62" t="s">
        <v>150</v>
      </c>
      <c r="M163" s="446" t="s">
        <v>394</v>
      </c>
      <c r="N163" s="475">
        <v>8.5</v>
      </c>
      <c r="O163" s="374">
        <v>8.5</v>
      </c>
      <c r="P163" s="374">
        <v>8.4</v>
      </c>
      <c r="Q163" s="374">
        <v>8.4</v>
      </c>
      <c r="R163" s="82">
        <v>9</v>
      </c>
      <c r="S163" s="82">
        <v>9</v>
      </c>
      <c r="T163" s="82">
        <v>9</v>
      </c>
      <c r="U163" s="82">
        <v>9</v>
      </c>
      <c r="V163" s="82">
        <v>9</v>
      </c>
      <c r="W163" s="82">
        <v>9</v>
      </c>
      <c r="X163" s="82">
        <v>9</v>
      </c>
      <c r="Y163" s="957">
        <v>9</v>
      </c>
      <c r="Z163" s="476">
        <v>0.43</v>
      </c>
      <c r="AA163" s="92">
        <v>0.43</v>
      </c>
      <c r="AB163" s="92">
        <v>0.6</v>
      </c>
      <c r="AC163" s="92">
        <v>0</v>
      </c>
      <c r="AD163" s="92">
        <v>0.7</v>
      </c>
      <c r="AE163" s="92">
        <v>0.7</v>
      </c>
      <c r="AF163" s="92">
        <v>0.7</v>
      </c>
      <c r="AG163" s="92">
        <v>0.7</v>
      </c>
      <c r="AH163" s="92">
        <v>0.7</v>
      </c>
      <c r="AI163" s="92">
        <v>0.7</v>
      </c>
      <c r="AJ163" s="92">
        <v>0.7</v>
      </c>
      <c r="AK163" s="674">
        <v>0.7</v>
      </c>
      <c r="AL163" s="503">
        <v>1429</v>
      </c>
      <c r="AM163" s="496">
        <f t="shared" si="127"/>
        <v>614.47</v>
      </c>
      <c r="AN163" s="553">
        <v>2840</v>
      </c>
      <c r="AO163" s="496">
        <f t="shared" si="128"/>
        <v>1221.2</v>
      </c>
      <c r="AP163" s="558">
        <v>5296</v>
      </c>
      <c r="AQ163" s="621">
        <f t="shared" si="129"/>
        <v>3177.6</v>
      </c>
      <c r="AR163" s="788">
        <v>0</v>
      </c>
      <c r="AS163" s="777">
        <f t="shared" si="130"/>
        <v>0</v>
      </c>
      <c r="AT163" s="558">
        <v>720</v>
      </c>
      <c r="AU163" s="494">
        <f t="shared" si="131"/>
        <v>503.99999999999994</v>
      </c>
      <c r="AV163" s="59">
        <v>869</v>
      </c>
      <c r="AW163" s="390">
        <f t="shared" si="132"/>
        <v>608.29999999999995</v>
      </c>
      <c r="AX163" s="140">
        <v>661</v>
      </c>
      <c r="AY163" s="389">
        <f t="shared" si="133"/>
        <v>462.7</v>
      </c>
      <c r="AZ163" s="59">
        <v>593</v>
      </c>
      <c r="BA163" s="389">
        <f t="shared" si="134"/>
        <v>415.09999999999997</v>
      </c>
      <c r="BB163" s="124">
        <v>0</v>
      </c>
      <c r="BC163" s="391">
        <f t="shared" si="135"/>
        <v>0</v>
      </c>
      <c r="BD163" s="140">
        <v>0</v>
      </c>
      <c r="BE163" s="389">
        <f t="shared" si="136"/>
        <v>0</v>
      </c>
      <c r="BF163" s="141">
        <v>0</v>
      </c>
      <c r="BG163" s="389">
        <f t="shared" si="137"/>
        <v>0</v>
      </c>
      <c r="BH163" s="142">
        <v>0</v>
      </c>
      <c r="BI163" s="392">
        <f t="shared" si="138"/>
        <v>0</v>
      </c>
      <c r="BJ163" s="245" t="s">
        <v>566</v>
      </c>
      <c r="BK163" s="78" t="s">
        <v>219</v>
      </c>
      <c r="BL163" s="78" t="s">
        <v>92</v>
      </c>
      <c r="BM163" s="9" t="s">
        <v>301</v>
      </c>
    </row>
    <row r="164" spans="1:65">
      <c r="A164" s="195" t="s">
        <v>383</v>
      </c>
      <c r="B164" s="9" t="s">
        <v>186</v>
      </c>
      <c r="C164" s="78" t="s">
        <v>30</v>
      </c>
      <c r="D164" s="997"/>
      <c r="E164" s="999"/>
      <c r="F164" s="1001"/>
      <c r="G164" s="199">
        <v>2023</v>
      </c>
      <c r="H164" s="867" t="s">
        <v>230</v>
      </c>
      <c r="I164" s="279" t="s">
        <v>148</v>
      </c>
      <c r="J164" s="63">
        <v>15</v>
      </c>
      <c r="K164" s="323" t="s">
        <v>180</v>
      </c>
      <c r="L164" s="62" t="s">
        <v>150</v>
      </c>
      <c r="M164" s="446" t="s">
        <v>320</v>
      </c>
      <c r="N164" s="475">
        <v>3.08</v>
      </c>
      <c r="O164" s="374">
        <v>3.08</v>
      </c>
      <c r="P164" s="374">
        <v>3.05</v>
      </c>
      <c r="Q164" s="374">
        <v>3.05</v>
      </c>
      <c r="R164" s="952">
        <v>3.6</v>
      </c>
      <c r="S164" s="952">
        <v>3.6</v>
      </c>
      <c r="T164" s="952">
        <v>3.6</v>
      </c>
      <c r="U164" s="952">
        <v>3.6</v>
      </c>
      <c r="V164" s="952">
        <v>3.6</v>
      </c>
      <c r="W164" s="952">
        <v>3.6</v>
      </c>
      <c r="X164" s="952">
        <v>3.6</v>
      </c>
      <c r="Y164" s="953">
        <v>3.6</v>
      </c>
      <c r="Z164" s="711">
        <v>0.28000000000000003</v>
      </c>
      <c r="AA164" s="712">
        <v>0.28000000000000003</v>
      </c>
      <c r="AB164" s="712">
        <v>0.25</v>
      </c>
      <c r="AC164" s="712">
        <v>0</v>
      </c>
      <c r="AD164" s="712">
        <v>0.3</v>
      </c>
      <c r="AE164" s="712">
        <v>0.3</v>
      </c>
      <c r="AF164" s="712">
        <v>0.3</v>
      </c>
      <c r="AG164" s="712">
        <v>0.3</v>
      </c>
      <c r="AH164" s="712">
        <v>0.3</v>
      </c>
      <c r="AI164" s="954">
        <v>0.3</v>
      </c>
      <c r="AJ164" s="954">
        <v>0.3</v>
      </c>
      <c r="AK164" s="955">
        <v>0.3</v>
      </c>
      <c r="AL164" s="503">
        <v>0</v>
      </c>
      <c r="AM164" s="519">
        <f t="shared" si="127"/>
        <v>0</v>
      </c>
      <c r="AN164" s="553">
        <v>0</v>
      </c>
      <c r="AO164" s="494">
        <f t="shared" si="128"/>
        <v>0</v>
      </c>
      <c r="AP164" s="558">
        <v>0</v>
      </c>
      <c r="AQ164" s="620">
        <f t="shared" si="129"/>
        <v>0</v>
      </c>
      <c r="AR164" s="788">
        <v>0</v>
      </c>
      <c r="AS164" s="777">
        <f t="shared" si="130"/>
        <v>0</v>
      </c>
      <c r="AT164" s="558">
        <v>0</v>
      </c>
      <c r="AU164" s="496">
        <f t="shared" si="131"/>
        <v>0</v>
      </c>
      <c r="AV164" s="59">
        <v>0</v>
      </c>
      <c r="AW164" s="355">
        <f t="shared" si="132"/>
        <v>0</v>
      </c>
      <c r="AX164" s="140">
        <v>0</v>
      </c>
      <c r="AY164" s="127">
        <f t="shared" si="133"/>
        <v>0</v>
      </c>
      <c r="AZ164" s="59">
        <v>0</v>
      </c>
      <c r="BA164" s="127">
        <f t="shared" si="134"/>
        <v>0</v>
      </c>
      <c r="BB164" s="124">
        <v>13276.204176887501</v>
      </c>
      <c r="BC164" s="356">
        <f t="shared" si="135"/>
        <v>3982.8612530662499</v>
      </c>
      <c r="BD164" s="140">
        <v>13566.510165711499</v>
      </c>
      <c r="BE164" s="127">
        <f t="shared" si="136"/>
        <v>4069.9530497134497</v>
      </c>
      <c r="BF164" s="141">
        <v>19404.536642716099</v>
      </c>
      <c r="BG164" s="127">
        <f t="shared" si="137"/>
        <v>5821.3609928148298</v>
      </c>
      <c r="BH164" s="142">
        <v>15292.302101847999</v>
      </c>
      <c r="BI164" s="329">
        <f t="shared" si="138"/>
        <v>4587.6906305543998</v>
      </c>
      <c r="BJ164" s="245" t="s">
        <v>235</v>
      </c>
      <c r="BK164" s="78"/>
      <c r="BL164" s="78" t="s">
        <v>92</v>
      </c>
      <c r="BM164" s="9" t="s">
        <v>299</v>
      </c>
    </row>
    <row r="165" spans="1:65">
      <c r="A165" s="195" t="s">
        <v>383</v>
      </c>
      <c r="B165" s="9" t="s">
        <v>186</v>
      </c>
      <c r="C165" s="78" t="s">
        <v>30</v>
      </c>
      <c r="D165" s="997"/>
      <c r="E165" s="999"/>
      <c r="F165" s="1001"/>
      <c r="G165" s="199">
        <v>2024</v>
      </c>
      <c r="H165" s="867" t="s">
        <v>330</v>
      </c>
      <c r="I165" s="279" t="s">
        <v>148</v>
      </c>
      <c r="J165" s="63">
        <v>15</v>
      </c>
      <c r="K165" s="323" t="s">
        <v>180</v>
      </c>
      <c r="L165" s="62" t="s">
        <v>150</v>
      </c>
      <c r="M165" s="446" t="s">
        <v>320</v>
      </c>
      <c r="N165" s="475">
        <v>3.08</v>
      </c>
      <c r="O165" s="374">
        <v>3.08</v>
      </c>
      <c r="P165" s="374">
        <v>3.05</v>
      </c>
      <c r="Q165" s="374">
        <v>3.05</v>
      </c>
      <c r="R165" s="952">
        <v>3.6</v>
      </c>
      <c r="S165" s="952">
        <v>3.6</v>
      </c>
      <c r="T165" s="952">
        <v>3.6</v>
      </c>
      <c r="U165" s="952">
        <v>3.6</v>
      </c>
      <c r="V165" s="952">
        <v>3.6</v>
      </c>
      <c r="W165" s="952">
        <v>3.6</v>
      </c>
      <c r="X165" s="952">
        <v>3.6</v>
      </c>
      <c r="Y165" s="953">
        <v>3.6</v>
      </c>
      <c r="Z165" s="711">
        <v>0.28000000000000003</v>
      </c>
      <c r="AA165" s="712">
        <v>0.28000000000000003</v>
      </c>
      <c r="AB165" s="712">
        <v>0.25</v>
      </c>
      <c r="AC165" s="712">
        <v>0</v>
      </c>
      <c r="AD165" s="712">
        <v>0.3</v>
      </c>
      <c r="AE165" s="712">
        <v>0.3</v>
      </c>
      <c r="AF165" s="712">
        <v>0.3</v>
      </c>
      <c r="AG165" s="712">
        <v>0.3</v>
      </c>
      <c r="AH165" s="712">
        <v>0.3</v>
      </c>
      <c r="AI165" s="954">
        <v>0.3</v>
      </c>
      <c r="AJ165" s="954">
        <v>0.3</v>
      </c>
      <c r="AK165" s="955">
        <v>0.3</v>
      </c>
      <c r="AL165" s="503">
        <v>19760</v>
      </c>
      <c r="AM165" s="496">
        <f t="shared" si="127"/>
        <v>5532.8</v>
      </c>
      <c r="AN165" s="553">
        <v>16518</v>
      </c>
      <c r="AO165" s="496">
        <f t="shared" si="128"/>
        <v>4625.0400000000009</v>
      </c>
      <c r="AP165" s="558">
        <v>4700</v>
      </c>
      <c r="AQ165" s="621">
        <f t="shared" si="129"/>
        <v>1175</v>
      </c>
      <c r="AR165" s="788">
        <v>9000</v>
      </c>
      <c r="AS165" s="775">
        <f t="shared" si="130"/>
        <v>0</v>
      </c>
      <c r="AT165" s="558">
        <v>21718</v>
      </c>
      <c r="AU165" s="494">
        <f t="shared" si="131"/>
        <v>6515.4</v>
      </c>
      <c r="AV165" s="59">
        <v>5200</v>
      </c>
      <c r="AW165" s="390">
        <f t="shared" si="132"/>
        <v>1560</v>
      </c>
      <c r="AX165" s="140">
        <v>6017</v>
      </c>
      <c r="AY165" s="389">
        <f t="shared" si="133"/>
        <v>1805.1</v>
      </c>
      <c r="AZ165" s="59">
        <v>6715</v>
      </c>
      <c r="BA165" s="389">
        <f t="shared" si="134"/>
        <v>2014.5</v>
      </c>
      <c r="BB165" s="124">
        <v>0</v>
      </c>
      <c r="BC165" s="391">
        <f t="shared" si="135"/>
        <v>0</v>
      </c>
      <c r="BD165" s="140">
        <v>0</v>
      </c>
      <c r="BE165" s="389">
        <f t="shared" si="136"/>
        <v>0</v>
      </c>
      <c r="BF165" s="141">
        <v>0</v>
      </c>
      <c r="BG165" s="389">
        <f t="shared" si="137"/>
        <v>0</v>
      </c>
      <c r="BH165" s="142">
        <v>0</v>
      </c>
      <c r="BI165" s="392">
        <f t="shared" si="138"/>
        <v>0</v>
      </c>
      <c r="BJ165" s="245" t="s">
        <v>386</v>
      </c>
      <c r="BK165" s="78" t="s">
        <v>219</v>
      </c>
      <c r="BL165" s="78" t="s">
        <v>92</v>
      </c>
      <c r="BM165" s="9" t="s">
        <v>302</v>
      </c>
    </row>
    <row r="166" spans="1:65">
      <c r="A166" s="195" t="s">
        <v>383</v>
      </c>
      <c r="B166" s="9" t="s">
        <v>186</v>
      </c>
      <c r="C166" s="78" t="s">
        <v>30</v>
      </c>
      <c r="D166" s="997"/>
      <c r="E166" s="999"/>
      <c r="F166" s="1001"/>
      <c r="G166" s="199">
        <v>2024</v>
      </c>
      <c r="H166" s="867" t="s">
        <v>330</v>
      </c>
      <c r="I166" s="279" t="s">
        <v>148</v>
      </c>
      <c r="J166" s="63">
        <v>15</v>
      </c>
      <c r="K166" s="62" t="s">
        <v>153</v>
      </c>
      <c r="L166" s="62" t="s">
        <v>154</v>
      </c>
      <c r="M166" s="446" t="s">
        <v>325</v>
      </c>
      <c r="N166" s="475">
        <v>3.08</v>
      </c>
      <c r="O166" s="374">
        <v>3.08</v>
      </c>
      <c r="P166" s="374">
        <v>3.05</v>
      </c>
      <c r="Q166" s="374">
        <v>3.05</v>
      </c>
      <c r="R166" s="952">
        <v>3.6</v>
      </c>
      <c r="S166" s="952">
        <v>3.6</v>
      </c>
      <c r="T166" s="952">
        <v>3.6</v>
      </c>
      <c r="U166" s="952">
        <v>3.6</v>
      </c>
      <c r="V166" s="952">
        <v>3.6</v>
      </c>
      <c r="W166" s="952">
        <v>3.6</v>
      </c>
      <c r="X166" s="952">
        <v>3.6</v>
      </c>
      <c r="Y166" s="953">
        <v>3.6</v>
      </c>
      <c r="Z166" s="711">
        <v>0.28000000000000003</v>
      </c>
      <c r="AA166" s="712">
        <v>0.28000000000000003</v>
      </c>
      <c r="AB166" s="712">
        <v>0.25</v>
      </c>
      <c r="AC166" s="712">
        <v>0</v>
      </c>
      <c r="AD166" s="712">
        <v>0.3</v>
      </c>
      <c r="AE166" s="712">
        <v>0.3</v>
      </c>
      <c r="AF166" s="712">
        <v>0.3</v>
      </c>
      <c r="AG166" s="712">
        <v>0.3</v>
      </c>
      <c r="AH166" s="712">
        <v>0.3</v>
      </c>
      <c r="AI166" s="954">
        <v>0.3</v>
      </c>
      <c r="AJ166" s="954">
        <v>0.3</v>
      </c>
      <c r="AK166" s="955">
        <v>0.3</v>
      </c>
      <c r="AL166" s="503">
        <v>26600</v>
      </c>
      <c r="AM166" s="519">
        <f t="shared" si="127"/>
        <v>7448.0000000000009</v>
      </c>
      <c r="AN166" s="553">
        <v>18560</v>
      </c>
      <c r="AO166" s="496">
        <f t="shared" si="128"/>
        <v>5196.8</v>
      </c>
      <c r="AP166" s="558">
        <v>8720</v>
      </c>
      <c r="AQ166" s="622">
        <f t="shared" si="129"/>
        <v>2180</v>
      </c>
      <c r="AR166" s="788">
        <v>1600</v>
      </c>
      <c r="AS166" s="777">
        <f t="shared" si="130"/>
        <v>0</v>
      </c>
      <c r="AT166" s="558">
        <v>10340</v>
      </c>
      <c r="AU166" s="496">
        <f t="shared" si="131"/>
        <v>3102</v>
      </c>
      <c r="AV166" s="59">
        <v>24010</v>
      </c>
      <c r="AW166" s="390">
        <f t="shared" si="132"/>
        <v>7203</v>
      </c>
      <c r="AX166" s="140">
        <v>6915</v>
      </c>
      <c r="AY166" s="389">
        <f t="shared" si="133"/>
        <v>2074.5</v>
      </c>
      <c r="AZ166" s="59">
        <v>2422</v>
      </c>
      <c r="BA166" s="389">
        <f t="shared" si="134"/>
        <v>726.6</v>
      </c>
      <c r="BB166" s="373">
        <v>0</v>
      </c>
      <c r="BC166" s="391">
        <f t="shared" si="135"/>
        <v>0</v>
      </c>
      <c r="BD166" s="140">
        <v>0</v>
      </c>
      <c r="BE166" s="389">
        <f t="shared" si="136"/>
        <v>0</v>
      </c>
      <c r="BF166" s="141">
        <v>0</v>
      </c>
      <c r="BG166" s="389">
        <f t="shared" si="137"/>
        <v>0</v>
      </c>
      <c r="BH166" s="142">
        <v>0</v>
      </c>
      <c r="BI166" s="392">
        <f t="shared" si="138"/>
        <v>0</v>
      </c>
      <c r="BJ166" s="178" t="s">
        <v>237</v>
      </c>
      <c r="BK166" s="78" t="s">
        <v>219</v>
      </c>
      <c r="BL166" s="78" t="s">
        <v>92</v>
      </c>
      <c r="BM166" s="9" t="s">
        <v>296</v>
      </c>
    </row>
    <row r="167" spans="1:65">
      <c r="A167" s="195" t="s">
        <v>383</v>
      </c>
      <c r="B167" s="9" t="s">
        <v>186</v>
      </c>
      <c r="C167" s="78" t="s">
        <v>30</v>
      </c>
      <c r="D167" s="997"/>
      <c r="E167" s="999"/>
      <c r="F167" s="1001"/>
      <c r="G167" s="199">
        <v>2024</v>
      </c>
      <c r="H167" s="867" t="s">
        <v>230</v>
      </c>
      <c r="I167" s="279" t="s">
        <v>148</v>
      </c>
      <c r="J167" s="63">
        <v>15</v>
      </c>
      <c r="K167" s="62" t="s">
        <v>153</v>
      </c>
      <c r="L167" s="62" t="s">
        <v>154</v>
      </c>
      <c r="M167" s="446" t="s">
        <v>325</v>
      </c>
      <c r="N167" s="475">
        <v>3.08</v>
      </c>
      <c r="O167" s="374">
        <v>3.08</v>
      </c>
      <c r="P167" s="374">
        <v>3.05</v>
      </c>
      <c r="Q167" s="374">
        <v>3.05</v>
      </c>
      <c r="R167" s="952">
        <v>3.6</v>
      </c>
      <c r="S167" s="952">
        <v>3.6</v>
      </c>
      <c r="T167" s="952">
        <v>3.6</v>
      </c>
      <c r="U167" s="952">
        <v>3.6</v>
      </c>
      <c r="V167" s="952">
        <v>3.6</v>
      </c>
      <c r="W167" s="952">
        <v>3.6</v>
      </c>
      <c r="X167" s="952">
        <v>3.6</v>
      </c>
      <c r="Y167" s="953">
        <v>3.6</v>
      </c>
      <c r="Z167" s="711">
        <v>0.28000000000000003</v>
      </c>
      <c r="AA167" s="712">
        <v>0.28000000000000003</v>
      </c>
      <c r="AB167" s="712">
        <v>0.25</v>
      </c>
      <c r="AC167" s="712">
        <v>0</v>
      </c>
      <c r="AD167" s="712">
        <v>0.3</v>
      </c>
      <c r="AE167" s="712">
        <v>0.3</v>
      </c>
      <c r="AF167" s="712">
        <v>0.3</v>
      </c>
      <c r="AG167" s="712">
        <v>0.3</v>
      </c>
      <c r="AH167" s="712">
        <v>0.3</v>
      </c>
      <c r="AI167" s="954">
        <v>0.3</v>
      </c>
      <c r="AJ167" s="954">
        <v>0.3</v>
      </c>
      <c r="AK167" s="955">
        <v>0.3</v>
      </c>
      <c r="AL167" s="503">
        <v>137</v>
      </c>
      <c r="AM167" s="496">
        <f t="shared" si="127"/>
        <v>38.360000000000007</v>
      </c>
      <c r="AN167" s="558">
        <v>0</v>
      </c>
      <c r="AO167" s="494">
        <f t="shared" si="128"/>
        <v>0</v>
      </c>
      <c r="AP167" s="558">
        <v>0</v>
      </c>
      <c r="AQ167" s="621">
        <f t="shared" si="129"/>
        <v>0</v>
      </c>
      <c r="AR167" s="788">
        <v>0</v>
      </c>
      <c r="AS167" s="777">
        <f t="shared" si="130"/>
        <v>0</v>
      </c>
      <c r="AT167" s="558">
        <v>0</v>
      </c>
      <c r="AU167" s="494">
        <f t="shared" si="131"/>
        <v>0</v>
      </c>
      <c r="AV167" s="59">
        <v>0</v>
      </c>
      <c r="AW167" s="355">
        <f t="shared" si="132"/>
        <v>0</v>
      </c>
      <c r="AX167" s="140">
        <v>0</v>
      </c>
      <c r="AY167" s="127">
        <f t="shared" si="133"/>
        <v>0</v>
      </c>
      <c r="AZ167" s="59">
        <v>0</v>
      </c>
      <c r="BA167" s="127">
        <f t="shared" si="134"/>
        <v>0</v>
      </c>
      <c r="BB167" s="373">
        <v>0</v>
      </c>
      <c r="BC167" s="356">
        <f t="shared" si="135"/>
        <v>0</v>
      </c>
      <c r="BD167" s="140">
        <v>0</v>
      </c>
      <c r="BE167" s="127">
        <f t="shared" si="136"/>
        <v>0</v>
      </c>
      <c r="BF167" s="59">
        <v>0</v>
      </c>
      <c r="BG167" s="127">
        <f t="shared" si="137"/>
        <v>0</v>
      </c>
      <c r="BH167" s="124">
        <v>0</v>
      </c>
      <c r="BI167" s="329">
        <f t="shared" si="138"/>
        <v>0</v>
      </c>
      <c r="BJ167" s="245" t="s">
        <v>238</v>
      </c>
      <c r="BK167" s="78"/>
      <c r="BL167" s="78" t="s">
        <v>92</v>
      </c>
      <c r="BM167" s="9" t="s">
        <v>295</v>
      </c>
    </row>
    <row r="168" spans="1:65">
      <c r="A168" s="195" t="s">
        <v>383</v>
      </c>
      <c r="B168" s="9" t="s">
        <v>186</v>
      </c>
      <c r="C168" s="78" t="s">
        <v>30</v>
      </c>
      <c r="D168" s="997"/>
      <c r="E168" s="999"/>
      <c r="F168" s="1001"/>
      <c r="G168" s="199">
        <v>2024</v>
      </c>
      <c r="H168" s="867" t="s">
        <v>230</v>
      </c>
      <c r="I168" s="279" t="s">
        <v>151</v>
      </c>
      <c r="J168" s="63">
        <v>15</v>
      </c>
      <c r="K168" s="321" t="s">
        <v>236</v>
      </c>
      <c r="L168" s="62" t="s">
        <v>154</v>
      </c>
      <c r="M168" s="446" t="s">
        <v>325</v>
      </c>
      <c r="N168" s="475">
        <v>8.5</v>
      </c>
      <c r="O168" s="374">
        <v>8.5</v>
      </c>
      <c r="P168" s="374">
        <v>8.4</v>
      </c>
      <c r="Q168" s="374">
        <v>8.4</v>
      </c>
      <c r="R168" s="82">
        <v>9</v>
      </c>
      <c r="S168" s="82">
        <v>9</v>
      </c>
      <c r="T168" s="82">
        <v>9</v>
      </c>
      <c r="U168" s="82">
        <v>9</v>
      </c>
      <c r="V168" s="82">
        <v>9</v>
      </c>
      <c r="W168" s="82">
        <v>9</v>
      </c>
      <c r="X168" s="82">
        <v>9</v>
      </c>
      <c r="Y168" s="957">
        <v>9</v>
      </c>
      <c r="Z168" s="710">
        <v>0.43</v>
      </c>
      <c r="AA168" s="378">
        <v>0.43</v>
      </c>
      <c r="AB168" s="378">
        <v>0.6</v>
      </c>
      <c r="AC168" s="378">
        <v>0</v>
      </c>
      <c r="AD168" s="92">
        <v>0.7</v>
      </c>
      <c r="AE168" s="92">
        <v>0.7</v>
      </c>
      <c r="AF168" s="92">
        <v>0.7</v>
      </c>
      <c r="AG168" s="92">
        <v>0.7</v>
      </c>
      <c r="AH168" s="92">
        <v>0.7</v>
      </c>
      <c r="AI168" s="92">
        <v>0.7</v>
      </c>
      <c r="AJ168" s="92">
        <v>0.7</v>
      </c>
      <c r="AK168" s="674">
        <v>0.7</v>
      </c>
      <c r="AL168" s="503">
        <v>0</v>
      </c>
      <c r="AM168" s="519">
        <f t="shared" si="127"/>
        <v>0</v>
      </c>
      <c r="AN168" s="558">
        <v>0</v>
      </c>
      <c r="AO168" s="496">
        <f t="shared" si="128"/>
        <v>0</v>
      </c>
      <c r="AP168" s="558">
        <v>0</v>
      </c>
      <c r="AQ168" s="620">
        <f t="shared" si="129"/>
        <v>0</v>
      </c>
      <c r="AR168" s="788">
        <v>0</v>
      </c>
      <c r="AS168" s="775">
        <f t="shared" si="130"/>
        <v>0</v>
      </c>
      <c r="AT168" s="558">
        <v>0</v>
      </c>
      <c r="AU168" s="494">
        <f t="shared" si="131"/>
        <v>0</v>
      </c>
      <c r="AV168" s="59">
        <v>0</v>
      </c>
      <c r="AW168" s="390">
        <f t="shared" si="132"/>
        <v>0</v>
      </c>
      <c r="AX168" s="140">
        <v>0</v>
      </c>
      <c r="AY168" s="389">
        <f t="shared" si="133"/>
        <v>0</v>
      </c>
      <c r="AZ168" s="59">
        <v>0</v>
      </c>
      <c r="BA168" s="389">
        <f t="shared" si="134"/>
        <v>0</v>
      </c>
      <c r="BB168" s="373">
        <v>0</v>
      </c>
      <c r="BC168" s="391">
        <f t="shared" si="135"/>
        <v>0</v>
      </c>
      <c r="BD168" s="140">
        <v>0</v>
      </c>
      <c r="BE168" s="389">
        <f t="shared" si="136"/>
        <v>0</v>
      </c>
      <c r="BF168" s="141">
        <v>0</v>
      </c>
      <c r="BG168" s="389">
        <f t="shared" si="137"/>
        <v>0</v>
      </c>
      <c r="BH168" s="142">
        <v>0</v>
      </c>
      <c r="BI168" s="392">
        <f t="shared" si="138"/>
        <v>0</v>
      </c>
      <c r="BJ168" s="245" t="s">
        <v>239</v>
      </c>
      <c r="BK168" s="78"/>
      <c r="BL168" s="78" t="s">
        <v>92</v>
      </c>
      <c r="BM168" s="9" t="s">
        <v>300</v>
      </c>
    </row>
    <row r="169" spans="1:65">
      <c r="A169" s="195" t="s">
        <v>383</v>
      </c>
      <c r="B169" s="9" t="s">
        <v>186</v>
      </c>
      <c r="C169" s="78" t="s">
        <v>30</v>
      </c>
      <c r="D169" s="1010"/>
      <c r="E169" s="1001"/>
      <c r="F169" s="1001"/>
      <c r="G169" s="484">
        <v>2023</v>
      </c>
      <c r="H169" s="868" t="s">
        <v>330</v>
      </c>
      <c r="I169" s="280" t="s">
        <v>148</v>
      </c>
      <c r="J169" s="189">
        <v>15</v>
      </c>
      <c r="K169" s="321" t="s">
        <v>493</v>
      </c>
      <c r="L169" s="188" t="s">
        <v>154</v>
      </c>
      <c r="M169" s="106" t="s">
        <v>395</v>
      </c>
      <c r="N169" s="475">
        <v>3.08</v>
      </c>
      <c r="O169" s="374">
        <v>3.08</v>
      </c>
      <c r="P169" s="374">
        <v>3.05</v>
      </c>
      <c r="Q169" s="374">
        <v>3.05</v>
      </c>
      <c r="R169" s="952">
        <v>3.6</v>
      </c>
      <c r="S169" s="952">
        <v>3.6</v>
      </c>
      <c r="T169" s="952">
        <v>3.6</v>
      </c>
      <c r="U169" s="952">
        <v>3.6</v>
      </c>
      <c r="V169" s="952">
        <v>3.6</v>
      </c>
      <c r="W169" s="952">
        <v>3.6</v>
      </c>
      <c r="X169" s="952">
        <v>3.6</v>
      </c>
      <c r="Y169" s="953">
        <v>3.6</v>
      </c>
      <c r="Z169" s="711">
        <v>0.28000000000000003</v>
      </c>
      <c r="AA169" s="712">
        <v>0.28000000000000003</v>
      </c>
      <c r="AB169" s="712">
        <v>0.25</v>
      </c>
      <c r="AC169" s="712">
        <v>0</v>
      </c>
      <c r="AD169" s="712">
        <v>0.3</v>
      </c>
      <c r="AE169" s="712">
        <v>0.3</v>
      </c>
      <c r="AF169" s="712">
        <v>0.3</v>
      </c>
      <c r="AG169" s="712">
        <v>0.3</v>
      </c>
      <c r="AH169" s="712">
        <v>0.3</v>
      </c>
      <c r="AI169" s="954">
        <v>0.3</v>
      </c>
      <c r="AJ169" s="954">
        <v>0.3</v>
      </c>
      <c r="AK169" s="955">
        <v>0.3</v>
      </c>
      <c r="AL169" s="527">
        <v>8400</v>
      </c>
      <c r="AM169" s="528">
        <f t="shared" si="127"/>
        <v>2352</v>
      </c>
      <c r="AN169" s="574">
        <v>1520</v>
      </c>
      <c r="AO169" s="578">
        <f t="shared" si="128"/>
        <v>425.6</v>
      </c>
      <c r="AP169" s="574">
        <v>0</v>
      </c>
      <c r="AQ169" s="661">
        <f t="shared" si="129"/>
        <v>0</v>
      </c>
      <c r="AR169" s="789">
        <v>0</v>
      </c>
      <c r="AS169" s="793">
        <f t="shared" si="130"/>
        <v>0</v>
      </c>
      <c r="AT169" s="574">
        <v>3520</v>
      </c>
      <c r="AU169" s="528">
        <f t="shared" si="131"/>
        <v>1056</v>
      </c>
      <c r="AV169" s="371">
        <v>0</v>
      </c>
      <c r="AW169" s="486">
        <f t="shared" si="132"/>
        <v>0</v>
      </c>
      <c r="AX169" s="190">
        <v>0</v>
      </c>
      <c r="AY169" s="485">
        <f t="shared" si="133"/>
        <v>0</v>
      </c>
      <c r="AZ169" s="371">
        <v>0</v>
      </c>
      <c r="BA169" s="485">
        <f t="shared" si="134"/>
        <v>0</v>
      </c>
      <c r="BB169" s="373">
        <v>0</v>
      </c>
      <c r="BC169" s="487">
        <f t="shared" si="135"/>
        <v>0</v>
      </c>
      <c r="BD169" s="190">
        <v>0</v>
      </c>
      <c r="BE169" s="485">
        <f t="shared" si="136"/>
        <v>0</v>
      </c>
      <c r="BF169" s="371">
        <v>0</v>
      </c>
      <c r="BG169" s="485">
        <f t="shared" si="137"/>
        <v>0</v>
      </c>
      <c r="BH169" s="373">
        <v>0</v>
      </c>
      <c r="BI169" s="488">
        <f t="shared" si="138"/>
        <v>0</v>
      </c>
      <c r="BJ169" s="245" t="s">
        <v>483</v>
      </c>
      <c r="BK169" s="78" t="s">
        <v>219</v>
      </c>
      <c r="BL169" s="78" t="s">
        <v>92</v>
      </c>
      <c r="BM169" s="9" t="s">
        <v>492</v>
      </c>
    </row>
    <row r="170" spans="1:65">
      <c r="A170" s="195" t="s">
        <v>383</v>
      </c>
      <c r="B170" s="9" t="s">
        <v>186</v>
      </c>
      <c r="C170" s="78" t="s">
        <v>30</v>
      </c>
      <c r="D170" s="997"/>
      <c r="E170" s="999"/>
      <c r="F170" s="1001"/>
      <c r="G170" s="199">
        <v>2024</v>
      </c>
      <c r="H170" s="867" t="s">
        <v>230</v>
      </c>
      <c r="I170" s="279" t="s">
        <v>148</v>
      </c>
      <c r="J170" s="63">
        <v>15</v>
      </c>
      <c r="K170" s="321" t="s">
        <v>180</v>
      </c>
      <c r="L170" s="62" t="s">
        <v>154</v>
      </c>
      <c r="M170" s="446" t="s">
        <v>395</v>
      </c>
      <c r="N170" s="475">
        <v>3.08</v>
      </c>
      <c r="O170" s="374">
        <v>3.08</v>
      </c>
      <c r="P170" s="374">
        <v>3.05</v>
      </c>
      <c r="Q170" s="374">
        <v>3.05</v>
      </c>
      <c r="R170" s="952">
        <v>3.6</v>
      </c>
      <c r="S170" s="952">
        <v>3.6</v>
      </c>
      <c r="T170" s="952">
        <v>3.6</v>
      </c>
      <c r="U170" s="952">
        <v>3.6</v>
      </c>
      <c r="V170" s="952">
        <v>3.6</v>
      </c>
      <c r="W170" s="952">
        <v>3.6</v>
      </c>
      <c r="X170" s="952">
        <v>3.6</v>
      </c>
      <c r="Y170" s="953">
        <v>3.6</v>
      </c>
      <c r="Z170" s="711">
        <v>0.28000000000000003</v>
      </c>
      <c r="AA170" s="712">
        <v>0.28000000000000003</v>
      </c>
      <c r="AB170" s="712">
        <v>0.25</v>
      </c>
      <c r="AC170" s="712">
        <v>0</v>
      </c>
      <c r="AD170" s="712">
        <v>0.3</v>
      </c>
      <c r="AE170" s="712">
        <v>0.3</v>
      </c>
      <c r="AF170" s="712">
        <v>0.3</v>
      </c>
      <c r="AG170" s="712">
        <v>0.3</v>
      </c>
      <c r="AH170" s="712">
        <v>0.3</v>
      </c>
      <c r="AI170" s="954">
        <v>0.3</v>
      </c>
      <c r="AJ170" s="954">
        <v>0.3</v>
      </c>
      <c r="AK170" s="955">
        <v>0.3</v>
      </c>
      <c r="AL170" s="503">
        <v>0</v>
      </c>
      <c r="AM170" s="519">
        <f t="shared" si="127"/>
        <v>0</v>
      </c>
      <c r="AN170" s="558">
        <v>0</v>
      </c>
      <c r="AO170" s="496">
        <f t="shared" si="128"/>
        <v>0</v>
      </c>
      <c r="AP170" s="558">
        <v>0</v>
      </c>
      <c r="AQ170" s="622">
        <f t="shared" si="129"/>
        <v>0</v>
      </c>
      <c r="AR170" s="788">
        <v>0</v>
      </c>
      <c r="AS170" s="777">
        <f t="shared" si="130"/>
        <v>0</v>
      </c>
      <c r="AT170" s="558">
        <v>0</v>
      </c>
      <c r="AU170" s="494">
        <f t="shared" si="131"/>
        <v>0</v>
      </c>
      <c r="AV170" s="59">
        <v>0</v>
      </c>
      <c r="AW170" s="390">
        <f t="shared" si="132"/>
        <v>0</v>
      </c>
      <c r="AX170" s="140">
        <v>0</v>
      </c>
      <c r="AY170" s="389">
        <f t="shared" si="133"/>
        <v>0</v>
      </c>
      <c r="AZ170" s="59">
        <v>0</v>
      </c>
      <c r="BA170" s="389">
        <f t="shared" si="134"/>
        <v>0</v>
      </c>
      <c r="BB170" s="373">
        <v>0</v>
      </c>
      <c r="BC170" s="391">
        <f t="shared" si="135"/>
        <v>0</v>
      </c>
      <c r="BD170" s="140">
        <v>0</v>
      </c>
      <c r="BE170" s="389">
        <f t="shared" si="136"/>
        <v>0</v>
      </c>
      <c r="BF170" s="59">
        <v>0</v>
      </c>
      <c r="BG170" s="389">
        <f t="shared" si="137"/>
        <v>0</v>
      </c>
      <c r="BH170" s="124">
        <v>0</v>
      </c>
      <c r="BI170" s="392">
        <f t="shared" si="138"/>
        <v>0</v>
      </c>
      <c r="BJ170" s="245" t="s">
        <v>240</v>
      </c>
      <c r="BK170" s="78"/>
      <c r="BL170" s="78" t="s">
        <v>92</v>
      </c>
      <c r="BM170" s="9" t="s">
        <v>299</v>
      </c>
    </row>
    <row r="171" spans="1:65">
      <c r="A171" s="195" t="s">
        <v>383</v>
      </c>
      <c r="B171" s="9" t="s">
        <v>186</v>
      </c>
      <c r="C171" s="78" t="s">
        <v>30</v>
      </c>
      <c r="D171" s="997"/>
      <c r="E171" s="999"/>
      <c r="F171" s="1001"/>
      <c r="G171" s="199">
        <v>2024</v>
      </c>
      <c r="H171" s="867" t="s">
        <v>330</v>
      </c>
      <c r="I171" s="279" t="s">
        <v>148</v>
      </c>
      <c r="J171" s="63">
        <v>15</v>
      </c>
      <c r="K171" s="321" t="s">
        <v>180</v>
      </c>
      <c r="L171" s="62" t="s">
        <v>154</v>
      </c>
      <c r="M171" s="446" t="s">
        <v>325</v>
      </c>
      <c r="N171" s="475">
        <v>3.08</v>
      </c>
      <c r="O171" s="374">
        <v>3.08</v>
      </c>
      <c r="P171" s="374">
        <v>3.05</v>
      </c>
      <c r="Q171" s="374">
        <v>3.05</v>
      </c>
      <c r="R171" s="952">
        <v>3.6</v>
      </c>
      <c r="S171" s="952">
        <v>3.6</v>
      </c>
      <c r="T171" s="952">
        <v>3.6</v>
      </c>
      <c r="U171" s="952">
        <v>3.6</v>
      </c>
      <c r="V171" s="952">
        <v>3.6</v>
      </c>
      <c r="W171" s="952">
        <v>3.6</v>
      </c>
      <c r="X171" s="952">
        <v>3.6</v>
      </c>
      <c r="Y171" s="953">
        <v>3.6</v>
      </c>
      <c r="Z171" s="711">
        <v>0.28000000000000003</v>
      </c>
      <c r="AA171" s="712">
        <v>0.28000000000000003</v>
      </c>
      <c r="AB171" s="712">
        <v>0.25</v>
      </c>
      <c r="AC171" s="712">
        <v>0</v>
      </c>
      <c r="AD171" s="712">
        <v>0.3</v>
      </c>
      <c r="AE171" s="712">
        <v>0.3</v>
      </c>
      <c r="AF171" s="712">
        <v>0.3</v>
      </c>
      <c r="AG171" s="712">
        <v>0.3</v>
      </c>
      <c r="AH171" s="712">
        <v>0.3</v>
      </c>
      <c r="AI171" s="954">
        <v>0.3</v>
      </c>
      <c r="AJ171" s="954">
        <v>0.3</v>
      </c>
      <c r="AK171" s="955">
        <v>0.3</v>
      </c>
      <c r="AL171" s="503">
        <v>14020</v>
      </c>
      <c r="AM171" s="496">
        <f t="shared" si="127"/>
        <v>3925.6000000000004</v>
      </c>
      <c r="AN171" s="558">
        <v>6280</v>
      </c>
      <c r="AO171" s="494">
        <f t="shared" si="128"/>
        <v>1758.4</v>
      </c>
      <c r="AP171" s="558">
        <v>13800</v>
      </c>
      <c r="AQ171" s="621">
        <f t="shared" si="129"/>
        <v>3450</v>
      </c>
      <c r="AR171" s="788">
        <v>0</v>
      </c>
      <c r="AS171" s="775">
        <f t="shared" si="130"/>
        <v>0</v>
      </c>
      <c r="AT171" s="558">
        <v>4040</v>
      </c>
      <c r="AU171" s="496">
        <f t="shared" si="131"/>
        <v>1212</v>
      </c>
      <c r="AV171" s="59">
        <v>613</v>
      </c>
      <c r="AW171" s="355">
        <f t="shared" si="132"/>
        <v>183.9</v>
      </c>
      <c r="AX171" s="140">
        <v>325</v>
      </c>
      <c r="AY171" s="127">
        <f t="shared" si="133"/>
        <v>97.5</v>
      </c>
      <c r="AZ171" s="59">
        <v>277</v>
      </c>
      <c r="BA171" s="127">
        <f t="shared" si="134"/>
        <v>83.1</v>
      </c>
      <c r="BB171" s="373">
        <v>0</v>
      </c>
      <c r="BC171" s="356">
        <f t="shared" si="135"/>
        <v>0</v>
      </c>
      <c r="BD171" s="140">
        <v>0</v>
      </c>
      <c r="BE171" s="127">
        <f t="shared" si="136"/>
        <v>0</v>
      </c>
      <c r="BF171" s="59">
        <v>0</v>
      </c>
      <c r="BG171" s="127">
        <f t="shared" si="137"/>
        <v>0</v>
      </c>
      <c r="BH171" s="124">
        <v>0</v>
      </c>
      <c r="BI171" s="329">
        <f t="shared" si="138"/>
        <v>0</v>
      </c>
      <c r="BJ171" s="245" t="s">
        <v>241</v>
      </c>
      <c r="BK171" s="78" t="s">
        <v>219</v>
      </c>
      <c r="BL171" s="78" t="s">
        <v>92</v>
      </c>
      <c r="BM171" s="9" t="s">
        <v>302</v>
      </c>
    </row>
    <row r="172" spans="1:65">
      <c r="A172" s="195" t="s">
        <v>383</v>
      </c>
      <c r="B172" s="9" t="s">
        <v>186</v>
      </c>
      <c r="C172" s="78" t="s">
        <v>30</v>
      </c>
      <c r="D172" s="997"/>
      <c r="E172" s="999"/>
      <c r="F172" s="1001"/>
      <c r="G172" s="199">
        <v>2024</v>
      </c>
      <c r="H172" s="867" t="s">
        <v>330</v>
      </c>
      <c r="I172" s="279" t="s">
        <v>151</v>
      </c>
      <c r="J172" s="63">
        <v>15</v>
      </c>
      <c r="K172" s="62" t="s">
        <v>153</v>
      </c>
      <c r="L172" s="62" t="s">
        <v>154</v>
      </c>
      <c r="M172" s="446" t="s">
        <v>325</v>
      </c>
      <c r="N172" s="475">
        <v>7.8</v>
      </c>
      <c r="O172" s="374">
        <v>7.8</v>
      </c>
      <c r="P172" s="374">
        <v>7.5</v>
      </c>
      <c r="Q172" s="374">
        <v>7.75</v>
      </c>
      <c r="R172" s="374">
        <v>8.1999999999999993</v>
      </c>
      <c r="S172" s="374">
        <v>8.1999999999999993</v>
      </c>
      <c r="T172" s="374">
        <v>8.1999999999999993</v>
      </c>
      <c r="U172" s="374">
        <v>8.1999999999999993</v>
      </c>
      <c r="V172" s="374">
        <v>8.1999999999999993</v>
      </c>
      <c r="W172" s="374">
        <v>8.1999999999999993</v>
      </c>
      <c r="X172" s="374">
        <v>8.1999999999999993</v>
      </c>
      <c r="Y172" s="374">
        <v>8.1999999999999993</v>
      </c>
      <c r="Z172" s="476">
        <v>0.02</v>
      </c>
      <c r="AA172" s="92">
        <v>0.02</v>
      </c>
      <c r="AB172" s="92">
        <v>0.2</v>
      </c>
      <c r="AC172" s="92">
        <v>0</v>
      </c>
      <c r="AD172" s="92">
        <v>0.4</v>
      </c>
      <c r="AE172" s="92">
        <v>0.4</v>
      </c>
      <c r="AF172" s="92">
        <v>0.4</v>
      </c>
      <c r="AG172" s="92">
        <v>0.4</v>
      </c>
      <c r="AH172" s="92">
        <v>0.4</v>
      </c>
      <c r="AI172" s="92">
        <v>0.4</v>
      </c>
      <c r="AJ172" s="92">
        <v>0.4</v>
      </c>
      <c r="AK172" s="92">
        <v>0.4</v>
      </c>
      <c r="AL172" s="503">
        <v>6840</v>
      </c>
      <c r="AM172" s="519">
        <f t="shared" si="127"/>
        <v>136.80000000000001</v>
      </c>
      <c r="AN172" s="558">
        <v>360</v>
      </c>
      <c r="AO172" s="496">
        <f t="shared" si="128"/>
        <v>7.2</v>
      </c>
      <c r="AP172" s="558">
        <v>2240</v>
      </c>
      <c r="AQ172" s="620">
        <f t="shared" si="129"/>
        <v>448</v>
      </c>
      <c r="AR172" s="788">
        <v>0</v>
      </c>
      <c r="AS172" s="777">
        <f t="shared" si="130"/>
        <v>0</v>
      </c>
      <c r="AT172" s="558">
        <v>120</v>
      </c>
      <c r="AU172" s="494">
        <f t="shared" si="131"/>
        <v>48</v>
      </c>
      <c r="AV172" s="59">
        <v>964</v>
      </c>
      <c r="AW172" s="355">
        <f t="shared" si="132"/>
        <v>385.6</v>
      </c>
      <c r="AX172" s="140">
        <v>260</v>
      </c>
      <c r="AY172" s="389">
        <f t="shared" si="133"/>
        <v>104</v>
      </c>
      <c r="AZ172" s="59">
        <v>120</v>
      </c>
      <c r="BA172" s="389">
        <f t="shared" si="134"/>
        <v>48</v>
      </c>
      <c r="BB172" s="373">
        <v>0</v>
      </c>
      <c r="BC172" s="356">
        <f t="shared" si="135"/>
        <v>0</v>
      </c>
      <c r="BD172" s="140">
        <v>0</v>
      </c>
      <c r="BE172" s="389">
        <f t="shared" si="136"/>
        <v>0</v>
      </c>
      <c r="BF172" s="141">
        <v>0</v>
      </c>
      <c r="BG172" s="389">
        <f t="shared" si="137"/>
        <v>0</v>
      </c>
      <c r="BH172" s="142">
        <v>0</v>
      </c>
      <c r="BI172" s="392">
        <f t="shared" si="138"/>
        <v>0</v>
      </c>
      <c r="BJ172" s="245" t="s">
        <v>242</v>
      </c>
      <c r="BK172" s="78" t="s">
        <v>219</v>
      </c>
      <c r="BL172" s="78" t="s">
        <v>92</v>
      </c>
      <c r="BM172" s="9" t="s">
        <v>297</v>
      </c>
    </row>
    <row r="173" spans="1:65">
      <c r="A173" s="195" t="s">
        <v>383</v>
      </c>
      <c r="B173" s="9" t="s">
        <v>186</v>
      </c>
      <c r="C173" s="78" t="s">
        <v>30</v>
      </c>
      <c r="D173" s="997"/>
      <c r="E173" s="999"/>
      <c r="F173" s="1001"/>
      <c r="G173" s="199">
        <v>2024</v>
      </c>
      <c r="H173" s="867" t="s">
        <v>230</v>
      </c>
      <c r="I173" s="279" t="s">
        <v>151</v>
      </c>
      <c r="J173" s="63">
        <v>15</v>
      </c>
      <c r="K173" s="62" t="s">
        <v>153</v>
      </c>
      <c r="L173" s="62" t="s">
        <v>154</v>
      </c>
      <c r="M173" s="446" t="s">
        <v>325</v>
      </c>
      <c r="N173" s="475">
        <v>7.8</v>
      </c>
      <c r="O173" s="374">
        <v>7.8</v>
      </c>
      <c r="P173" s="374">
        <v>7.5</v>
      </c>
      <c r="Q173" s="374">
        <v>7.75</v>
      </c>
      <c r="R173" s="374">
        <v>8.1999999999999993</v>
      </c>
      <c r="S173" s="374">
        <v>8.1999999999999993</v>
      </c>
      <c r="T173" s="374">
        <v>8.1999999999999993</v>
      </c>
      <c r="U173" s="374">
        <v>8.1999999999999993</v>
      </c>
      <c r="V173" s="374">
        <v>8.1999999999999993</v>
      </c>
      <c r="W173" s="374">
        <v>8.1999999999999993</v>
      </c>
      <c r="X173" s="374">
        <v>8.1999999999999993</v>
      </c>
      <c r="Y173" s="374">
        <v>8.1999999999999993</v>
      </c>
      <c r="Z173" s="476">
        <v>0.02</v>
      </c>
      <c r="AA173" s="92">
        <v>0.02</v>
      </c>
      <c r="AB173" s="92">
        <v>0.2</v>
      </c>
      <c r="AC173" s="92">
        <v>0</v>
      </c>
      <c r="AD173" s="92">
        <v>0.4</v>
      </c>
      <c r="AE173" s="92">
        <v>0.4</v>
      </c>
      <c r="AF173" s="92">
        <v>0.4</v>
      </c>
      <c r="AG173" s="92">
        <v>0.4</v>
      </c>
      <c r="AH173" s="92">
        <v>0.4</v>
      </c>
      <c r="AI173" s="92">
        <v>0.4</v>
      </c>
      <c r="AJ173" s="92">
        <v>0.4</v>
      </c>
      <c r="AK173" s="92">
        <v>0.4</v>
      </c>
      <c r="AL173" s="503">
        <v>0</v>
      </c>
      <c r="AM173" s="496">
        <f t="shared" si="127"/>
        <v>0</v>
      </c>
      <c r="AN173" s="558">
        <v>0</v>
      </c>
      <c r="AO173" s="494">
        <f t="shared" si="128"/>
        <v>0</v>
      </c>
      <c r="AP173" s="558">
        <v>0</v>
      </c>
      <c r="AQ173" s="621">
        <f t="shared" si="129"/>
        <v>0</v>
      </c>
      <c r="AR173" s="788">
        <v>0</v>
      </c>
      <c r="AS173" s="777">
        <f t="shared" si="130"/>
        <v>0</v>
      </c>
      <c r="AT173" s="558">
        <v>0</v>
      </c>
      <c r="AU173" s="494">
        <f t="shared" si="131"/>
        <v>0</v>
      </c>
      <c r="AV173" s="59">
        <v>0</v>
      </c>
      <c r="AW173" s="390">
        <f t="shared" si="132"/>
        <v>0</v>
      </c>
      <c r="AX173" s="140">
        <v>0</v>
      </c>
      <c r="AY173" s="389">
        <f t="shared" si="133"/>
        <v>0</v>
      </c>
      <c r="AZ173" s="59">
        <v>0</v>
      </c>
      <c r="BA173" s="127">
        <f t="shared" si="134"/>
        <v>0</v>
      </c>
      <c r="BB173" s="373">
        <v>0</v>
      </c>
      <c r="BC173" s="391">
        <f t="shared" si="135"/>
        <v>0</v>
      </c>
      <c r="BD173" s="140">
        <v>0</v>
      </c>
      <c r="BE173" s="127">
        <f t="shared" si="136"/>
        <v>0</v>
      </c>
      <c r="BF173" s="141">
        <v>0</v>
      </c>
      <c r="BG173" s="127">
        <f t="shared" si="137"/>
        <v>0</v>
      </c>
      <c r="BH173" s="142">
        <v>0</v>
      </c>
      <c r="BI173" s="329">
        <f t="shared" si="138"/>
        <v>0</v>
      </c>
      <c r="BJ173" s="245" t="s">
        <v>243</v>
      </c>
      <c r="BK173" s="78"/>
      <c r="BL173" s="78" t="s">
        <v>92</v>
      </c>
      <c r="BM173" s="9" t="s">
        <v>298</v>
      </c>
    </row>
    <row r="174" spans="1:65">
      <c r="A174" s="195" t="s">
        <v>383</v>
      </c>
      <c r="B174" s="9" t="s">
        <v>186</v>
      </c>
      <c r="C174" s="78" t="s">
        <v>30</v>
      </c>
      <c r="D174" s="997"/>
      <c r="E174" s="999"/>
      <c r="F174" s="1001"/>
      <c r="G174" s="199">
        <v>2025</v>
      </c>
      <c r="H174" s="867" t="s">
        <v>330</v>
      </c>
      <c r="I174" s="279" t="s">
        <v>151</v>
      </c>
      <c r="J174" s="63">
        <v>15</v>
      </c>
      <c r="K174" s="62" t="s">
        <v>331</v>
      </c>
      <c r="L174" s="62" t="s">
        <v>154</v>
      </c>
      <c r="M174" s="446" t="s">
        <v>325</v>
      </c>
      <c r="N174" s="475">
        <v>8.5</v>
      </c>
      <c r="O174" s="374">
        <v>8.5</v>
      </c>
      <c r="P174" s="374">
        <v>8.4</v>
      </c>
      <c r="Q174" s="374">
        <v>8.4</v>
      </c>
      <c r="R174" s="82">
        <v>9</v>
      </c>
      <c r="S174" s="82">
        <v>9</v>
      </c>
      <c r="T174" s="82">
        <v>9</v>
      </c>
      <c r="U174" s="82">
        <v>9</v>
      </c>
      <c r="V174" s="82">
        <v>9</v>
      </c>
      <c r="W174" s="82">
        <v>9</v>
      </c>
      <c r="X174" s="82">
        <v>9</v>
      </c>
      <c r="Y174" s="957">
        <v>9</v>
      </c>
      <c r="Z174" s="476">
        <v>0.43</v>
      </c>
      <c r="AA174" s="92">
        <v>0.43</v>
      </c>
      <c r="AB174" s="92">
        <v>0.6</v>
      </c>
      <c r="AC174" s="92">
        <v>0</v>
      </c>
      <c r="AD174" s="92">
        <v>0.7</v>
      </c>
      <c r="AE174" s="92">
        <v>0.7</v>
      </c>
      <c r="AF174" s="92">
        <v>0.7</v>
      </c>
      <c r="AG174" s="92">
        <v>0.7</v>
      </c>
      <c r="AH174" s="92">
        <v>0.7</v>
      </c>
      <c r="AI174" s="92">
        <v>0.7</v>
      </c>
      <c r="AJ174" s="92">
        <v>0.7</v>
      </c>
      <c r="AK174" s="674">
        <v>0.7</v>
      </c>
      <c r="AL174" s="503">
        <v>0</v>
      </c>
      <c r="AM174" s="519">
        <f t="shared" si="127"/>
        <v>0</v>
      </c>
      <c r="AN174" s="558">
        <v>200</v>
      </c>
      <c r="AO174" s="496">
        <f t="shared" si="128"/>
        <v>86</v>
      </c>
      <c r="AP174" s="558">
        <v>1920</v>
      </c>
      <c r="AQ174" s="622">
        <f t="shared" si="129"/>
        <v>1152</v>
      </c>
      <c r="AR174" s="788">
        <v>0</v>
      </c>
      <c r="AS174" s="775">
        <f t="shared" si="130"/>
        <v>0</v>
      </c>
      <c r="AT174" s="558">
        <v>0</v>
      </c>
      <c r="AU174" s="496">
        <f t="shared" si="131"/>
        <v>0</v>
      </c>
      <c r="AV174" s="59">
        <v>0</v>
      </c>
      <c r="AW174" s="390">
        <f t="shared" si="132"/>
        <v>0</v>
      </c>
      <c r="AX174" s="140">
        <v>0</v>
      </c>
      <c r="AY174" s="389">
        <f t="shared" si="133"/>
        <v>0</v>
      </c>
      <c r="AZ174" s="59">
        <v>0</v>
      </c>
      <c r="BA174" s="389">
        <f t="shared" si="134"/>
        <v>0</v>
      </c>
      <c r="BB174" s="373">
        <v>0</v>
      </c>
      <c r="BC174" s="356">
        <f t="shared" si="135"/>
        <v>0</v>
      </c>
      <c r="BD174" s="140">
        <v>0</v>
      </c>
      <c r="BE174" s="389">
        <f t="shared" si="136"/>
        <v>0</v>
      </c>
      <c r="BF174" s="141">
        <v>0</v>
      </c>
      <c r="BG174" s="389">
        <f t="shared" si="137"/>
        <v>0</v>
      </c>
      <c r="BH174" s="142">
        <v>0</v>
      </c>
      <c r="BI174" s="392">
        <f t="shared" si="138"/>
        <v>0</v>
      </c>
      <c r="BJ174" s="245" t="s">
        <v>511</v>
      </c>
      <c r="BK174" s="78" t="s">
        <v>219</v>
      </c>
      <c r="BL174" s="78" t="s">
        <v>92</v>
      </c>
      <c r="BM174" s="9" t="s">
        <v>422</v>
      </c>
    </row>
    <row r="175" spans="1:65" s="333" customFormat="1">
      <c r="A175" s="195" t="s">
        <v>383</v>
      </c>
      <c r="B175" s="9" t="s">
        <v>186</v>
      </c>
      <c r="C175" s="78" t="s">
        <v>30</v>
      </c>
      <c r="D175" s="1011"/>
      <c r="E175" s="999"/>
      <c r="F175" s="1001"/>
      <c r="G175" s="238">
        <v>2025</v>
      </c>
      <c r="H175" s="867" t="s">
        <v>330</v>
      </c>
      <c r="I175" s="282" t="s">
        <v>388</v>
      </c>
      <c r="J175" s="221">
        <v>15</v>
      </c>
      <c r="K175" s="321" t="s">
        <v>387</v>
      </c>
      <c r="L175" s="222" t="s">
        <v>718</v>
      </c>
      <c r="M175" s="446" t="s">
        <v>325</v>
      </c>
      <c r="N175" s="475">
        <v>8.5</v>
      </c>
      <c r="O175" s="374">
        <v>8.5</v>
      </c>
      <c r="P175" s="374">
        <v>8.4</v>
      </c>
      <c r="Q175" s="374">
        <v>8.4</v>
      </c>
      <c r="R175" s="82">
        <v>9</v>
      </c>
      <c r="S175" s="82">
        <v>9</v>
      </c>
      <c r="T175" s="82">
        <v>9</v>
      </c>
      <c r="U175" s="82">
        <v>9</v>
      </c>
      <c r="V175" s="82">
        <v>9</v>
      </c>
      <c r="W175" s="82">
        <v>9</v>
      </c>
      <c r="X175" s="82">
        <v>9</v>
      </c>
      <c r="Y175" s="957">
        <v>9</v>
      </c>
      <c r="Z175" s="476">
        <v>0.43</v>
      </c>
      <c r="AA175" s="92">
        <v>0.43</v>
      </c>
      <c r="AB175" s="92">
        <v>0.6</v>
      </c>
      <c r="AC175" s="92">
        <v>0</v>
      </c>
      <c r="AD175" s="92">
        <v>0.7</v>
      </c>
      <c r="AE175" s="92">
        <v>0.7</v>
      </c>
      <c r="AF175" s="92">
        <v>0.7</v>
      </c>
      <c r="AG175" s="92">
        <v>0.7</v>
      </c>
      <c r="AH175" s="92">
        <v>0.7</v>
      </c>
      <c r="AI175" s="92">
        <v>0.7</v>
      </c>
      <c r="AJ175" s="92">
        <v>0.7</v>
      </c>
      <c r="AK175" s="674">
        <v>0.7</v>
      </c>
      <c r="AL175" s="529">
        <v>320</v>
      </c>
      <c r="AM175" s="496">
        <f t="shared" si="127"/>
        <v>137.6</v>
      </c>
      <c r="AN175" s="559">
        <v>0</v>
      </c>
      <c r="AO175" s="494">
        <f t="shared" si="128"/>
        <v>0</v>
      </c>
      <c r="AP175" s="559">
        <v>560</v>
      </c>
      <c r="AQ175" s="621">
        <f t="shared" si="129"/>
        <v>336</v>
      </c>
      <c r="AR175" s="794">
        <v>0</v>
      </c>
      <c r="AS175" s="777">
        <f t="shared" si="130"/>
        <v>0</v>
      </c>
      <c r="AT175" s="559">
        <v>0</v>
      </c>
      <c r="AU175" s="494">
        <f t="shared" si="131"/>
        <v>0</v>
      </c>
      <c r="AV175" s="230">
        <v>0</v>
      </c>
      <c r="AW175" s="355">
        <f t="shared" si="132"/>
        <v>0</v>
      </c>
      <c r="AX175" s="235">
        <v>0</v>
      </c>
      <c r="AY175" s="127">
        <f t="shared" si="133"/>
        <v>0</v>
      </c>
      <c r="AZ175" s="230">
        <v>0</v>
      </c>
      <c r="BA175" s="127">
        <f t="shared" si="134"/>
        <v>0</v>
      </c>
      <c r="BB175" s="373">
        <v>0</v>
      </c>
      <c r="BC175" s="391">
        <f t="shared" si="135"/>
        <v>0</v>
      </c>
      <c r="BD175" s="235">
        <v>0</v>
      </c>
      <c r="BE175" s="127">
        <f t="shared" si="136"/>
        <v>0</v>
      </c>
      <c r="BF175" s="230">
        <v>0</v>
      </c>
      <c r="BG175" s="127">
        <f t="shared" si="137"/>
        <v>0</v>
      </c>
      <c r="BH175" s="236">
        <v>0</v>
      </c>
      <c r="BI175" s="329">
        <f t="shared" si="138"/>
        <v>0</v>
      </c>
      <c r="BJ175" s="245" t="s">
        <v>510</v>
      </c>
      <c r="BK175" s="78" t="s">
        <v>244</v>
      </c>
      <c r="BL175" s="78" t="s">
        <v>92</v>
      </c>
      <c r="BM175" s="9" t="s">
        <v>413</v>
      </c>
    </row>
    <row r="176" spans="1:65" s="333" customFormat="1">
      <c r="A176" s="195" t="s">
        <v>383</v>
      </c>
      <c r="B176" s="9" t="s">
        <v>186</v>
      </c>
      <c r="C176" s="78" t="s">
        <v>30</v>
      </c>
      <c r="D176" s="1011"/>
      <c r="E176" s="999"/>
      <c r="F176" s="1001"/>
      <c r="G176" s="647">
        <v>2026</v>
      </c>
      <c r="H176" s="884" t="s">
        <v>598</v>
      </c>
      <c r="I176" s="627" t="s">
        <v>151</v>
      </c>
      <c r="J176" s="628">
        <v>14</v>
      </c>
      <c r="K176" s="629" t="s">
        <v>446</v>
      </c>
      <c r="L176" s="625" t="s">
        <v>150</v>
      </c>
      <c r="M176" s="640" t="s">
        <v>391</v>
      </c>
      <c r="N176" s="82">
        <v>8.4</v>
      </c>
      <c r="O176" s="82">
        <v>8.4</v>
      </c>
      <c r="P176" s="82">
        <v>8.4</v>
      </c>
      <c r="Q176" s="82">
        <v>8.4</v>
      </c>
      <c r="R176" s="82">
        <v>8.8000000000000007</v>
      </c>
      <c r="S176" s="82">
        <v>8.8000000000000007</v>
      </c>
      <c r="T176" s="82">
        <v>8.8000000000000007</v>
      </c>
      <c r="U176" s="82">
        <v>8.8000000000000007</v>
      </c>
      <c r="V176" s="82">
        <v>8.8000000000000007</v>
      </c>
      <c r="W176" s="82">
        <v>8.8000000000000007</v>
      </c>
      <c r="X176" s="82">
        <v>8.8000000000000007</v>
      </c>
      <c r="Y176" s="82">
        <v>8.8000000000000007</v>
      </c>
      <c r="Z176" s="195">
        <v>1.05</v>
      </c>
      <c r="AA176" s="379">
        <v>1.05</v>
      </c>
      <c r="AB176" s="379">
        <v>1.05</v>
      </c>
      <c r="AC176" s="378">
        <v>0</v>
      </c>
      <c r="AD176" s="379">
        <v>1.04</v>
      </c>
      <c r="AE176" s="379">
        <v>1.04</v>
      </c>
      <c r="AF176" s="379">
        <v>1.04</v>
      </c>
      <c r="AG176" s="379">
        <v>1.04</v>
      </c>
      <c r="AH176" s="379">
        <v>1.04</v>
      </c>
      <c r="AI176" s="379">
        <v>1.04</v>
      </c>
      <c r="AJ176" s="379">
        <v>1.04</v>
      </c>
      <c r="AK176" s="959">
        <v>1.04</v>
      </c>
      <c r="AL176" s="505">
        <v>0</v>
      </c>
      <c r="AM176" s="519">
        <f t="shared" si="127"/>
        <v>0</v>
      </c>
      <c r="AN176" s="585">
        <v>0</v>
      </c>
      <c r="AO176" s="496">
        <f t="shared" si="128"/>
        <v>0</v>
      </c>
      <c r="AP176" s="585">
        <v>80</v>
      </c>
      <c r="AQ176" s="622">
        <f t="shared" si="129"/>
        <v>84</v>
      </c>
      <c r="AR176" s="511">
        <v>280</v>
      </c>
      <c r="AS176" s="775">
        <f t="shared" si="130"/>
        <v>0</v>
      </c>
      <c r="AT176" s="583">
        <v>1895</v>
      </c>
      <c r="AU176" s="494">
        <f t="shared" si="131"/>
        <v>1970.8</v>
      </c>
      <c r="AV176" s="154">
        <v>2726</v>
      </c>
      <c r="AW176" s="390">
        <f t="shared" si="132"/>
        <v>2835.04</v>
      </c>
      <c r="AX176" s="116">
        <v>5396</v>
      </c>
      <c r="AY176" s="389">
        <f t="shared" si="133"/>
        <v>5611.84</v>
      </c>
      <c r="AZ176" s="154">
        <v>10937</v>
      </c>
      <c r="BA176" s="389">
        <f t="shared" si="134"/>
        <v>11374.48</v>
      </c>
      <c r="BB176" s="155">
        <v>0</v>
      </c>
      <c r="BC176" s="356">
        <f t="shared" si="135"/>
        <v>0</v>
      </c>
      <c r="BD176" s="116">
        <v>0</v>
      </c>
      <c r="BE176" s="389">
        <f t="shared" si="136"/>
        <v>0</v>
      </c>
      <c r="BF176" s="154">
        <v>0</v>
      </c>
      <c r="BG176" s="389">
        <f t="shared" si="137"/>
        <v>0</v>
      </c>
      <c r="BH176" s="435">
        <v>0</v>
      </c>
      <c r="BI176" s="392">
        <f t="shared" si="138"/>
        <v>0</v>
      </c>
      <c r="BJ176" s="479" t="s">
        <v>599</v>
      </c>
      <c r="BK176" s="78"/>
      <c r="BL176" s="78" t="s">
        <v>92</v>
      </c>
      <c r="BM176" s="331" t="s">
        <v>600</v>
      </c>
    </row>
    <row r="177" spans="1:65" s="333" customFormat="1">
      <c r="A177" s="195" t="s">
        <v>383</v>
      </c>
      <c r="B177" s="9" t="s">
        <v>186</v>
      </c>
      <c r="C177" s="78" t="s">
        <v>30</v>
      </c>
      <c r="D177" s="1011"/>
      <c r="E177" s="999"/>
      <c r="F177" s="1001"/>
      <c r="G177" s="917">
        <v>2026</v>
      </c>
      <c r="H177" s="885" t="s">
        <v>598</v>
      </c>
      <c r="I177" s="918" t="s">
        <v>151</v>
      </c>
      <c r="J177" s="919">
        <v>14</v>
      </c>
      <c r="K177" s="920" t="s">
        <v>648</v>
      </c>
      <c r="L177" s="921" t="s">
        <v>337</v>
      </c>
      <c r="M177" s="922" t="s">
        <v>321</v>
      </c>
      <c r="N177" s="82">
        <v>8.4</v>
      </c>
      <c r="O177" s="82">
        <v>8.4</v>
      </c>
      <c r="P177" s="82">
        <v>8.4</v>
      </c>
      <c r="Q177" s="82">
        <v>8.4</v>
      </c>
      <c r="R177" s="82">
        <v>8.8000000000000007</v>
      </c>
      <c r="S177" s="82">
        <v>8.8000000000000007</v>
      </c>
      <c r="T177" s="82">
        <v>8.8000000000000007</v>
      </c>
      <c r="U177" s="82">
        <v>8.8000000000000007</v>
      </c>
      <c r="V177" s="82">
        <v>8.8000000000000007</v>
      </c>
      <c r="W177" s="82">
        <v>8.8000000000000007</v>
      </c>
      <c r="X177" s="82">
        <v>8.8000000000000007</v>
      </c>
      <c r="Y177" s="82">
        <v>8.8000000000000007</v>
      </c>
      <c r="Z177" s="195">
        <v>1.05</v>
      </c>
      <c r="AA177" s="379">
        <v>1.05</v>
      </c>
      <c r="AB177" s="379">
        <v>1.05</v>
      </c>
      <c r="AC177" s="378">
        <v>0</v>
      </c>
      <c r="AD177" s="379">
        <v>1.04</v>
      </c>
      <c r="AE177" s="379">
        <v>1.04</v>
      </c>
      <c r="AF177" s="379">
        <v>1.04</v>
      </c>
      <c r="AG177" s="379">
        <v>1.04</v>
      </c>
      <c r="AH177" s="379">
        <v>1.04</v>
      </c>
      <c r="AI177" s="379">
        <v>1.04</v>
      </c>
      <c r="AJ177" s="379">
        <v>1.04</v>
      </c>
      <c r="AK177" s="959">
        <v>1.04</v>
      </c>
      <c r="AL177" s="923">
        <v>0</v>
      </c>
      <c r="AM177" s="924">
        <f t="shared" si="127"/>
        <v>0</v>
      </c>
      <c r="AN177" s="925">
        <v>0</v>
      </c>
      <c r="AO177" s="528">
        <f t="shared" si="128"/>
        <v>0</v>
      </c>
      <c r="AP177" s="925">
        <v>0</v>
      </c>
      <c r="AQ177" s="926">
        <f t="shared" si="129"/>
        <v>0</v>
      </c>
      <c r="AR177" s="927">
        <v>0</v>
      </c>
      <c r="AS177" s="928">
        <f t="shared" si="130"/>
        <v>0</v>
      </c>
      <c r="AT177" s="929">
        <v>3160</v>
      </c>
      <c r="AU177" s="578">
        <f t="shared" si="131"/>
        <v>3286.4</v>
      </c>
      <c r="AV177" s="930">
        <v>0</v>
      </c>
      <c r="AW177" s="905">
        <f t="shared" si="132"/>
        <v>0</v>
      </c>
      <c r="AX177" s="931">
        <v>0</v>
      </c>
      <c r="AY177" s="907">
        <f t="shared" si="133"/>
        <v>0</v>
      </c>
      <c r="AZ177" s="930">
        <v>0</v>
      </c>
      <c r="BA177" s="907">
        <f t="shared" si="134"/>
        <v>0</v>
      </c>
      <c r="BB177" s="932">
        <v>0</v>
      </c>
      <c r="BC177" s="487">
        <f t="shared" si="135"/>
        <v>0</v>
      </c>
      <c r="BD177" s="931">
        <v>0</v>
      </c>
      <c r="BE177" s="907">
        <f t="shared" si="136"/>
        <v>0</v>
      </c>
      <c r="BF177" s="930">
        <v>0</v>
      </c>
      <c r="BG177" s="907">
        <f t="shared" si="137"/>
        <v>0</v>
      </c>
      <c r="BH177" s="933">
        <v>0</v>
      </c>
      <c r="BI177" s="934">
        <f t="shared" si="138"/>
        <v>0</v>
      </c>
      <c r="BJ177" s="729" t="s">
        <v>688</v>
      </c>
      <c r="BK177" s="78" t="s">
        <v>604</v>
      </c>
      <c r="BL177" s="78" t="s">
        <v>92</v>
      </c>
      <c r="BM177" s="727" t="s">
        <v>703</v>
      </c>
    </row>
    <row r="178" spans="1:65" s="333" customFormat="1">
      <c r="A178" s="195" t="s">
        <v>383</v>
      </c>
      <c r="B178" s="9" t="s">
        <v>186</v>
      </c>
      <c r="C178" s="78" t="s">
        <v>30</v>
      </c>
      <c r="D178" s="1011"/>
      <c r="E178" s="999"/>
      <c r="F178" s="1001"/>
      <c r="G178" s="917">
        <v>2026</v>
      </c>
      <c r="H178" s="885" t="s">
        <v>598</v>
      </c>
      <c r="I178" s="918" t="s">
        <v>151</v>
      </c>
      <c r="J178" s="919">
        <v>14</v>
      </c>
      <c r="K178" s="920" t="s">
        <v>648</v>
      </c>
      <c r="L178" s="921" t="s">
        <v>160</v>
      </c>
      <c r="M178" s="922" t="s">
        <v>326</v>
      </c>
      <c r="N178" s="82">
        <v>8.4</v>
      </c>
      <c r="O178" s="82">
        <v>8.4</v>
      </c>
      <c r="P178" s="82">
        <v>8.4</v>
      </c>
      <c r="Q178" s="82">
        <v>8.4</v>
      </c>
      <c r="R178" s="82">
        <v>8.8000000000000007</v>
      </c>
      <c r="S178" s="82">
        <v>8.8000000000000007</v>
      </c>
      <c r="T178" s="82">
        <v>8.8000000000000007</v>
      </c>
      <c r="U178" s="82">
        <v>8.8000000000000007</v>
      </c>
      <c r="V178" s="82">
        <v>8.8000000000000007</v>
      </c>
      <c r="W178" s="82">
        <v>8.8000000000000007</v>
      </c>
      <c r="X178" s="82">
        <v>8.8000000000000007</v>
      </c>
      <c r="Y178" s="82">
        <v>8.8000000000000007</v>
      </c>
      <c r="Z178" s="195">
        <v>1.05</v>
      </c>
      <c r="AA178" s="379">
        <v>1.05</v>
      </c>
      <c r="AB178" s="379">
        <v>1.05</v>
      </c>
      <c r="AC178" s="378">
        <v>0</v>
      </c>
      <c r="AD178" s="379">
        <v>1.04</v>
      </c>
      <c r="AE178" s="379">
        <v>1.04</v>
      </c>
      <c r="AF178" s="379">
        <v>1.04</v>
      </c>
      <c r="AG178" s="379">
        <v>1.04</v>
      </c>
      <c r="AH178" s="379">
        <v>1.04</v>
      </c>
      <c r="AI178" s="379">
        <v>1.04</v>
      </c>
      <c r="AJ178" s="379">
        <v>1.04</v>
      </c>
      <c r="AK178" s="959">
        <v>1.04</v>
      </c>
      <c r="AL178" s="923">
        <v>0</v>
      </c>
      <c r="AM178" s="924">
        <f t="shared" si="127"/>
        <v>0</v>
      </c>
      <c r="AN178" s="925">
        <v>0</v>
      </c>
      <c r="AO178" s="528">
        <f t="shared" si="128"/>
        <v>0</v>
      </c>
      <c r="AP178" s="925">
        <v>0</v>
      </c>
      <c r="AQ178" s="926">
        <f t="shared" si="129"/>
        <v>0</v>
      </c>
      <c r="AR178" s="927">
        <v>0</v>
      </c>
      <c r="AS178" s="928">
        <f t="shared" si="130"/>
        <v>0</v>
      </c>
      <c r="AT178" s="929">
        <v>1600</v>
      </c>
      <c r="AU178" s="578">
        <f t="shared" si="131"/>
        <v>1664</v>
      </c>
      <c r="AV178" s="930">
        <v>0</v>
      </c>
      <c r="AW178" s="905">
        <f t="shared" si="132"/>
        <v>0</v>
      </c>
      <c r="AX178" s="931">
        <v>0</v>
      </c>
      <c r="AY178" s="907">
        <f t="shared" si="133"/>
        <v>0</v>
      </c>
      <c r="AZ178" s="930">
        <v>0</v>
      </c>
      <c r="BA178" s="907">
        <f t="shared" si="134"/>
        <v>0</v>
      </c>
      <c r="BB178" s="932">
        <v>0</v>
      </c>
      <c r="BC178" s="487">
        <f t="shared" si="135"/>
        <v>0</v>
      </c>
      <c r="BD178" s="931">
        <v>0</v>
      </c>
      <c r="BE178" s="907">
        <f t="shared" si="136"/>
        <v>0</v>
      </c>
      <c r="BF178" s="930">
        <v>0</v>
      </c>
      <c r="BG178" s="907">
        <f t="shared" si="137"/>
        <v>0</v>
      </c>
      <c r="BH178" s="933">
        <v>0</v>
      </c>
      <c r="BI178" s="934">
        <f t="shared" si="138"/>
        <v>0</v>
      </c>
      <c r="BJ178" s="729" t="s">
        <v>687</v>
      </c>
      <c r="BK178" s="78" t="s">
        <v>604</v>
      </c>
      <c r="BL178" s="78" t="s">
        <v>92</v>
      </c>
      <c r="BM178" s="727" t="s">
        <v>703</v>
      </c>
    </row>
    <row r="179" spans="1:65" s="333" customFormat="1">
      <c r="A179" s="195" t="s">
        <v>383</v>
      </c>
      <c r="B179" s="9" t="s">
        <v>186</v>
      </c>
      <c r="C179" s="78" t="s">
        <v>30</v>
      </c>
      <c r="D179" s="1011"/>
      <c r="E179" s="999"/>
      <c r="F179" s="1001"/>
      <c r="G179" s="917">
        <v>2026</v>
      </c>
      <c r="H179" s="885" t="s">
        <v>598</v>
      </c>
      <c r="I179" s="918" t="s">
        <v>151</v>
      </c>
      <c r="J179" s="919">
        <v>14</v>
      </c>
      <c r="K179" s="920" t="s">
        <v>648</v>
      </c>
      <c r="L179" s="921" t="s">
        <v>160</v>
      </c>
      <c r="M179" s="922" t="s">
        <v>326</v>
      </c>
      <c r="N179" s="82">
        <v>8.4</v>
      </c>
      <c r="O179" s="82">
        <v>8.4</v>
      </c>
      <c r="P179" s="82">
        <v>8.4</v>
      </c>
      <c r="Q179" s="82">
        <v>8.4</v>
      </c>
      <c r="R179" s="82">
        <v>8.8000000000000007</v>
      </c>
      <c r="S179" s="82">
        <v>8.8000000000000007</v>
      </c>
      <c r="T179" s="82">
        <v>8.8000000000000007</v>
      </c>
      <c r="U179" s="82">
        <v>8.8000000000000007</v>
      </c>
      <c r="V179" s="82">
        <v>8.8000000000000007</v>
      </c>
      <c r="W179" s="82">
        <v>8.8000000000000007</v>
      </c>
      <c r="X179" s="82">
        <v>8.8000000000000007</v>
      </c>
      <c r="Y179" s="82">
        <v>8.8000000000000007</v>
      </c>
      <c r="Z179" s="195">
        <v>1.05</v>
      </c>
      <c r="AA179" s="379">
        <v>1.05</v>
      </c>
      <c r="AB179" s="379">
        <v>1.05</v>
      </c>
      <c r="AC179" s="378">
        <v>0</v>
      </c>
      <c r="AD179" s="379">
        <v>1.04</v>
      </c>
      <c r="AE179" s="379">
        <v>1.04</v>
      </c>
      <c r="AF179" s="379">
        <v>1.04</v>
      </c>
      <c r="AG179" s="379">
        <v>1.04</v>
      </c>
      <c r="AH179" s="379">
        <v>1.04</v>
      </c>
      <c r="AI179" s="379">
        <v>1.04</v>
      </c>
      <c r="AJ179" s="379">
        <v>1.04</v>
      </c>
      <c r="AK179" s="959">
        <v>1.04</v>
      </c>
      <c r="AL179" s="923">
        <v>0</v>
      </c>
      <c r="AM179" s="924">
        <f t="shared" si="127"/>
        <v>0</v>
      </c>
      <c r="AN179" s="925">
        <v>0</v>
      </c>
      <c r="AO179" s="528">
        <f t="shared" si="128"/>
        <v>0</v>
      </c>
      <c r="AP179" s="925">
        <v>0</v>
      </c>
      <c r="AQ179" s="926">
        <f t="shared" si="129"/>
        <v>0</v>
      </c>
      <c r="AR179" s="927">
        <v>80</v>
      </c>
      <c r="AS179" s="928">
        <f t="shared" si="130"/>
        <v>0</v>
      </c>
      <c r="AT179" s="929">
        <v>240</v>
      </c>
      <c r="AU179" s="578">
        <f t="shared" si="131"/>
        <v>249.60000000000002</v>
      </c>
      <c r="AV179" s="930">
        <v>426</v>
      </c>
      <c r="AW179" s="905">
        <f t="shared" si="132"/>
        <v>443.04</v>
      </c>
      <c r="AX179" s="931">
        <v>39</v>
      </c>
      <c r="AY179" s="907">
        <f t="shared" si="133"/>
        <v>40.56</v>
      </c>
      <c r="AZ179" s="930">
        <v>187</v>
      </c>
      <c r="BA179" s="907">
        <f t="shared" si="134"/>
        <v>194.48000000000002</v>
      </c>
      <c r="BB179" s="932">
        <v>0</v>
      </c>
      <c r="BC179" s="487">
        <f t="shared" si="135"/>
        <v>0</v>
      </c>
      <c r="BD179" s="931">
        <v>0</v>
      </c>
      <c r="BE179" s="907">
        <f t="shared" si="136"/>
        <v>0</v>
      </c>
      <c r="BF179" s="930">
        <v>0</v>
      </c>
      <c r="BG179" s="907">
        <f t="shared" si="137"/>
        <v>0</v>
      </c>
      <c r="BH179" s="933">
        <v>0</v>
      </c>
      <c r="BI179" s="934">
        <f t="shared" si="138"/>
        <v>0</v>
      </c>
      <c r="BJ179" s="729" t="s">
        <v>647</v>
      </c>
      <c r="BK179" s="78" t="s">
        <v>604</v>
      </c>
      <c r="BL179" s="78" t="s">
        <v>92</v>
      </c>
      <c r="BM179" s="727" t="s">
        <v>649</v>
      </c>
    </row>
    <row r="180" spans="1:65" s="333" customFormat="1">
      <c r="A180" s="195" t="s">
        <v>383</v>
      </c>
      <c r="B180" s="9" t="s">
        <v>186</v>
      </c>
      <c r="C180" s="78" t="s">
        <v>30</v>
      </c>
      <c r="D180" s="1011"/>
      <c r="E180" s="999"/>
      <c r="F180" s="1001"/>
      <c r="G180" s="917">
        <v>2026</v>
      </c>
      <c r="H180" s="885" t="s">
        <v>598</v>
      </c>
      <c r="I180" s="918" t="s">
        <v>151</v>
      </c>
      <c r="J180" s="919">
        <v>14</v>
      </c>
      <c r="K180" s="920" t="s">
        <v>665</v>
      </c>
      <c r="L180" s="921" t="s">
        <v>337</v>
      </c>
      <c r="M180" s="922" t="s">
        <v>321</v>
      </c>
      <c r="N180" s="82">
        <v>8.4</v>
      </c>
      <c r="O180" s="82">
        <v>8.4</v>
      </c>
      <c r="P180" s="82">
        <v>8.4</v>
      </c>
      <c r="Q180" s="82">
        <v>8.4</v>
      </c>
      <c r="R180" s="82">
        <v>8.8000000000000007</v>
      </c>
      <c r="S180" s="82">
        <v>8.8000000000000007</v>
      </c>
      <c r="T180" s="82">
        <v>8.8000000000000007</v>
      </c>
      <c r="U180" s="82">
        <v>8.8000000000000007</v>
      </c>
      <c r="V180" s="82">
        <v>8.8000000000000007</v>
      </c>
      <c r="W180" s="82">
        <v>8.8000000000000007</v>
      </c>
      <c r="X180" s="82">
        <v>8.8000000000000007</v>
      </c>
      <c r="Y180" s="82">
        <v>8.8000000000000007</v>
      </c>
      <c r="Z180" s="195">
        <v>1.05</v>
      </c>
      <c r="AA180" s="379">
        <v>1.05</v>
      </c>
      <c r="AB180" s="379">
        <v>1.05</v>
      </c>
      <c r="AC180" s="378">
        <v>0</v>
      </c>
      <c r="AD180" s="379">
        <v>1.04</v>
      </c>
      <c r="AE180" s="379">
        <v>1.04</v>
      </c>
      <c r="AF180" s="379">
        <v>1.04</v>
      </c>
      <c r="AG180" s="379">
        <v>1.04</v>
      </c>
      <c r="AH180" s="379">
        <v>1.04</v>
      </c>
      <c r="AI180" s="379">
        <v>1.04</v>
      </c>
      <c r="AJ180" s="379">
        <v>1.04</v>
      </c>
      <c r="AK180" s="959">
        <v>1.04</v>
      </c>
      <c r="AL180" s="923">
        <v>0</v>
      </c>
      <c r="AM180" s="924">
        <f t="shared" si="127"/>
        <v>0</v>
      </c>
      <c r="AN180" s="925">
        <v>0</v>
      </c>
      <c r="AO180" s="528">
        <f t="shared" si="128"/>
        <v>0</v>
      </c>
      <c r="AP180" s="925">
        <v>0</v>
      </c>
      <c r="AQ180" s="926">
        <f t="shared" si="129"/>
        <v>0</v>
      </c>
      <c r="AR180" s="927">
        <v>0</v>
      </c>
      <c r="AS180" s="928">
        <f t="shared" si="130"/>
        <v>0</v>
      </c>
      <c r="AT180" s="929">
        <v>764</v>
      </c>
      <c r="AU180" s="578">
        <f t="shared" si="131"/>
        <v>794.56000000000006</v>
      </c>
      <c r="AV180" s="930">
        <v>0</v>
      </c>
      <c r="AW180" s="905">
        <f t="shared" si="132"/>
        <v>0</v>
      </c>
      <c r="AX180" s="931">
        <v>0</v>
      </c>
      <c r="AY180" s="907">
        <f t="shared" si="133"/>
        <v>0</v>
      </c>
      <c r="AZ180" s="930">
        <v>0</v>
      </c>
      <c r="BA180" s="907">
        <f t="shared" si="134"/>
        <v>0</v>
      </c>
      <c r="BB180" s="932">
        <v>0</v>
      </c>
      <c r="BC180" s="487">
        <f t="shared" si="135"/>
        <v>0</v>
      </c>
      <c r="BD180" s="931">
        <v>0</v>
      </c>
      <c r="BE180" s="907">
        <f t="shared" si="136"/>
        <v>0</v>
      </c>
      <c r="BF180" s="930">
        <v>0</v>
      </c>
      <c r="BG180" s="907">
        <f t="shared" si="137"/>
        <v>0</v>
      </c>
      <c r="BH180" s="933">
        <v>0</v>
      </c>
      <c r="BI180" s="934">
        <f t="shared" si="138"/>
        <v>0</v>
      </c>
      <c r="BJ180" s="729" t="s">
        <v>689</v>
      </c>
      <c r="BK180" s="78"/>
      <c r="BL180" s="78" t="s">
        <v>92</v>
      </c>
      <c r="BM180" s="727" t="s">
        <v>666</v>
      </c>
    </row>
    <row r="181" spans="1:65" s="333" customFormat="1">
      <c r="A181" s="195" t="s">
        <v>383</v>
      </c>
      <c r="B181" s="9" t="s">
        <v>186</v>
      </c>
      <c r="C181" s="78" t="s">
        <v>30</v>
      </c>
      <c r="D181" s="1011"/>
      <c r="E181" s="999"/>
      <c r="F181" s="1001"/>
      <c r="G181" s="733">
        <v>2026</v>
      </c>
      <c r="H181" s="885" t="s">
        <v>598</v>
      </c>
      <c r="I181" s="894" t="s">
        <v>151</v>
      </c>
      <c r="J181" s="895">
        <v>14</v>
      </c>
      <c r="K181" s="730" t="s">
        <v>665</v>
      </c>
      <c r="L181" s="896" t="s">
        <v>160</v>
      </c>
      <c r="M181" s="897" t="s">
        <v>326</v>
      </c>
      <c r="N181" s="82">
        <v>8.4</v>
      </c>
      <c r="O181" s="82">
        <v>8.4</v>
      </c>
      <c r="P181" s="82">
        <v>8.4</v>
      </c>
      <c r="Q181" s="82">
        <v>8.4</v>
      </c>
      <c r="R181" s="82">
        <v>8.8000000000000007</v>
      </c>
      <c r="S181" s="82">
        <v>8.8000000000000007</v>
      </c>
      <c r="T181" s="82">
        <v>8.8000000000000007</v>
      </c>
      <c r="U181" s="82">
        <v>8.8000000000000007</v>
      </c>
      <c r="V181" s="82">
        <v>8.8000000000000007</v>
      </c>
      <c r="W181" s="82">
        <v>8.8000000000000007</v>
      </c>
      <c r="X181" s="82">
        <v>8.8000000000000007</v>
      </c>
      <c r="Y181" s="82">
        <v>8.8000000000000007</v>
      </c>
      <c r="Z181" s="195">
        <v>1.05</v>
      </c>
      <c r="AA181" s="379">
        <v>1.05</v>
      </c>
      <c r="AB181" s="379">
        <v>1.05</v>
      </c>
      <c r="AC181" s="378">
        <v>0</v>
      </c>
      <c r="AD181" s="379">
        <v>1.04</v>
      </c>
      <c r="AE181" s="379">
        <v>1.04</v>
      </c>
      <c r="AF181" s="379">
        <v>1.04</v>
      </c>
      <c r="AG181" s="379">
        <v>1.04</v>
      </c>
      <c r="AH181" s="379">
        <v>1.04</v>
      </c>
      <c r="AI181" s="379">
        <v>1.04</v>
      </c>
      <c r="AJ181" s="379">
        <v>1.04</v>
      </c>
      <c r="AK181" s="959">
        <v>1.04</v>
      </c>
      <c r="AL181" s="505">
        <v>0</v>
      </c>
      <c r="AM181" s="519">
        <f t="shared" si="127"/>
        <v>0</v>
      </c>
      <c r="AN181" s="585">
        <v>0</v>
      </c>
      <c r="AO181" s="496">
        <f t="shared" si="128"/>
        <v>0</v>
      </c>
      <c r="AP181" s="585">
        <v>0</v>
      </c>
      <c r="AQ181" s="622">
        <f t="shared" si="129"/>
        <v>0</v>
      </c>
      <c r="AR181" s="511">
        <v>1280</v>
      </c>
      <c r="AS181" s="775">
        <f t="shared" si="130"/>
        <v>0</v>
      </c>
      <c r="AT181" s="583">
        <v>600</v>
      </c>
      <c r="AU181" s="494">
        <f t="shared" si="131"/>
        <v>624</v>
      </c>
      <c r="AV181" s="154">
        <v>1609</v>
      </c>
      <c r="AW181" s="390">
        <f t="shared" si="132"/>
        <v>1673.3600000000001</v>
      </c>
      <c r="AX181" s="116">
        <v>895</v>
      </c>
      <c r="AY181" s="389">
        <f t="shared" si="133"/>
        <v>930.80000000000007</v>
      </c>
      <c r="AZ181" s="154">
        <v>1746</v>
      </c>
      <c r="BA181" s="389">
        <f t="shared" si="134"/>
        <v>1815.8400000000001</v>
      </c>
      <c r="BB181" s="155">
        <v>0</v>
      </c>
      <c r="BC181" s="356">
        <f t="shared" si="135"/>
        <v>0</v>
      </c>
      <c r="BD181" s="116">
        <v>0</v>
      </c>
      <c r="BE181" s="389">
        <f t="shared" si="136"/>
        <v>0</v>
      </c>
      <c r="BF181" s="154">
        <v>0</v>
      </c>
      <c r="BG181" s="389">
        <f t="shared" si="137"/>
        <v>0</v>
      </c>
      <c r="BH181" s="435">
        <v>0</v>
      </c>
      <c r="BI181" s="392">
        <f t="shared" si="138"/>
        <v>0</v>
      </c>
      <c r="BJ181" s="729" t="s">
        <v>650</v>
      </c>
      <c r="BK181" s="78"/>
      <c r="BL181" s="78" t="s">
        <v>92</v>
      </c>
      <c r="BM181" s="727" t="s">
        <v>666</v>
      </c>
    </row>
    <row r="182" spans="1:65" s="333" customFormat="1">
      <c r="A182" s="195" t="s">
        <v>383</v>
      </c>
      <c r="B182" s="9" t="s">
        <v>186</v>
      </c>
      <c r="C182" s="78" t="s">
        <v>30</v>
      </c>
      <c r="D182" s="1011"/>
      <c r="E182" s="999"/>
      <c r="F182" s="1001"/>
      <c r="G182" s="647">
        <v>2026</v>
      </c>
      <c r="H182" s="884" t="s">
        <v>598</v>
      </c>
      <c r="I182" s="627" t="s">
        <v>393</v>
      </c>
      <c r="J182" s="628">
        <v>14</v>
      </c>
      <c r="K182" s="629" t="s">
        <v>446</v>
      </c>
      <c r="L182" s="625" t="s">
        <v>150</v>
      </c>
      <c r="M182" s="640" t="s">
        <v>391</v>
      </c>
      <c r="N182" s="82">
        <v>3.45</v>
      </c>
      <c r="O182" s="82">
        <v>3.45</v>
      </c>
      <c r="P182" s="82">
        <v>3.45</v>
      </c>
      <c r="Q182" s="82">
        <v>3.45</v>
      </c>
      <c r="R182" s="82">
        <v>4.05</v>
      </c>
      <c r="S182" s="82">
        <v>4.05</v>
      </c>
      <c r="T182" s="82">
        <v>4.05</v>
      </c>
      <c r="U182" s="82">
        <v>4.05</v>
      </c>
      <c r="V182" s="82">
        <v>4.05</v>
      </c>
      <c r="W182" s="82">
        <v>4.05</v>
      </c>
      <c r="X182" s="82">
        <v>4.05</v>
      </c>
      <c r="Y182" s="82">
        <v>4.05</v>
      </c>
      <c r="Z182" s="195">
        <v>0.39</v>
      </c>
      <c r="AA182" s="379">
        <v>0.39</v>
      </c>
      <c r="AB182" s="379">
        <v>0.39</v>
      </c>
      <c r="AC182" s="378">
        <v>0</v>
      </c>
      <c r="AD182" s="379">
        <v>0.57999999999999996</v>
      </c>
      <c r="AE182" s="379">
        <v>0.57999999999999996</v>
      </c>
      <c r="AF182" s="379">
        <v>0.57999999999999996</v>
      </c>
      <c r="AG182" s="379">
        <v>0.57999999999999996</v>
      </c>
      <c r="AH182" s="379">
        <v>0.57999999999999996</v>
      </c>
      <c r="AI182" s="379">
        <v>0.57999999999999996</v>
      </c>
      <c r="AJ182" s="379">
        <v>0.57999999999999996</v>
      </c>
      <c r="AK182" s="959">
        <v>0.57999999999999996</v>
      </c>
      <c r="AL182" s="505">
        <v>0</v>
      </c>
      <c r="AM182" s="519">
        <f t="shared" si="127"/>
        <v>0</v>
      </c>
      <c r="AN182" s="585">
        <v>0</v>
      </c>
      <c r="AO182" s="496">
        <f t="shared" si="128"/>
        <v>0</v>
      </c>
      <c r="AP182" s="585">
        <v>12930</v>
      </c>
      <c r="AQ182" s="622">
        <f t="shared" si="129"/>
        <v>5042.7</v>
      </c>
      <c r="AR182" s="511">
        <v>2840</v>
      </c>
      <c r="AS182" s="775">
        <f t="shared" si="130"/>
        <v>0</v>
      </c>
      <c r="AT182" s="583">
        <v>8280</v>
      </c>
      <c r="AU182" s="494">
        <f t="shared" si="131"/>
        <v>4802.3999999999996</v>
      </c>
      <c r="AV182" s="154">
        <v>5856</v>
      </c>
      <c r="AW182" s="390">
        <f t="shared" si="132"/>
        <v>3396.4799999999996</v>
      </c>
      <c r="AX182" s="116">
        <v>3635</v>
      </c>
      <c r="AY182" s="389">
        <f t="shared" si="133"/>
        <v>2108.2999999999997</v>
      </c>
      <c r="AZ182" s="154">
        <v>7812</v>
      </c>
      <c r="BA182" s="389">
        <f t="shared" si="134"/>
        <v>4530.96</v>
      </c>
      <c r="BB182" s="155">
        <v>0</v>
      </c>
      <c r="BC182" s="356">
        <f t="shared" si="135"/>
        <v>0</v>
      </c>
      <c r="BD182" s="116">
        <v>0</v>
      </c>
      <c r="BE182" s="389">
        <f t="shared" si="136"/>
        <v>0</v>
      </c>
      <c r="BF182" s="154">
        <v>0</v>
      </c>
      <c r="BG182" s="389">
        <f t="shared" si="137"/>
        <v>0</v>
      </c>
      <c r="BH182" s="650">
        <v>0</v>
      </c>
      <c r="BI182" s="392">
        <f t="shared" si="138"/>
        <v>0</v>
      </c>
      <c r="BJ182" s="479" t="s">
        <v>601</v>
      </c>
      <c r="BK182" s="78"/>
      <c r="BL182" s="78" t="s">
        <v>92</v>
      </c>
      <c r="BM182" s="331" t="s">
        <v>607</v>
      </c>
    </row>
    <row r="183" spans="1:65" s="333" customFormat="1">
      <c r="A183" s="195" t="s">
        <v>383</v>
      </c>
      <c r="B183" s="9" t="s">
        <v>186</v>
      </c>
      <c r="C183" s="78" t="s">
        <v>30</v>
      </c>
      <c r="D183" s="1011"/>
      <c r="E183" s="999"/>
      <c r="F183" s="1001"/>
      <c r="G183" s="647">
        <v>2026</v>
      </c>
      <c r="H183" s="884" t="s">
        <v>598</v>
      </c>
      <c r="I183" s="627" t="s">
        <v>393</v>
      </c>
      <c r="J183" s="628">
        <v>14</v>
      </c>
      <c r="K183" s="629" t="s">
        <v>446</v>
      </c>
      <c r="L183" s="625" t="s">
        <v>150</v>
      </c>
      <c r="M183" s="640" t="s">
        <v>391</v>
      </c>
      <c r="N183" s="82">
        <v>3.45</v>
      </c>
      <c r="O183" s="82">
        <v>3.45</v>
      </c>
      <c r="P183" s="82">
        <v>3.45</v>
      </c>
      <c r="Q183" s="82">
        <v>3.45</v>
      </c>
      <c r="R183" s="82">
        <v>4.05</v>
      </c>
      <c r="S183" s="82">
        <v>4.05</v>
      </c>
      <c r="T183" s="82">
        <v>4.05</v>
      </c>
      <c r="U183" s="82">
        <v>4.05</v>
      </c>
      <c r="V183" s="82">
        <v>4.05</v>
      </c>
      <c r="W183" s="82">
        <v>4.05</v>
      </c>
      <c r="X183" s="82">
        <v>4.05</v>
      </c>
      <c r="Y183" s="82">
        <v>4.05</v>
      </c>
      <c r="Z183" s="195">
        <v>0.39</v>
      </c>
      <c r="AA183" s="379">
        <v>0.39</v>
      </c>
      <c r="AB183" s="379">
        <v>0.39</v>
      </c>
      <c r="AC183" s="378">
        <v>0</v>
      </c>
      <c r="AD183" s="379">
        <v>0.57999999999999996</v>
      </c>
      <c r="AE183" s="379">
        <v>0.57999999999999996</v>
      </c>
      <c r="AF183" s="379">
        <v>0.57999999999999996</v>
      </c>
      <c r="AG183" s="379">
        <v>0.57999999999999996</v>
      </c>
      <c r="AH183" s="379">
        <v>0.57999999999999996</v>
      </c>
      <c r="AI183" s="379">
        <v>0.57999999999999996</v>
      </c>
      <c r="AJ183" s="379">
        <v>0.57999999999999996</v>
      </c>
      <c r="AK183" s="959">
        <v>0.57999999999999996</v>
      </c>
      <c r="AL183" s="505">
        <v>0</v>
      </c>
      <c r="AM183" s="519">
        <f t="shared" si="127"/>
        <v>0</v>
      </c>
      <c r="AN183" s="585">
        <v>0</v>
      </c>
      <c r="AO183" s="496">
        <f t="shared" si="128"/>
        <v>0</v>
      </c>
      <c r="AP183" s="585">
        <v>0</v>
      </c>
      <c r="AQ183" s="622">
        <f t="shared" si="129"/>
        <v>0</v>
      </c>
      <c r="AR183" s="511">
        <v>0</v>
      </c>
      <c r="AS183" s="775">
        <f t="shared" si="130"/>
        <v>0</v>
      </c>
      <c r="AT183" s="994">
        <v>53.79</v>
      </c>
      <c r="AU183" s="494">
        <f t="shared" si="131"/>
        <v>31.198199999999996</v>
      </c>
      <c r="AV183" s="154">
        <v>0</v>
      </c>
      <c r="AW183" s="390">
        <f t="shared" si="132"/>
        <v>0</v>
      </c>
      <c r="AX183" s="116">
        <v>0</v>
      </c>
      <c r="AY183" s="389">
        <f t="shared" si="133"/>
        <v>0</v>
      </c>
      <c r="AZ183" s="154">
        <v>0</v>
      </c>
      <c r="BA183" s="389">
        <f t="shared" si="134"/>
        <v>0</v>
      </c>
      <c r="BB183" s="155">
        <v>0</v>
      </c>
      <c r="BC183" s="356">
        <f t="shared" si="135"/>
        <v>0</v>
      </c>
      <c r="BD183" s="116">
        <v>0</v>
      </c>
      <c r="BE183" s="389">
        <f t="shared" si="136"/>
        <v>0</v>
      </c>
      <c r="BF183" s="154">
        <v>0</v>
      </c>
      <c r="BG183" s="389">
        <f t="shared" si="137"/>
        <v>0</v>
      </c>
      <c r="BH183" s="650">
        <v>0</v>
      </c>
      <c r="BI183" s="392">
        <f t="shared" si="138"/>
        <v>0</v>
      </c>
      <c r="BJ183" s="479" t="s">
        <v>602</v>
      </c>
      <c r="BK183" s="78" t="s">
        <v>604</v>
      </c>
      <c r="BL183" s="78" t="s">
        <v>92</v>
      </c>
      <c r="BM183" s="331" t="s">
        <v>608</v>
      </c>
    </row>
    <row r="184" spans="1:65" s="333" customFormat="1">
      <c r="A184" s="195" t="s">
        <v>383</v>
      </c>
      <c r="B184" s="9" t="s">
        <v>186</v>
      </c>
      <c r="C184" s="78" t="s">
        <v>30</v>
      </c>
      <c r="D184" s="1011"/>
      <c r="E184" s="999"/>
      <c r="F184" s="1001"/>
      <c r="G184" s="733">
        <v>2026</v>
      </c>
      <c r="H184" s="885" t="s">
        <v>598</v>
      </c>
      <c r="I184" s="894" t="s">
        <v>393</v>
      </c>
      <c r="J184" s="895">
        <v>14</v>
      </c>
      <c r="K184" s="730" t="s">
        <v>446</v>
      </c>
      <c r="L184" s="896" t="s">
        <v>160</v>
      </c>
      <c r="M184" s="897" t="s">
        <v>392</v>
      </c>
      <c r="N184" s="82">
        <v>3.45</v>
      </c>
      <c r="O184" s="82">
        <v>3.45</v>
      </c>
      <c r="P184" s="82">
        <v>3.45</v>
      </c>
      <c r="Q184" s="82">
        <v>3.45</v>
      </c>
      <c r="R184" s="82">
        <v>4.05</v>
      </c>
      <c r="S184" s="82">
        <v>4.05</v>
      </c>
      <c r="T184" s="82">
        <v>4.05</v>
      </c>
      <c r="U184" s="82">
        <v>4.05</v>
      </c>
      <c r="V184" s="82">
        <v>4.05</v>
      </c>
      <c r="W184" s="82">
        <v>4.05</v>
      </c>
      <c r="X184" s="82">
        <v>4.05</v>
      </c>
      <c r="Y184" s="82">
        <v>4.05</v>
      </c>
      <c r="Z184" s="195">
        <v>0.39</v>
      </c>
      <c r="AA184" s="379">
        <v>0.39</v>
      </c>
      <c r="AB184" s="379">
        <v>0.39</v>
      </c>
      <c r="AC184" s="378">
        <v>0</v>
      </c>
      <c r="AD184" s="379">
        <v>0.57999999999999996</v>
      </c>
      <c r="AE184" s="379">
        <v>0.57999999999999996</v>
      </c>
      <c r="AF184" s="379">
        <v>0.57999999999999996</v>
      </c>
      <c r="AG184" s="379">
        <v>0.57999999999999996</v>
      </c>
      <c r="AH184" s="379">
        <v>0.57999999999999996</v>
      </c>
      <c r="AI184" s="379">
        <v>0.57999999999999996</v>
      </c>
      <c r="AJ184" s="379">
        <v>0.57999999999999996</v>
      </c>
      <c r="AK184" s="959">
        <v>0.57999999999999996</v>
      </c>
      <c r="AL184" s="505">
        <v>0</v>
      </c>
      <c r="AM184" s="519">
        <f t="shared" si="127"/>
        <v>0</v>
      </c>
      <c r="AN184" s="585">
        <v>0</v>
      </c>
      <c r="AO184" s="496">
        <f t="shared" si="128"/>
        <v>0</v>
      </c>
      <c r="AP184" s="585">
        <v>0</v>
      </c>
      <c r="AQ184" s="622">
        <f t="shared" si="129"/>
        <v>0</v>
      </c>
      <c r="AR184" s="511">
        <v>1280</v>
      </c>
      <c r="AS184" s="775">
        <f t="shared" si="130"/>
        <v>0</v>
      </c>
      <c r="AT184" s="583">
        <v>400</v>
      </c>
      <c r="AU184" s="494">
        <f t="shared" si="131"/>
        <v>231.99999999999997</v>
      </c>
      <c r="AV184" s="154">
        <v>6489</v>
      </c>
      <c r="AW184" s="390">
        <f t="shared" si="132"/>
        <v>3763.62</v>
      </c>
      <c r="AX184" s="116">
        <v>7962</v>
      </c>
      <c r="AY184" s="389">
        <f t="shared" si="133"/>
        <v>4617.96</v>
      </c>
      <c r="AZ184" s="154">
        <v>8197</v>
      </c>
      <c r="BA184" s="389">
        <f t="shared" si="134"/>
        <v>4754.2599999999993</v>
      </c>
      <c r="BB184" s="155">
        <v>0</v>
      </c>
      <c r="BC184" s="356">
        <f t="shared" si="135"/>
        <v>0</v>
      </c>
      <c r="BD184" s="116">
        <v>0</v>
      </c>
      <c r="BE184" s="389">
        <f t="shared" si="136"/>
        <v>0</v>
      </c>
      <c r="BF184" s="154">
        <v>0</v>
      </c>
      <c r="BG184" s="389">
        <f t="shared" si="137"/>
        <v>0</v>
      </c>
      <c r="BH184" s="650">
        <v>0</v>
      </c>
      <c r="BI184" s="392">
        <f t="shared" si="138"/>
        <v>0</v>
      </c>
      <c r="BJ184" s="729" t="s">
        <v>651</v>
      </c>
      <c r="BK184" s="78"/>
      <c r="BL184" s="78" t="s">
        <v>92</v>
      </c>
      <c r="BM184" s="727" t="s">
        <v>607</v>
      </c>
    </row>
    <row r="185" spans="1:65" s="333" customFormat="1">
      <c r="A185" s="195" t="s">
        <v>383</v>
      </c>
      <c r="B185" s="9" t="s">
        <v>186</v>
      </c>
      <c r="C185" s="78" t="s">
        <v>30</v>
      </c>
      <c r="D185" s="1011"/>
      <c r="E185" s="999"/>
      <c r="F185" s="1001"/>
      <c r="G185" s="733">
        <v>2026</v>
      </c>
      <c r="H185" s="885" t="s">
        <v>598</v>
      </c>
      <c r="I185" s="894" t="s">
        <v>393</v>
      </c>
      <c r="J185" s="895">
        <v>14</v>
      </c>
      <c r="K185" s="730" t="s">
        <v>446</v>
      </c>
      <c r="L185" s="896" t="s">
        <v>160</v>
      </c>
      <c r="M185" s="897" t="s">
        <v>392</v>
      </c>
      <c r="N185" s="82">
        <v>3.45</v>
      </c>
      <c r="O185" s="82">
        <v>3.45</v>
      </c>
      <c r="P185" s="82">
        <v>3.45</v>
      </c>
      <c r="Q185" s="82">
        <v>3.45</v>
      </c>
      <c r="R185" s="82">
        <v>4.05</v>
      </c>
      <c r="S185" s="82">
        <v>4.05</v>
      </c>
      <c r="T185" s="82">
        <v>4.05</v>
      </c>
      <c r="U185" s="82">
        <v>4.05</v>
      </c>
      <c r="V185" s="82">
        <v>4.05</v>
      </c>
      <c r="W185" s="82">
        <v>4.05</v>
      </c>
      <c r="X185" s="82">
        <v>4.05</v>
      </c>
      <c r="Y185" s="82">
        <v>4.05</v>
      </c>
      <c r="Z185" s="195">
        <v>0.39</v>
      </c>
      <c r="AA185" s="379">
        <v>0.39</v>
      </c>
      <c r="AB185" s="379">
        <v>0.39</v>
      </c>
      <c r="AC185" s="378">
        <v>0</v>
      </c>
      <c r="AD185" s="379">
        <v>0.57999999999999996</v>
      </c>
      <c r="AE185" s="379">
        <v>0.57999999999999996</v>
      </c>
      <c r="AF185" s="379">
        <v>0.57999999999999996</v>
      </c>
      <c r="AG185" s="379">
        <v>0.57999999999999996</v>
      </c>
      <c r="AH185" s="379">
        <v>0.57999999999999996</v>
      </c>
      <c r="AI185" s="379">
        <v>0.57999999999999996</v>
      </c>
      <c r="AJ185" s="379">
        <v>0.57999999999999996</v>
      </c>
      <c r="AK185" s="959">
        <v>0.57999999999999996</v>
      </c>
      <c r="AL185" s="505">
        <v>0</v>
      </c>
      <c r="AM185" s="519">
        <f t="shared" si="127"/>
        <v>0</v>
      </c>
      <c r="AN185" s="585">
        <v>0</v>
      </c>
      <c r="AO185" s="496">
        <f t="shared" si="128"/>
        <v>0</v>
      </c>
      <c r="AP185" s="585">
        <v>0</v>
      </c>
      <c r="AQ185" s="622">
        <f t="shared" si="129"/>
        <v>0</v>
      </c>
      <c r="AR185" s="511">
        <v>560</v>
      </c>
      <c r="AS185" s="775">
        <f t="shared" si="130"/>
        <v>0</v>
      </c>
      <c r="AT185" s="583">
        <v>0</v>
      </c>
      <c r="AU185" s="494">
        <f t="shared" si="131"/>
        <v>0</v>
      </c>
      <c r="AV185" s="154">
        <v>1045</v>
      </c>
      <c r="AW185" s="390">
        <f t="shared" si="132"/>
        <v>606.09999999999991</v>
      </c>
      <c r="AX185" s="116">
        <v>789</v>
      </c>
      <c r="AY185" s="389">
        <f t="shared" si="133"/>
        <v>457.61999999999995</v>
      </c>
      <c r="AZ185" s="154">
        <v>769</v>
      </c>
      <c r="BA185" s="389">
        <f t="shared" si="134"/>
        <v>446.02</v>
      </c>
      <c r="BB185" s="155">
        <v>0</v>
      </c>
      <c r="BC185" s="356">
        <f t="shared" si="135"/>
        <v>0</v>
      </c>
      <c r="BD185" s="116">
        <v>0</v>
      </c>
      <c r="BE185" s="389">
        <f t="shared" si="136"/>
        <v>0</v>
      </c>
      <c r="BF185" s="154">
        <v>0</v>
      </c>
      <c r="BG185" s="389">
        <f t="shared" si="137"/>
        <v>0</v>
      </c>
      <c r="BH185" s="650">
        <v>0</v>
      </c>
      <c r="BI185" s="392">
        <f t="shared" si="138"/>
        <v>0</v>
      </c>
      <c r="BJ185" s="729" t="s">
        <v>652</v>
      </c>
      <c r="BK185" s="78" t="s">
        <v>604</v>
      </c>
      <c r="BL185" s="78" t="s">
        <v>92</v>
      </c>
      <c r="BM185" s="727" t="s">
        <v>608</v>
      </c>
    </row>
    <row r="186" spans="1:65" s="333" customFormat="1">
      <c r="A186" s="195" t="s">
        <v>383</v>
      </c>
      <c r="B186" s="9" t="s">
        <v>186</v>
      </c>
      <c r="C186" s="78" t="s">
        <v>30</v>
      </c>
      <c r="D186" s="1011"/>
      <c r="E186" s="999"/>
      <c r="F186" s="1001"/>
      <c r="G186" s="647">
        <v>2026</v>
      </c>
      <c r="H186" s="884" t="s">
        <v>598</v>
      </c>
      <c r="I186" s="627" t="s">
        <v>393</v>
      </c>
      <c r="J186" s="628">
        <v>14</v>
      </c>
      <c r="K186" s="629" t="s">
        <v>605</v>
      </c>
      <c r="L186" s="625" t="s">
        <v>150</v>
      </c>
      <c r="M186" s="640" t="s">
        <v>391</v>
      </c>
      <c r="N186" s="82">
        <v>3.45</v>
      </c>
      <c r="O186" s="82">
        <v>3.45</v>
      </c>
      <c r="P186" s="82">
        <v>3.45</v>
      </c>
      <c r="Q186" s="82">
        <v>3.45</v>
      </c>
      <c r="R186" s="82">
        <v>4.05</v>
      </c>
      <c r="S186" s="82">
        <v>4.05</v>
      </c>
      <c r="T186" s="82">
        <v>4.05</v>
      </c>
      <c r="U186" s="82">
        <v>4.05</v>
      </c>
      <c r="V186" s="82">
        <v>4.05</v>
      </c>
      <c r="W186" s="82">
        <v>4.05</v>
      </c>
      <c r="X186" s="82">
        <v>4.05</v>
      </c>
      <c r="Y186" s="82">
        <v>4.05</v>
      </c>
      <c r="Z186" s="195">
        <v>0.39</v>
      </c>
      <c r="AA186" s="379">
        <v>0.39</v>
      </c>
      <c r="AB186" s="379">
        <v>0.39</v>
      </c>
      <c r="AC186" s="378">
        <v>0</v>
      </c>
      <c r="AD186" s="379">
        <v>0.57999999999999996</v>
      </c>
      <c r="AE186" s="379">
        <v>0.57999999999999996</v>
      </c>
      <c r="AF186" s="379">
        <v>0.57999999999999996</v>
      </c>
      <c r="AG186" s="379">
        <v>0.57999999999999996</v>
      </c>
      <c r="AH186" s="379">
        <v>0.57999999999999996</v>
      </c>
      <c r="AI186" s="379">
        <v>0.57999999999999996</v>
      </c>
      <c r="AJ186" s="379">
        <v>0.57999999999999996</v>
      </c>
      <c r="AK186" s="959">
        <v>0.57999999999999996</v>
      </c>
      <c r="AL186" s="505">
        <v>0</v>
      </c>
      <c r="AM186" s="519">
        <f t="shared" si="127"/>
        <v>0</v>
      </c>
      <c r="AN186" s="585">
        <v>0</v>
      </c>
      <c r="AO186" s="496">
        <f t="shared" si="128"/>
        <v>0</v>
      </c>
      <c r="AP186" s="585">
        <v>40</v>
      </c>
      <c r="AQ186" s="622">
        <f t="shared" si="129"/>
        <v>15.600000000000001</v>
      </c>
      <c r="AR186" s="511">
        <v>80</v>
      </c>
      <c r="AS186" s="775">
        <f t="shared" si="130"/>
        <v>0</v>
      </c>
      <c r="AT186" s="583">
        <v>0</v>
      </c>
      <c r="AU186" s="494">
        <f t="shared" si="131"/>
        <v>0</v>
      </c>
      <c r="AV186" s="154">
        <v>0</v>
      </c>
      <c r="AW186" s="390">
        <f t="shared" si="132"/>
        <v>0</v>
      </c>
      <c r="AX186" s="116">
        <v>0</v>
      </c>
      <c r="AY186" s="389">
        <f t="shared" si="133"/>
        <v>0</v>
      </c>
      <c r="AZ186" s="154">
        <v>0</v>
      </c>
      <c r="BA186" s="389">
        <f t="shared" si="134"/>
        <v>0</v>
      </c>
      <c r="BB186" s="155">
        <v>0</v>
      </c>
      <c r="BC186" s="356">
        <f t="shared" si="135"/>
        <v>0</v>
      </c>
      <c r="BD186" s="116">
        <v>0</v>
      </c>
      <c r="BE186" s="389">
        <f t="shared" si="136"/>
        <v>0</v>
      </c>
      <c r="BF186" s="154">
        <v>0</v>
      </c>
      <c r="BG186" s="389">
        <f t="shared" si="137"/>
        <v>0</v>
      </c>
      <c r="BH186" s="650">
        <v>0</v>
      </c>
      <c r="BI186" s="392">
        <f t="shared" si="138"/>
        <v>0</v>
      </c>
      <c r="BJ186" s="479" t="s">
        <v>603</v>
      </c>
      <c r="BK186" s="78" t="s">
        <v>604</v>
      </c>
      <c r="BL186" s="78" t="s">
        <v>92</v>
      </c>
      <c r="BM186" s="331" t="s">
        <v>609</v>
      </c>
    </row>
    <row r="187" spans="1:65" s="333" customFormat="1">
      <c r="A187" s="195" t="s">
        <v>383</v>
      </c>
      <c r="B187" s="9" t="s">
        <v>186</v>
      </c>
      <c r="C187" s="78" t="s">
        <v>30</v>
      </c>
      <c r="D187" s="1011"/>
      <c r="E187" s="999"/>
      <c r="F187" s="1001"/>
      <c r="G187" s="733">
        <v>2026</v>
      </c>
      <c r="H187" s="885" t="s">
        <v>598</v>
      </c>
      <c r="I187" s="894" t="s">
        <v>393</v>
      </c>
      <c r="J187" s="628">
        <v>14</v>
      </c>
      <c r="K187" s="730" t="s">
        <v>640</v>
      </c>
      <c r="L187" s="896" t="s">
        <v>150</v>
      </c>
      <c r="M187" s="897" t="s">
        <v>391</v>
      </c>
      <c r="N187" s="82">
        <v>3.45</v>
      </c>
      <c r="O187" s="82">
        <v>3.45</v>
      </c>
      <c r="P187" s="82">
        <v>3.45</v>
      </c>
      <c r="Q187" s="82">
        <v>3.45</v>
      </c>
      <c r="R187" s="82">
        <v>4.05</v>
      </c>
      <c r="S187" s="82">
        <v>4.05</v>
      </c>
      <c r="T187" s="82">
        <v>4.05</v>
      </c>
      <c r="U187" s="82">
        <v>4.05</v>
      </c>
      <c r="V187" s="82">
        <v>4.05</v>
      </c>
      <c r="W187" s="82">
        <v>4.05</v>
      </c>
      <c r="X187" s="82">
        <v>4.05</v>
      </c>
      <c r="Y187" s="82">
        <v>4.05</v>
      </c>
      <c r="Z187" s="195">
        <v>0.39</v>
      </c>
      <c r="AA187" s="379">
        <v>0.39</v>
      </c>
      <c r="AB187" s="379">
        <v>0.39</v>
      </c>
      <c r="AC187" s="378">
        <v>0</v>
      </c>
      <c r="AD187" s="379">
        <v>0.57999999999999996</v>
      </c>
      <c r="AE187" s="379">
        <v>0.57999999999999996</v>
      </c>
      <c r="AF187" s="379">
        <v>0.57999999999999996</v>
      </c>
      <c r="AG187" s="379">
        <v>0.57999999999999996</v>
      </c>
      <c r="AH187" s="379">
        <v>0.57999999999999996</v>
      </c>
      <c r="AI187" s="379">
        <v>0.57999999999999996</v>
      </c>
      <c r="AJ187" s="379">
        <v>0.57999999999999996</v>
      </c>
      <c r="AK187" s="959">
        <v>0.57999999999999996</v>
      </c>
      <c r="AL187" s="505">
        <v>0</v>
      </c>
      <c r="AM187" s="519">
        <f t="shared" si="127"/>
        <v>0</v>
      </c>
      <c r="AN187" s="585">
        <v>0</v>
      </c>
      <c r="AO187" s="496">
        <f t="shared" si="128"/>
        <v>0</v>
      </c>
      <c r="AP187" s="585">
        <v>0</v>
      </c>
      <c r="AQ187" s="622">
        <f t="shared" si="129"/>
        <v>0</v>
      </c>
      <c r="AR187" s="511">
        <v>160</v>
      </c>
      <c r="AS187" s="775">
        <f t="shared" si="130"/>
        <v>0</v>
      </c>
      <c r="AT187" s="583">
        <v>80</v>
      </c>
      <c r="AU187" s="494">
        <f t="shared" si="131"/>
        <v>46.4</v>
      </c>
      <c r="AV187" s="154">
        <v>120</v>
      </c>
      <c r="AW187" s="390">
        <f t="shared" si="132"/>
        <v>69.599999999999994</v>
      </c>
      <c r="AX187" s="116">
        <v>0</v>
      </c>
      <c r="AY187" s="389">
        <f t="shared" si="133"/>
        <v>0</v>
      </c>
      <c r="AZ187" s="154">
        <v>0</v>
      </c>
      <c r="BA187" s="389">
        <f t="shared" si="134"/>
        <v>0</v>
      </c>
      <c r="BB187" s="155">
        <v>0</v>
      </c>
      <c r="BC187" s="356">
        <f t="shared" si="135"/>
        <v>0</v>
      </c>
      <c r="BD187" s="116">
        <v>0</v>
      </c>
      <c r="BE187" s="389">
        <f t="shared" si="136"/>
        <v>0</v>
      </c>
      <c r="BF187" s="154">
        <v>0</v>
      </c>
      <c r="BG187" s="389">
        <f t="shared" si="137"/>
        <v>0</v>
      </c>
      <c r="BH187" s="650">
        <v>0</v>
      </c>
      <c r="BI187" s="392">
        <f t="shared" si="138"/>
        <v>0</v>
      </c>
      <c r="BJ187" s="729" t="s">
        <v>639</v>
      </c>
      <c r="BK187" s="78" t="s">
        <v>604</v>
      </c>
      <c r="BL187" s="78" t="s">
        <v>92</v>
      </c>
      <c r="BM187" s="727" t="s">
        <v>641</v>
      </c>
    </row>
    <row r="188" spans="1:65" s="333" customFormat="1">
      <c r="A188" s="195" t="s">
        <v>383</v>
      </c>
      <c r="B188" s="9" t="s">
        <v>186</v>
      </c>
      <c r="C188" s="78" t="s">
        <v>30</v>
      </c>
      <c r="D188" s="1011"/>
      <c r="E188" s="999"/>
      <c r="F188" s="1001"/>
      <c r="G188" s="647">
        <v>2026</v>
      </c>
      <c r="H188" s="884" t="s">
        <v>598</v>
      </c>
      <c r="I188" s="627" t="s">
        <v>393</v>
      </c>
      <c r="J188" s="628">
        <v>14</v>
      </c>
      <c r="K188" s="333" t="s">
        <v>465</v>
      </c>
      <c r="L188" s="625" t="s">
        <v>160</v>
      </c>
      <c r="M188" s="640" t="s">
        <v>326</v>
      </c>
      <c r="N188" s="82">
        <v>3.45</v>
      </c>
      <c r="O188" s="82">
        <v>3.45</v>
      </c>
      <c r="P188" s="82">
        <v>3.45</v>
      </c>
      <c r="Q188" s="82">
        <v>3.45</v>
      </c>
      <c r="R188" s="82">
        <v>4.05</v>
      </c>
      <c r="S188" s="82">
        <v>4.05</v>
      </c>
      <c r="T188" s="82">
        <v>4.05</v>
      </c>
      <c r="U188" s="82">
        <v>4.05</v>
      </c>
      <c r="V188" s="82">
        <v>4.05</v>
      </c>
      <c r="W188" s="82">
        <v>4.05</v>
      </c>
      <c r="X188" s="82">
        <v>4.05</v>
      </c>
      <c r="Y188" s="82">
        <v>4.05</v>
      </c>
      <c r="Z188" s="195">
        <v>0.39</v>
      </c>
      <c r="AA188" s="379">
        <v>0.39</v>
      </c>
      <c r="AB188" s="379">
        <v>0.39</v>
      </c>
      <c r="AC188" s="378">
        <v>0</v>
      </c>
      <c r="AD188" s="379">
        <v>0.57999999999999996</v>
      </c>
      <c r="AE188" s="379">
        <v>0.57999999999999996</v>
      </c>
      <c r="AF188" s="379">
        <v>0.57999999999999996</v>
      </c>
      <c r="AG188" s="379">
        <v>0.57999999999999996</v>
      </c>
      <c r="AH188" s="379">
        <v>0.57999999999999996</v>
      </c>
      <c r="AI188" s="379">
        <v>0.57999999999999996</v>
      </c>
      <c r="AJ188" s="379">
        <v>0.57999999999999996</v>
      </c>
      <c r="AK188" s="959">
        <v>0.57999999999999996</v>
      </c>
      <c r="AL188" s="505">
        <v>0</v>
      </c>
      <c r="AM188" s="519">
        <f t="shared" si="127"/>
        <v>0</v>
      </c>
      <c r="AN188" s="585">
        <v>0</v>
      </c>
      <c r="AO188" s="496">
        <f t="shared" si="128"/>
        <v>0</v>
      </c>
      <c r="AP188" s="585">
        <v>0</v>
      </c>
      <c r="AQ188" s="622">
        <f t="shared" si="129"/>
        <v>0</v>
      </c>
      <c r="AR188" s="511">
        <v>280</v>
      </c>
      <c r="AS188" s="775">
        <f t="shared" si="130"/>
        <v>0</v>
      </c>
      <c r="AT188" s="994">
        <f>2372+387.31</f>
        <v>2759.31</v>
      </c>
      <c r="AU188" s="494">
        <f t="shared" si="131"/>
        <v>1600.3997999999999</v>
      </c>
      <c r="AV188" s="154">
        <v>10329</v>
      </c>
      <c r="AW188" s="390">
        <f t="shared" si="132"/>
        <v>5990.82</v>
      </c>
      <c r="AX188" s="116">
        <v>6402</v>
      </c>
      <c r="AY188" s="389">
        <f t="shared" si="133"/>
        <v>3713.16</v>
      </c>
      <c r="AZ188" s="154">
        <v>7998</v>
      </c>
      <c r="BA188" s="389">
        <f t="shared" si="134"/>
        <v>4638.8399999999992</v>
      </c>
      <c r="BB188" s="155">
        <v>0</v>
      </c>
      <c r="BC188" s="356">
        <f t="shared" si="135"/>
        <v>0</v>
      </c>
      <c r="BD188" s="116">
        <v>0</v>
      </c>
      <c r="BE188" s="389">
        <f t="shared" si="136"/>
        <v>0</v>
      </c>
      <c r="BF188" s="154">
        <v>0</v>
      </c>
      <c r="BG188" s="389">
        <f t="shared" si="137"/>
        <v>0</v>
      </c>
      <c r="BH188" s="650">
        <v>0</v>
      </c>
      <c r="BI188" s="392">
        <f t="shared" si="138"/>
        <v>0</v>
      </c>
      <c r="BJ188" s="479" t="s">
        <v>630</v>
      </c>
      <c r="BK188" s="78" t="s">
        <v>604</v>
      </c>
      <c r="BL188" s="78" t="s">
        <v>92</v>
      </c>
      <c r="BM188" s="727" t="s">
        <v>631</v>
      </c>
    </row>
    <row r="189" spans="1:65" s="333" customFormat="1">
      <c r="A189" s="195" t="s">
        <v>383</v>
      </c>
      <c r="B189" s="9" t="s">
        <v>186</v>
      </c>
      <c r="C189" s="78" t="s">
        <v>30</v>
      </c>
      <c r="D189" s="1011"/>
      <c r="E189" s="999"/>
      <c r="F189" s="1001"/>
      <c r="G189" s="647">
        <v>2026</v>
      </c>
      <c r="H189" s="884" t="s">
        <v>598</v>
      </c>
      <c r="I189" s="627" t="s">
        <v>393</v>
      </c>
      <c r="J189" s="628">
        <v>14</v>
      </c>
      <c r="K189" s="333" t="s">
        <v>606</v>
      </c>
      <c r="L189" s="625" t="s">
        <v>160</v>
      </c>
      <c r="M189" s="640" t="s">
        <v>326</v>
      </c>
      <c r="N189" s="82">
        <v>3.45</v>
      </c>
      <c r="O189" s="82">
        <v>3.45</v>
      </c>
      <c r="P189" s="82">
        <v>3.45</v>
      </c>
      <c r="Q189" s="82">
        <v>3.45</v>
      </c>
      <c r="R189" s="82">
        <v>4.05</v>
      </c>
      <c r="S189" s="82">
        <v>4.05</v>
      </c>
      <c r="T189" s="82">
        <v>4.05</v>
      </c>
      <c r="U189" s="82">
        <v>4.05</v>
      </c>
      <c r="V189" s="82">
        <v>4.05</v>
      </c>
      <c r="W189" s="82">
        <v>4.05</v>
      </c>
      <c r="X189" s="82">
        <v>4.05</v>
      </c>
      <c r="Y189" s="82">
        <v>4.05</v>
      </c>
      <c r="Z189" s="195">
        <v>0.39</v>
      </c>
      <c r="AA189" s="379">
        <v>0.39</v>
      </c>
      <c r="AB189" s="379">
        <v>0.39</v>
      </c>
      <c r="AC189" s="378">
        <v>0</v>
      </c>
      <c r="AD189" s="379">
        <v>0.57999999999999996</v>
      </c>
      <c r="AE189" s="379">
        <v>0.57999999999999996</v>
      </c>
      <c r="AF189" s="379">
        <v>0.57999999999999996</v>
      </c>
      <c r="AG189" s="379">
        <v>0.57999999999999996</v>
      </c>
      <c r="AH189" s="379">
        <v>0.57999999999999996</v>
      </c>
      <c r="AI189" s="379">
        <v>0.57999999999999996</v>
      </c>
      <c r="AJ189" s="379">
        <v>0.57999999999999996</v>
      </c>
      <c r="AK189" s="959">
        <v>0.57999999999999996</v>
      </c>
      <c r="AL189" s="505">
        <v>0</v>
      </c>
      <c r="AM189" s="519">
        <f t="shared" si="127"/>
        <v>0</v>
      </c>
      <c r="AN189" s="585">
        <v>0</v>
      </c>
      <c r="AO189" s="496">
        <f t="shared" si="128"/>
        <v>0</v>
      </c>
      <c r="AP189" s="585">
        <v>0</v>
      </c>
      <c r="AQ189" s="622">
        <f t="shared" si="129"/>
        <v>0</v>
      </c>
      <c r="AR189" s="511">
        <v>0</v>
      </c>
      <c r="AS189" s="775">
        <f t="shared" si="130"/>
        <v>0</v>
      </c>
      <c r="AT189" s="583">
        <v>0</v>
      </c>
      <c r="AU189" s="494">
        <f t="shared" si="131"/>
        <v>0</v>
      </c>
      <c r="AV189" s="154">
        <v>0</v>
      </c>
      <c r="AW189" s="390">
        <f t="shared" si="132"/>
        <v>0</v>
      </c>
      <c r="AX189" s="116">
        <v>0</v>
      </c>
      <c r="AY189" s="389">
        <f t="shared" si="133"/>
        <v>0</v>
      </c>
      <c r="AZ189" s="154">
        <v>0</v>
      </c>
      <c r="BA189" s="389">
        <f t="shared" si="134"/>
        <v>0</v>
      </c>
      <c r="BB189" s="155">
        <v>0</v>
      </c>
      <c r="BC189" s="356">
        <f t="shared" si="135"/>
        <v>0</v>
      </c>
      <c r="BD189" s="116">
        <v>0</v>
      </c>
      <c r="BE189" s="389">
        <f t="shared" si="136"/>
        <v>0</v>
      </c>
      <c r="BF189" s="154">
        <v>0</v>
      </c>
      <c r="BG189" s="389">
        <f t="shared" si="137"/>
        <v>0</v>
      </c>
      <c r="BH189" s="650">
        <v>0</v>
      </c>
      <c r="BI189" s="392">
        <f t="shared" si="138"/>
        <v>0</v>
      </c>
      <c r="BJ189" s="479" t="s">
        <v>632</v>
      </c>
      <c r="BK189" s="78" t="s">
        <v>604</v>
      </c>
      <c r="BL189" s="78" t="s">
        <v>92</v>
      </c>
      <c r="BM189" s="727" t="s">
        <v>609</v>
      </c>
    </row>
    <row r="190" spans="1:65" s="333" customFormat="1">
      <c r="A190" s="195" t="s">
        <v>383</v>
      </c>
      <c r="B190" s="9" t="s">
        <v>186</v>
      </c>
      <c r="C190" s="78" t="s">
        <v>30</v>
      </c>
      <c r="D190" s="1011"/>
      <c r="E190" s="999"/>
      <c r="F190" s="1001"/>
      <c r="G190" s="647">
        <v>2026</v>
      </c>
      <c r="H190" s="884" t="s">
        <v>598</v>
      </c>
      <c r="I190" s="627" t="s">
        <v>393</v>
      </c>
      <c r="J190" s="628">
        <v>14</v>
      </c>
      <c r="K190" s="333" t="s">
        <v>465</v>
      </c>
      <c r="L190" s="625" t="s">
        <v>150</v>
      </c>
      <c r="M190" s="640" t="s">
        <v>391</v>
      </c>
      <c r="N190" s="82">
        <v>3.45</v>
      </c>
      <c r="O190" s="82">
        <v>3.45</v>
      </c>
      <c r="P190" s="82">
        <v>3.45</v>
      </c>
      <c r="Q190" s="82">
        <v>3.45</v>
      </c>
      <c r="R190" s="82">
        <v>4.05</v>
      </c>
      <c r="S190" s="82">
        <v>4.05</v>
      </c>
      <c r="T190" s="82">
        <v>4.05</v>
      </c>
      <c r="U190" s="82">
        <v>4.05</v>
      </c>
      <c r="V190" s="82">
        <v>4.05</v>
      </c>
      <c r="W190" s="82">
        <v>4.05</v>
      </c>
      <c r="X190" s="82">
        <v>4.05</v>
      </c>
      <c r="Y190" s="82">
        <v>4.05</v>
      </c>
      <c r="Z190" s="195">
        <v>0.39</v>
      </c>
      <c r="AA190" s="379">
        <v>0.39</v>
      </c>
      <c r="AB190" s="379">
        <v>0.39</v>
      </c>
      <c r="AC190" s="378">
        <v>0</v>
      </c>
      <c r="AD190" s="379">
        <v>0.57999999999999996</v>
      </c>
      <c r="AE190" s="379">
        <v>0.57999999999999996</v>
      </c>
      <c r="AF190" s="379">
        <v>0.57999999999999996</v>
      </c>
      <c r="AG190" s="379">
        <v>0.57999999999999996</v>
      </c>
      <c r="AH190" s="379">
        <v>0.57999999999999996</v>
      </c>
      <c r="AI190" s="379">
        <v>0.57999999999999996</v>
      </c>
      <c r="AJ190" s="379">
        <v>0.57999999999999996</v>
      </c>
      <c r="AK190" s="959">
        <v>0.57999999999999996</v>
      </c>
      <c r="AL190" s="505">
        <v>0</v>
      </c>
      <c r="AM190" s="519">
        <v>0</v>
      </c>
      <c r="AN190" s="585">
        <v>0</v>
      </c>
      <c r="AO190" s="496">
        <v>0</v>
      </c>
      <c r="AP190" s="585">
        <v>0</v>
      </c>
      <c r="AQ190" s="622">
        <v>0</v>
      </c>
      <c r="AR190" s="511">
        <v>6240</v>
      </c>
      <c r="AS190" s="775">
        <v>0</v>
      </c>
      <c r="AT190" s="994">
        <f>4432+161.38</f>
        <v>4593.38</v>
      </c>
      <c r="AU190" s="494">
        <f t="shared" si="131"/>
        <v>2664.1603999999998</v>
      </c>
      <c r="AV190" s="154">
        <v>3819</v>
      </c>
      <c r="AW190" s="390">
        <f t="shared" si="132"/>
        <v>2215.02</v>
      </c>
      <c r="AX190" s="116">
        <v>6505</v>
      </c>
      <c r="AY190" s="389">
        <f t="shared" si="133"/>
        <v>3772.8999999999996</v>
      </c>
      <c r="AZ190" s="154">
        <v>11138</v>
      </c>
      <c r="BA190" s="389">
        <f t="shared" si="134"/>
        <v>6460.04</v>
      </c>
      <c r="BB190" s="155">
        <v>0</v>
      </c>
      <c r="BC190" s="356">
        <f t="shared" si="135"/>
        <v>0</v>
      </c>
      <c r="BD190" s="116">
        <v>0</v>
      </c>
      <c r="BE190" s="389">
        <f t="shared" si="136"/>
        <v>0</v>
      </c>
      <c r="BF190" s="154">
        <v>0</v>
      </c>
      <c r="BG190" s="389">
        <f t="shared" si="137"/>
        <v>0</v>
      </c>
      <c r="BH190" s="650">
        <v>0</v>
      </c>
      <c r="BI190" s="392">
        <f t="shared" si="138"/>
        <v>0</v>
      </c>
      <c r="BJ190" s="479" t="s">
        <v>673</v>
      </c>
      <c r="BK190" s="727" t="s">
        <v>633</v>
      </c>
      <c r="BL190" s="78" t="s">
        <v>717</v>
      </c>
      <c r="BM190" s="727" t="s">
        <v>700</v>
      </c>
    </row>
    <row r="191" spans="1:65" s="333" customFormat="1">
      <c r="A191" s="195" t="s">
        <v>383</v>
      </c>
      <c r="B191" s="9" t="s">
        <v>186</v>
      </c>
      <c r="C191" s="78" t="s">
        <v>30</v>
      </c>
      <c r="D191" s="1011"/>
      <c r="E191" s="999"/>
      <c r="F191" s="1001"/>
      <c r="G191" s="733">
        <v>2026</v>
      </c>
      <c r="H191" s="885" t="s">
        <v>598</v>
      </c>
      <c r="I191" s="894" t="s">
        <v>393</v>
      </c>
      <c r="J191" s="895">
        <v>14</v>
      </c>
      <c r="K191" s="899" t="s">
        <v>465</v>
      </c>
      <c r="L191" s="896" t="s">
        <v>160</v>
      </c>
      <c r="M191" s="897" t="s">
        <v>326</v>
      </c>
      <c r="N191" s="82">
        <v>3.45</v>
      </c>
      <c r="O191" s="82">
        <v>3.45</v>
      </c>
      <c r="P191" s="82">
        <v>3.45</v>
      </c>
      <c r="Q191" s="82">
        <v>3.45</v>
      </c>
      <c r="R191" s="82">
        <v>4.05</v>
      </c>
      <c r="S191" s="82">
        <v>4.05</v>
      </c>
      <c r="T191" s="82">
        <v>4.05</v>
      </c>
      <c r="U191" s="82">
        <v>4.05</v>
      </c>
      <c r="V191" s="82">
        <v>4.05</v>
      </c>
      <c r="W191" s="82">
        <v>4.05</v>
      </c>
      <c r="X191" s="82">
        <v>4.05</v>
      </c>
      <c r="Y191" s="82">
        <v>4.05</v>
      </c>
      <c r="Z191" s="195">
        <v>0.39</v>
      </c>
      <c r="AA191" s="379">
        <v>0.39</v>
      </c>
      <c r="AB191" s="379">
        <v>0.39</v>
      </c>
      <c r="AC191" s="378">
        <v>0</v>
      </c>
      <c r="AD191" s="379">
        <v>0.57999999999999996</v>
      </c>
      <c r="AE191" s="379">
        <v>0.57999999999999996</v>
      </c>
      <c r="AF191" s="379">
        <v>0.57999999999999996</v>
      </c>
      <c r="AG191" s="379">
        <v>0.57999999999999996</v>
      </c>
      <c r="AH191" s="379">
        <v>0.57999999999999996</v>
      </c>
      <c r="AI191" s="379">
        <v>0.57999999999999996</v>
      </c>
      <c r="AJ191" s="379">
        <v>0.57999999999999996</v>
      </c>
      <c r="AK191" s="959">
        <v>0.57999999999999996</v>
      </c>
      <c r="AL191" s="505">
        <v>0</v>
      </c>
      <c r="AM191" s="519">
        <f t="shared" ref="AM191:AM195" si="139">Z191*AL191</f>
        <v>0</v>
      </c>
      <c r="AN191" s="585">
        <v>0</v>
      </c>
      <c r="AO191" s="496">
        <f t="shared" ref="AO191:AO195" si="140">AA191*AN191</f>
        <v>0</v>
      </c>
      <c r="AP191" s="585">
        <v>0</v>
      </c>
      <c r="AQ191" s="622">
        <f t="shared" ref="AQ191:AQ195" si="141">AB191*AP191</f>
        <v>0</v>
      </c>
      <c r="AR191" s="511">
        <v>0</v>
      </c>
      <c r="AS191" s="775">
        <f t="shared" ref="AS191:AS195" si="142">AC191*AR191</f>
        <v>0</v>
      </c>
      <c r="AT191" s="583">
        <v>840</v>
      </c>
      <c r="AU191" s="494">
        <f t="shared" ref="AU191:AU195" si="143">AD191*AT191</f>
        <v>487.2</v>
      </c>
      <c r="AV191" s="154">
        <v>0</v>
      </c>
      <c r="AW191" s="390">
        <f t="shared" si="132"/>
        <v>0</v>
      </c>
      <c r="AX191" s="116">
        <v>0</v>
      </c>
      <c r="AY191" s="389">
        <f t="shared" si="133"/>
        <v>0</v>
      </c>
      <c r="AZ191" s="154">
        <v>0</v>
      </c>
      <c r="BA191" s="389">
        <f t="shared" si="134"/>
        <v>0</v>
      </c>
      <c r="BB191" s="155">
        <v>0</v>
      </c>
      <c r="BC191" s="356">
        <f t="shared" si="135"/>
        <v>0</v>
      </c>
      <c r="BD191" s="116">
        <v>0</v>
      </c>
      <c r="BE191" s="389">
        <f t="shared" si="136"/>
        <v>0</v>
      </c>
      <c r="BF191" s="154">
        <v>0</v>
      </c>
      <c r="BG191" s="389">
        <f t="shared" si="137"/>
        <v>0</v>
      </c>
      <c r="BH191" s="650">
        <v>0</v>
      </c>
      <c r="BI191" s="392">
        <f t="shared" si="138"/>
        <v>0</v>
      </c>
      <c r="BJ191" s="479" t="s">
        <v>699</v>
      </c>
      <c r="BK191" s="898"/>
      <c r="BL191" s="78" t="s">
        <v>717</v>
      </c>
      <c r="BM191" s="727" t="s">
        <v>633</v>
      </c>
    </row>
    <row r="192" spans="1:65" s="333" customFormat="1">
      <c r="A192" s="195" t="s">
        <v>383</v>
      </c>
      <c r="B192" s="9" t="s">
        <v>186</v>
      </c>
      <c r="C192" s="78" t="s">
        <v>30</v>
      </c>
      <c r="D192" s="1011"/>
      <c r="E192" s="999"/>
      <c r="F192" s="1001"/>
      <c r="G192" s="917">
        <v>2026</v>
      </c>
      <c r="H192" s="885" t="s">
        <v>598</v>
      </c>
      <c r="I192" s="918" t="s">
        <v>393</v>
      </c>
      <c r="J192" s="919">
        <v>14</v>
      </c>
      <c r="K192" s="899" t="s">
        <v>705</v>
      </c>
      <c r="L192" s="921" t="s">
        <v>160</v>
      </c>
      <c r="M192" s="922" t="s">
        <v>326</v>
      </c>
      <c r="N192" s="82">
        <v>3.45</v>
      </c>
      <c r="O192" s="82">
        <v>3.45</v>
      </c>
      <c r="P192" s="82">
        <v>3.45</v>
      </c>
      <c r="Q192" s="82">
        <v>3.45</v>
      </c>
      <c r="R192" s="82">
        <v>4.05</v>
      </c>
      <c r="S192" s="82">
        <v>4.05</v>
      </c>
      <c r="T192" s="82">
        <v>4.05</v>
      </c>
      <c r="U192" s="82">
        <v>4.05</v>
      </c>
      <c r="V192" s="82">
        <v>4.05</v>
      </c>
      <c r="W192" s="82">
        <v>4.05</v>
      </c>
      <c r="X192" s="82">
        <v>4.05</v>
      </c>
      <c r="Y192" s="82">
        <v>4.05</v>
      </c>
      <c r="Z192" s="195">
        <v>0.39</v>
      </c>
      <c r="AA192" s="379">
        <v>0.39</v>
      </c>
      <c r="AB192" s="379">
        <v>0.39</v>
      </c>
      <c r="AC192" s="378">
        <v>0</v>
      </c>
      <c r="AD192" s="379">
        <v>0.57999999999999996</v>
      </c>
      <c r="AE192" s="379">
        <v>0.57999999999999996</v>
      </c>
      <c r="AF192" s="379">
        <v>0.57999999999999996</v>
      </c>
      <c r="AG192" s="379">
        <v>0.57999999999999996</v>
      </c>
      <c r="AH192" s="379">
        <v>0.57999999999999996</v>
      </c>
      <c r="AI192" s="379">
        <v>0.57999999999999996</v>
      </c>
      <c r="AJ192" s="379">
        <v>0.57999999999999996</v>
      </c>
      <c r="AK192" s="959">
        <v>0.57999999999999996</v>
      </c>
      <c r="AL192" s="923">
        <v>0</v>
      </c>
      <c r="AM192" s="924">
        <f t="shared" si="139"/>
        <v>0</v>
      </c>
      <c r="AN192" s="925">
        <v>0</v>
      </c>
      <c r="AO192" s="528">
        <f t="shared" si="140"/>
        <v>0</v>
      </c>
      <c r="AP192" s="925">
        <v>0</v>
      </c>
      <c r="AQ192" s="926">
        <f t="shared" si="141"/>
        <v>0</v>
      </c>
      <c r="AR192" s="927">
        <v>0</v>
      </c>
      <c r="AS192" s="928">
        <f t="shared" si="142"/>
        <v>0</v>
      </c>
      <c r="AT192" s="929">
        <v>360</v>
      </c>
      <c r="AU192" s="578">
        <f t="shared" si="143"/>
        <v>208.79999999999998</v>
      </c>
      <c r="AV192" s="930">
        <v>0</v>
      </c>
      <c r="AW192" s="390">
        <f t="shared" si="132"/>
        <v>0</v>
      </c>
      <c r="AX192" s="931">
        <v>0</v>
      </c>
      <c r="AY192" s="907">
        <f t="shared" ref="AY191:AY195" si="144">AF192*AX192</f>
        <v>0</v>
      </c>
      <c r="AZ192" s="930">
        <v>0</v>
      </c>
      <c r="BA192" s="907">
        <f t="shared" ref="BA191:BA195" si="145">AG192*AZ192</f>
        <v>0</v>
      </c>
      <c r="BB192" s="932">
        <v>0</v>
      </c>
      <c r="BC192" s="487">
        <f t="shared" ref="BC191:BC195" si="146">AH192*BB192</f>
        <v>0</v>
      </c>
      <c r="BD192" s="931">
        <v>0</v>
      </c>
      <c r="BE192" s="389">
        <f t="shared" si="136"/>
        <v>0</v>
      </c>
      <c r="BF192" s="930">
        <v>0</v>
      </c>
      <c r="BG192" s="389">
        <f t="shared" si="137"/>
        <v>0</v>
      </c>
      <c r="BH192" s="935">
        <v>0</v>
      </c>
      <c r="BI192" s="392">
        <f t="shared" si="138"/>
        <v>0</v>
      </c>
      <c r="BJ192" s="479" t="s">
        <v>685</v>
      </c>
      <c r="BK192" s="898"/>
      <c r="BL192" s="78" t="s">
        <v>717</v>
      </c>
      <c r="BM192" s="727" t="s">
        <v>701</v>
      </c>
    </row>
    <row r="193" spans="1:65" s="333" customFormat="1">
      <c r="A193" s="195" t="s">
        <v>383</v>
      </c>
      <c r="B193" s="9" t="s">
        <v>186</v>
      </c>
      <c r="C193" s="78" t="s">
        <v>30</v>
      </c>
      <c r="D193" s="1011"/>
      <c r="E193" s="999"/>
      <c r="F193" s="1001"/>
      <c r="G193" s="917">
        <v>2026</v>
      </c>
      <c r="H193" s="885" t="s">
        <v>598</v>
      </c>
      <c r="I193" s="918" t="s">
        <v>393</v>
      </c>
      <c r="J193" s="919">
        <v>14</v>
      </c>
      <c r="K193" s="899" t="s">
        <v>583</v>
      </c>
      <c r="L193" s="921" t="s">
        <v>150</v>
      </c>
      <c r="M193" s="922" t="s">
        <v>321</v>
      </c>
      <c r="N193" s="82">
        <v>3.45</v>
      </c>
      <c r="O193" s="82">
        <v>3.45</v>
      </c>
      <c r="P193" s="82">
        <v>3.45</v>
      </c>
      <c r="Q193" s="82">
        <v>3.45</v>
      </c>
      <c r="R193" s="82">
        <v>4.05</v>
      </c>
      <c r="S193" s="82">
        <v>4.05</v>
      </c>
      <c r="T193" s="82">
        <v>4.05</v>
      </c>
      <c r="U193" s="82">
        <v>4.05</v>
      </c>
      <c r="V193" s="82">
        <v>4.05</v>
      </c>
      <c r="W193" s="82">
        <v>4.05</v>
      </c>
      <c r="X193" s="82">
        <v>4.05</v>
      </c>
      <c r="Y193" s="82">
        <v>4.05</v>
      </c>
      <c r="Z193" s="195">
        <v>0.39</v>
      </c>
      <c r="AA193" s="379">
        <v>0.39</v>
      </c>
      <c r="AB193" s="379">
        <v>0.39</v>
      </c>
      <c r="AC193" s="378">
        <v>0</v>
      </c>
      <c r="AD193" s="379">
        <v>0.57999999999999996</v>
      </c>
      <c r="AE193" s="379">
        <v>0.57999999999999996</v>
      </c>
      <c r="AF193" s="379">
        <v>0.57999999999999996</v>
      </c>
      <c r="AG193" s="379">
        <v>0.57999999999999996</v>
      </c>
      <c r="AH193" s="379">
        <v>0.57999999999999996</v>
      </c>
      <c r="AI193" s="379">
        <v>0.57999999999999996</v>
      </c>
      <c r="AJ193" s="379">
        <v>0.57999999999999996</v>
      </c>
      <c r="AK193" s="959">
        <v>0.57999999999999996</v>
      </c>
      <c r="AL193" s="923">
        <v>0</v>
      </c>
      <c r="AM193" s="924">
        <f t="shared" si="139"/>
        <v>0</v>
      </c>
      <c r="AN193" s="925">
        <v>0</v>
      </c>
      <c r="AO193" s="528">
        <f t="shared" si="140"/>
        <v>0</v>
      </c>
      <c r="AP193" s="925">
        <v>0</v>
      </c>
      <c r="AQ193" s="926">
        <f t="shared" si="141"/>
        <v>0</v>
      </c>
      <c r="AR193" s="927">
        <v>0</v>
      </c>
      <c r="AS193" s="928">
        <f t="shared" si="142"/>
        <v>0</v>
      </c>
      <c r="AT193" s="929">
        <v>600</v>
      </c>
      <c r="AU193" s="578">
        <f t="shared" si="143"/>
        <v>348</v>
      </c>
      <c r="AV193" s="930">
        <v>0</v>
      </c>
      <c r="AW193" s="905">
        <f t="shared" ref="AW193:AW195" si="147">AE193*AV193</f>
        <v>0</v>
      </c>
      <c r="AX193" s="931">
        <v>0</v>
      </c>
      <c r="AY193" s="907">
        <f t="shared" si="144"/>
        <v>0</v>
      </c>
      <c r="AZ193" s="930">
        <v>0</v>
      </c>
      <c r="BA193" s="907">
        <f t="shared" si="145"/>
        <v>0</v>
      </c>
      <c r="BB193" s="932">
        <v>0</v>
      </c>
      <c r="BC193" s="487">
        <f t="shared" si="146"/>
        <v>0</v>
      </c>
      <c r="BD193" s="931">
        <v>0</v>
      </c>
      <c r="BE193" s="389">
        <f t="shared" si="136"/>
        <v>0</v>
      </c>
      <c r="BF193" s="930">
        <v>0</v>
      </c>
      <c r="BG193" s="389">
        <f t="shared" si="137"/>
        <v>0</v>
      </c>
      <c r="BH193" s="935">
        <v>0</v>
      </c>
      <c r="BI193" s="392">
        <f t="shared" si="138"/>
        <v>0</v>
      </c>
      <c r="BJ193" s="479" t="s">
        <v>686</v>
      </c>
      <c r="BK193" s="78"/>
      <c r="BL193" s="78" t="s">
        <v>92</v>
      </c>
      <c r="BM193" s="727" t="s">
        <v>702</v>
      </c>
    </row>
    <row r="194" spans="1:65" s="333" customFormat="1">
      <c r="A194" s="195" t="s">
        <v>383</v>
      </c>
      <c r="B194" s="9" t="s">
        <v>186</v>
      </c>
      <c r="C194" s="78" t="s">
        <v>30</v>
      </c>
      <c r="D194" s="1011"/>
      <c r="E194" s="999"/>
      <c r="F194" s="1001"/>
      <c r="G194" s="917">
        <v>2026</v>
      </c>
      <c r="H194" s="885" t="s">
        <v>598</v>
      </c>
      <c r="I194" s="918" t="s">
        <v>393</v>
      </c>
      <c r="J194" s="919">
        <v>14</v>
      </c>
      <c r="K194" s="920" t="s">
        <v>447</v>
      </c>
      <c r="L194" s="921" t="s">
        <v>160</v>
      </c>
      <c r="M194" s="922" t="s">
        <v>392</v>
      </c>
      <c r="N194" s="82">
        <v>3.45</v>
      </c>
      <c r="O194" s="82">
        <v>3.45</v>
      </c>
      <c r="P194" s="82">
        <v>3.45</v>
      </c>
      <c r="Q194" s="82">
        <v>3.45</v>
      </c>
      <c r="R194" s="82">
        <v>4.05</v>
      </c>
      <c r="S194" s="82">
        <v>4.05</v>
      </c>
      <c r="T194" s="82">
        <v>4.05</v>
      </c>
      <c r="U194" s="82">
        <v>4.05</v>
      </c>
      <c r="V194" s="82">
        <v>4.05</v>
      </c>
      <c r="W194" s="82">
        <v>4.05</v>
      </c>
      <c r="X194" s="82">
        <v>4.05</v>
      </c>
      <c r="Y194" s="82">
        <v>4.05</v>
      </c>
      <c r="Z194" s="195">
        <v>0.39</v>
      </c>
      <c r="AA194" s="379">
        <v>0.39</v>
      </c>
      <c r="AB194" s="379">
        <v>0.39</v>
      </c>
      <c r="AC194" s="378">
        <v>0</v>
      </c>
      <c r="AD194" s="379">
        <v>0.57999999999999996</v>
      </c>
      <c r="AE194" s="379">
        <v>0.57999999999999996</v>
      </c>
      <c r="AF194" s="379">
        <v>0.57999999999999996</v>
      </c>
      <c r="AG194" s="379">
        <v>0.57999999999999996</v>
      </c>
      <c r="AH194" s="379">
        <v>0.57999999999999996</v>
      </c>
      <c r="AI194" s="379">
        <v>0.57999999999999996</v>
      </c>
      <c r="AJ194" s="379">
        <v>0.57999999999999996</v>
      </c>
      <c r="AK194" s="959">
        <v>0.57999999999999996</v>
      </c>
      <c r="AL194" s="923">
        <v>0</v>
      </c>
      <c r="AM194" s="924">
        <f t="shared" si="139"/>
        <v>0</v>
      </c>
      <c r="AN194" s="925">
        <v>0</v>
      </c>
      <c r="AO194" s="528">
        <f t="shared" si="140"/>
        <v>0</v>
      </c>
      <c r="AP194" s="925">
        <v>0</v>
      </c>
      <c r="AQ194" s="926">
        <f t="shared" si="141"/>
        <v>0</v>
      </c>
      <c r="AR194" s="927">
        <v>1200</v>
      </c>
      <c r="AS194" s="928">
        <f t="shared" si="142"/>
        <v>0</v>
      </c>
      <c r="AT194" s="929">
        <v>2000</v>
      </c>
      <c r="AU194" s="578">
        <f t="shared" si="143"/>
        <v>1160</v>
      </c>
      <c r="AV194" s="930">
        <v>4212</v>
      </c>
      <c r="AW194" s="905">
        <f t="shared" si="147"/>
        <v>2442.96</v>
      </c>
      <c r="AX194" s="931">
        <v>1910</v>
      </c>
      <c r="AY194" s="907">
        <f t="shared" si="144"/>
        <v>1107.8</v>
      </c>
      <c r="AZ194" s="930">
        <v>2359</v>
      </c>
      <c r="BA194" s="907">
        <f t="shared" si="145"/>
        <v>1368.2199999999998</v>
      </c>
      <c r="BB194" s="932">
        <v>0</v>
      </c>
      <c r="BC194" s="487">
        <f t="shared" si="146"/>
        <v>0</v>
      </c>
      <c r="BD194" s="931">
        <v>0</v>
      </c>
      <c r="BE194" s="907">
        <f t="shared" ref="BE191:BE195" si="148">AI194*BD194</f>
        <v>0</v>
      </c>
      <c r="BF194" s="930">
        <v>0</v>
      </c>
      <c r="BG194" s="389">
        <f t="shared" si="137"/>
        <v>0</v>
      </c>
      <c r="BH194" s="935">
        <v>0</v>
      </c>
      <c r="BI194" s="392">
        <f t="shared" si="138"/>
        <v>0</v>
      </c>
      <c r="BJ194" s="729" t="s">
        <v>653</v>
      </c>
      <c r="BK194" s="78"/>
      <c r="BL194" s="78" t="s">
        <v>92</v>
      </c>
      <c r="BM194" s="727" t="s">
        <v>667</v>
      </c>
    </row>
    <row r="195" spans="1:65" s="333" customFormat="1">
      <c r="A195" s="195" t="s">
        <v>383</v>
      </c>
      <c r="B195" s="9" t="s">
        <v>186</v>
      </c>
      <c r="C195" s="78" t="s">
        <v>30</v>
      </c>
      <c r="D195" s="1011"/>
      <c r="E195" s="999"/>
      <c r="F195" s="1001"/>
      <c r="G195" s="917">
        <v>2026</v>
      </c>
      <c r="H195" s="885" t="s">
        <v>598</v>
      </c>
      <c r="I195" s="918" t="s">
        <v>151</v>
      </c>
      <c r="J195" s="919">
        <v>14</v>
      </c>
      <c r="K195" s="920" t="s">
        <v>662</v>
      </c>
      <c r="L195" s="921" t="s">
        <v>150</v>
      </c>
      <c r="M195" s="922" t="s">
        <v>391</v>
      </c>
      <c r="N195" s="82">
        <v>9.4</v>
      </c>
      <c r="O195" s="82">
        <v>9.4</v>
      </c>
      <c r="P195" s="82">
        <v>9.4</v>
      </c>
      <c r="Q195" s="82">
        <v>9.4</v>
      </c>
      <c r="R195" s="82">
        <v>9.6</v>
      </c>
      <c r="S195" s="82">
        <v>9.6</v>
      </c>
      <c r="T195" s="82">
        <v>9.6</v>
      </c>
      <c r="U195" s="82">
        <v>9.6</v>
      </c>
      <c r="V195" s="82">
        <v>9.6</v>
      </c>
      <c r="W195" s="82">
        <v>9.6</v>
      </c>
      <c r="X195" s="82">
        <v>9.6</v>
      </c>
      <c r="Y195" s="82">
        <v>9.6</v>
      </c>
      <c r="Z195" s="195">
        <v>1.65</v>
      </c>
      <c r="AA195" s="379">
        <v>1.65</v>
      </c>
      <c r="AB195" s="379">
        <v>1.65</v>
      </c>
      <c r="AC195" s="378">
        <v>0</v>
      </c>
      <c r="AD195" s="379">
        <v>1.44</v>
      </c>
      <c r="AE195" s="379">
        <v>1.44</v>
      </c>
      <c r="AF195" s="379">
        <v>1.44</v>
      </c>
      <c r="AG195" s="379">
        <v>1.44</v>
      </c>
      <c r="AH195" s="379">
        <v>1.44</v>
      </c>
      <c r="AI195" s="379">
        <v>1.44</v>
      </c>
      <c r="AJ195" s="379">
        <v>1.44</v>
      </c>
      <c r="AK195" s="379">
        <v>1.44</v>
      </c>
      <c r="AL195" s="923">
        <v>0</v>
      </c>
      <c r="AM195" s="924">
        <f t="shared" si="139"/>
        <v>0</v>
      </c>
      <c r="AN195" s="925">
        <v>0</v>
      </c>
      <c r="AO195" s="528">
        <f t="shared" si="140"/>
        <v>0</v>
      </c>
      <c r="AP195" s="925">
        <v>0</v>
      </c>
      <c r="AQ195" s="926">
        <f t="shared" si="141"/>
        <v>0</v>
      </c>
      <c r="AR195" s="927">
        <v>0</v>
      </c>
      <c r="AS195" s="928">
        <f t="shared" si="142"/>
        <v>0</v>
      </c>
      <c r="AT195" s="929">
        <v>1400</v>
      </c>
      <c r="AU195" s="578">
        <f t="shared" si="143"/>
        <v>2016</v>
      </c>
      <c r="AV195" s="930">
        <v>0</v>
      </c>
      <c r="AW195" s="905">
        <f t="shared" si="147"/>
        <v>0</v>
      </c>
      <c r="AX195" s="931">
        <v>0</v>
      </c>
      <c r="AY195" s="907">
        <f t="shared" si="144"/>
        <v>0</v>
      </c>
      <c r="AZ195" s="930">
        <v>0</v>
      </c>
      <c r="BA195" s="907">
        <f t="shared" si="145"/>
        <v>0</v>
      </c>
      <c r="BB195" s="932">
        <v>0</v>
      </c>
      <c r="BC195" s="487">
        <f t="shared" si="146"/>
        <v>0</v>
      </c>
      <c r="BD195" s="931">
        <v>0</v>
      </c>
      <c r="BE195" s="907">
        <f t="shared" si="148"/>
        <v>0</v>
      </c>
      <c r="BF195" s="930">
        <v>0</v>
      </c>
      <c r="BG195" s="907">
        <f t="shared" ref="BG191:BG195" si="149">AJ195*BF195</f>
        <v>0</v>
      </c>
      <c r="BH195" s="933">
        <v>0</v>
      </c>
      <c r="BI195" s="934">
        <f t="shared" ref="BI191:BI195" si="150">AK195*BH195</f>
        <v>0</v>
      </c>
      <c r="BJ195" s="729" t="s">
        <v>690</v>
      </c>
      <c r="BK195" s="78"/>
      <c r="BL195" s="78" t="s">
        <v>92</v>
      </c>
      <c r="BM195" s="727" t="s">
        <v>704</v>
      </c>
    </row>
    <row r="196" spans="1:65" s="333" customFormat="1" ht="16.399999999999999" customHeight="1">
      <c r="A196" s="195" t="s">
        <v>383</v>
      </c>
      <c r="B196" s="9" t="s">
        <v>186</v>
      </c>
      <c r="C196" s="78" t="s">
        <v>30</v>
      </c>
      <c r="D196" s="1011"/>
      <c r="E196" s="999"/>
      <c r="F196" s="1001"/>
      <c r="G196" s="238">
        <v>2026</v>
      </c>
      <c r="H196" s="842" t="s">
        <v>463</v>
      </c>
      <c r="I196" s="260" t="s">
        <v>388</v>
      </c>
      <c r="J196" s="108" t="s">
        <v>464</v>
      </c>
      <c r="K196" s="1" t="s">
        <v>446</v>
      </c>
      <c r="L196" s="107" t="s">
        <v>150</v>
      </c>
      <c r="M196" s="316" t="s">
        <v>394</v>
      </c>
      <c r="N196" s="6">
        <v>8.0299999999999994</v>
      </c>
      <c r="O196" s="6">
        <v>8.0299999999999994</v>
      </c>
      <c r="P196" s="6">
        <v>8.0299999999999994</v>
      </c>
      <c r="Q196" s="6">
        <v>8.0299999999999994</v>
      </c>
      <c r="R196" s="6">
        <v>8.6</v>
      </c>
      <c r="S196" s="6">
        <v>8.6</v>
      </c>
      <c r="T196" s="6">
        <v>8.6</v>
      </c>
      <c r="U196" s="6">
        <v>8.6</v>
      </c>
      <c r="V196" s="6">
        <v>8.6</v>
      </c>
      <c r="W196" s="6">
        <v>8.6</v>
      </c>
      <c r="X196" s="6">
        <v>8.6</v>
      </c>
      <c r="Y196" s="6">
        <v>8.6</v>
      </c>
      <c r="Z196" s="195">
        <v>0.73999999999999932</v>
      </c>
      <c r="AA196" s="340">
        <v>0.73999999999999932</v>
      </c>
      <c r="AB196" s="341">
        <v>0.73999999999999932</v>
      </c>
      <c r="AC196" s="340">
        <v>0</v>
      </c>
      <c r="AD196" s="341">
        <v>0.81</v>
      </c>
      <c r="AE196" s="340">
        <v>0.81</v>
      </c>
      <c r="AF196" s="341">
        <v>0.81</v>
      </c>
      <c r="AG196" s="340">
        <v>0.81</v>
      </c>
      <c r="AH196" s="341">
        <v>0.81</v>
      </c>
      <c r="AI196" s="340">
        <v>0.81</v>
      </c>
      <c r="AJ196" s="341">
        <v>0.81</v>
      </c>
      <c r="AK196" s="480">
        <v>0.81</v>
      </c>
      <c r="AL196" s="515">
        <v>0</v>
      </c>
      <c r="AM196" s="496">
        <f t="shared" ref="AM196:AM211" si="151">Z196*AL196</f>
        <v>0</v>
      </c>
      <c r="AN196" s="563">
        <v>0</v>
      </c>
      <c r="AO196" s="494">
        <f t="shared" ref="AO196:AO211" si="152">AA196*AN196</f>
        <v>0</v>
      </c>
      <c r="AP196" s="563">
        <v>560</v>
      </c>
      <c r="AQ196" s="621">
        <f t="shared" ref="AQ196:AQ211" si="153">AB196*AP196</f>
        <v>414.39999999999964</v>
      </c>
      <c r="AR196" s="511">
        <v>560</v>
      </c>
      <c r="AS196" s="777">
        <f t="shared" ref="AS196:AS211" si="154">AC196*AR196</f>
        <v>0</v>
      </c>
      <c r="AT196" s="563">
        <v>2080</v>
      </c>
      <c r="AU196" s="494">
        <f t="shared" ref="AU196:AU211" si="155">AD196*AT196</f>
        <v>1684.8000000000002</v>
      </c>
      <c r="AV196" s="118">
        <v>0</v>
      </c>
      <c r="AW196" s="355">
        <f t="shared" ref="AW196:AW211" si="156">AE196*AV196</f>
        <v>0</v>
      </c>
      <c r="AX196" s="116">
        <v>6108</v>
      </c>
      <c r="AY196" s="127">
        <f t="shared" ref="AY196:AY211" si="157">AF196*AX196</f>
        <v>4947.4800000000005</v>
      </c>
      <c r="AZ196" s="118">
        <v>8307</v>
      </c>
      <c r="BA196" s="127">
        <f t="shared" ref="BA196:BA211" si="158">AG196*AZ196</f>
        <v>6728.67</v>
      </c>
      <c r="BB196" s="363">
        <v>5490.1852163559397</v>
      </c>
      <c r="BC196" s="391">
        <f t="shared" ref="BC196:BC211" si="159">AH196*BB196</f>
        <v>4447.0500252483116</v>
      </c>
      <c r="BD196" s="116">
        <v>6189.0708170495</v>
      </c>
      <c r="BE196" s="127">
        <f t="shared" ref="BE196:BE211" si="160">AI196*BD196</f>
        <v>5013.1473618100954</v>
      </c>
      <c r="BF196" s="118">
        <v>8770.6910733981294</v>
      </c>
      <c r="BG196" s="127">
        <f t="shared" ref="BG196:BG211" si="161">AJ196*BF196</f>
        <v>7104.2597694524857</v>
      </c>
      <c r="BH196" s="363">
        <v>7269.0502957986801</v>
      </c>
      <c r="BI196" s="329">
        <f t="shared" ref="BI196:BI211" si="162">AK196*BH196</f>
        <v>5887.9307395969308</v>
      </c>
      <c r="BJ196" s="177" t="s">
        <v>438</v>
      </c>
      <c r="BK196" s="78"/>
      <c r="BL196" s="78" t="s">
        <v>92</v>
      </c>
      <c r="BM196" s="9" t="s">
        <v>467</v>
      </c>
    </row>
    <row r="197" spans="1:65" s="333" customFormat="1" ht="16" customHeight="1">
      <c r="A197" s="195" t="s">
        <v>383</v>
      </c>
      <c r="B197" s="9" t="s">
        <v>186</v>
      </c>
      <c r="C197" s="78" t="s">
        <v>30</v>
      </c>
      <c r="D197" s="1011"/>
      <c r="E197" s="999"/>
      <c r="F197" s="1001"/>
      <c r="G197" s="238">
        <v>2026</v>
      </c>
      <c r="H197" s="842" t="s">
        <v>463</v>
      </c>
      <c r="I197" s="260" t="s">
        <v>388</v>
      </c>
      <c r="J197" s="108" t="s">
        <v>464</v>
      </c>
      <c r="K197" s="1" t="s">
        <v>452</v>
      </c>
      <c r="L197" s="107" t="s">
        <v>150</v>
      </c>
      <c r="M197" s="316" t="s">
        <v>394</v>
      </c>
      <c r="N197" s="6">
        <v>8.0299999999999994</v>
      </c>
      <c r="O197" s="6">
        <v>8.0299999999999994</v>
      </c>
      <c r="P197" s="6">
        <v>8.0299999999999994</v>
      </c>
      <c r="Q197" s="6">
        <v>8.0299999999999994</v>
      </c>
      <c r="R197" s="6">
        <v>8.6</v>
      </c>
      <c r="S197" s="6">
        <v>8.6</v>
      </c>
      <c r="T197" s="6">
        <v>8.6</v>
      </c>
      <c r="U197" s="6">
        <v>8.6</v>
      </c>
      <c r="V197" s="6">
        <v>8.6</v>
      </c>
      <c r="W197" s="6">
        <v>8.6</v>
      </c>
      <c r="X197" s="6">
        <v>8.6</v>
      </c>
      <c r="Y197" s="6">
        <v>8.6</v>
      </c>
      <c r="Z197" s="195">
        <v>0.73999999999999932</v>
      </c>
      <c r="AA197" s="340">
        <v>0.73999999999999932</v>
      </c>
      <c r="AB197" s="341">
        <v>0.73999999999999932</v>
      </c>
      <c r="AC197" s="340">
        <v>0</v>
      </c>
      <c r="AD197" s="341">
        <v>0.81</v>
      </c>
      <c r="AE197" s="340">
        <v>0.81</v>
      </c>
      <c r="AF197" s="341">
        <v>0.81</v>
      </c>
      <c r="AG197" s="340">
        <v>0.81</v>
      </c>
      <c r="AH197" s="341">
        <v>0.81</v>
      </c>
      <c r="AI197" s="340">
        <v>0.81</v>
      </c>
      <c r="AJ197" s="341">
        <v>0.81</v>
      </c>
      <c r="AK197" s="480">
        <v>0.81</v>
      </c>
      <c r="AL197" s="515">
        <v>0</v>
      </c>
      <c r="AM197" s="519">
        <f t="shared" si="151"/>
        <v>0</v>
      </c>
      <c r="AN197" s="563">
        <v>0</v>
      </c>
      <c r="AO197" s="496">
        <f t="shared" si="152"/>
        <v>0</v>
      </c>
      <c r="AP197" s="563">
        <v>0</v>
      </c>
      <c r="AQ197" s="622">
        <f t="shared" si="153"/>
        <v>0</v>
      </c>
      <c r="AR197" s="511">
        <v>0</v>
      </c>
      <c r="AS197" s="775">
        <f t="shared" si="154"/>
        <v>0</v>
      </c>
      <c r="AT197" s="992">
        <f>467+36.54</f>
        <v>503.54</v>
      </c>
      <c r="AU197" s="496">
        <f t="shared" si="155"/>
        <v>407.86740000000003</v>
      </c>
      <c r="AV197" s="118">
        <v>0</v>
      </c>
      <c r="AW197" s="390">
        <f t="shared" si="156"/>
        <v>0</v>
      </c>
      <c r="AX197" s="116">
        <v>1159</v>
      </c>
      <c r="AY197" s="389">
        <f t="shared" si="157"/>
        <v>938.79000000000008</v>
      </c>
      <c r="AZ197" s="118">
        <v>3160</v>
      </c>
      <c r="BA197" s="389">
        <f t="shared" si="158"/>
        <v>2559.6000000000004</v>
      </c>
      <c r="BB197" s="363">
        <v>1582.3349261149799</v>
      </c>
      <c r="BC197" s="356">
        <f t="shared" si="159"/>
        <v>1281.6912901531339</v>
      </c>
      <c r="BD197" s="116">
        <v>1434.72442512783</v>
      </c>
      <c r="BE197" s="389">
        <f t="shared" si="160"/>
        <v>1162.1267843535425</v>
      </c>
      <c r="BF197" s="118">
        <v>2128.9469584457001</v>
      </c>
      <c r="BG197" s="389">
        <f t="shared" si="161"/>
        <v>1724.4470363410173</v>
      </c>
      <c r="BH197" s="363">
        <v>1064.47288374254</v>
      </c>
      <c r="BI197" s="392">
        <f t="shared" si="162"/>
        <v>862.22303583145754</v>
      </c>
      <c r="BJ197" s="177" t="s">
        <v>439</v>
      </c>
      <c r="BK197" s="78"/>
      <c r="BL197" s="78" t="s">
        <v>92</v>
      </c>
      <c r="BM197" s="9" t="s">
        <v>468</v>
      </c>
    </row>
    <row r="198" spans="1:65" s="333" customFormat="1" ht="16.399999999999999" customHeight="1">
      <c r="A198" s="195" t="s">
        <v>383</v>
      </c>
      <c r="B198" s="9" t="s">
        <v>186</v>
      </c>
      <c r="C198" s="78" t="s">
        <v>30</v>
      </c>
      <c r="D198" s="1011"/>
      <c r="E198" s="999"/>
      <c r="F198" s="1001"/>
      <c r="G198" s="238">
        <v>2026</v>
      </c>
      <c r="H198" s="842" t="s">
        <v>463</v>
      </c>
      <c r="I198" s="260" t="s">
        <v>388</v>
      </c>
      <c r="J198" s="108" t="s">
        <v>464</v>
      </c>
      <c r="K198" s="1" t="s">
        <v>465</v>
      </c>
      <c r="L198" s="107" t="s">
        <v>150</v>
      </c>
      <c r="M198" s="316" t="s">
        <v>394</v>
      </c>
      <c r="N198" s="6">
        <v>8.0299999999999994</v>
      </c>
      <c r="O198" s="6">
        <v>8.0299999999999994</v>
      </c>
      <c r="P198" s="6">
        <v>8.0299999999999994</v>
      </c>
      <c r="Q198" s="6">
        <v>8.0299999999999994</v>
      </c>
      <c r="R198" s="6">
        <v>8.6</v>
      </c>
      <c r="S198" s="6">
        <v>8.6</v>
      </c>
      <c r="T198" s="6">
        <v>8.6</v>
      </c>
      <c r="U198" s="6">
        <v>8.6</v>
      </c>
      <c r="V198" s="6">
        <v>8.6</v>
      </c>
      <c r="W198" s="6">
        <v>8.6</v>
      </c>
      <c r="X198" s="6">
        <v>8.6</v>
      </c>
      <c r="Y198" s="6">
        <v>8.6</v>
      </c>
      <c r="Z198" s="195">
        <v>0.73999999999999932</v>
      </c>
      <c r="AA198" s="340">
        <v>0.73999999999999932</v>
      </c>
      <c r="AB198" s="341">
        <v>0.73999999999999932</v>
      </c>
      <c r="AC198" s="340">
        <v>0</v>
      </c>
      <c r="AD198" s="341">
        <v>0.81</v>
      </c>
      <c r="AE198" s="340">
        <v>0.81</v>
      </c>
      <c r="AF198" s="341">
        <v>0.81</v>
      </c>
      <c r="AG198" s="340">
        <v>0.81</v>
      </c>
      <c r="AH198" s="341">
        <v>0.81</v>
      </c>
      <c r="AI198" s="340">
        <v>0.81</v>
      </c>
      <c r="AJ198" s="341">
        <v>0.81</v>
      </c>
      <c r="AK198" s="480">
        <v>0.81</v>
      </c>
      <c r="AL198" s="515">
        <v>0</v>
      </c>
      <c r="AM198" s="496">
        <f t="shared" si="151"/>
        <v>0</v>
      </c>
      <c r="AN198" s="563">
        <v>0</v>
      </c>
      <c r="AO198" s="494">
        <f t="shared" si="152"/>
        <v>0</v>
      </c>
      <c r="AP198" s="563">
        <v>0</v>
      </c>
      <c r="AQ198" s="621">
        <f t="shared" si="153"/>
        <v>0</v>
      </c>
      <c r="AR198" s="511">
        <v>0</v>
      </c>
      <c r="AS198" s="777">
        <f t="shared" si="154"/>
        <v>0</v>
      </c>
      <c r="AT198" s="992">
        <f>1927+73.09</f>
        <v>2000.09</v>
      </c>
      <c r="AU198" s="494">
        <f t="shared" si="155"/>
        <v>1620.0729000000001</v>
      </c>
      <c r="AV198" s="118">
        <v>0</v>
      </c>
      <c r="AW198" s="355">
        <f t="shared" si="156"/>
        <v>0</v>
      </c>
      <c r="AX198" s="116">
        <v>18</v>
      </c>
      <c r="AY198" s="127">
        <f t="shared" si="157"/>
        <v>14.580000000000002</v>
      </c>
      <c r="AZ198" s="118">
        <v>0</v>
      </c>
      <c r="BA198" s="127">
        <f t="shared" si="158"/>
        <v>0</v>
      </c>
      <c r="BB198" s="363">
        <v>7904.209273292</v>
      </c>
      <c r="BC198" s="356">
        <f t="shared" si="159"/>
        <v>6402.4095113665207</v>
      </c>
      <c r="BD198" s="116">
        <v>10409.088598464199</v>
      </c>
      <c r="BE198" s="127">
        <f t="shared" si="160"/>
        <v>8431.3617647560022</v>
      </c>
      <c r="BF198" s="118">
        <v>13033.580350209801</v>
      </c>
      <c r="BG198" s="127">
        <f t="shared" si="161"/>
        <v>10557.200083669939</v>
      </c>
      <c r="BH198" s="363">
        <v>10423.9291752111</v>
      </c>
      <c r="BI198" s="329">
        <f t="shared" si="162"/>
        <v>8443.3826319209911</v>
      </c>
      <c r="BJ198" s="177" t="s">
        <v>440</v>
      </c>
      <c r="BK198" s="78"/>
      <c r="BL198" s="78" t="s">
        <v>92</v>
      </c>
      <c r="BM198" s="9" t="s">
        <v>469</v>
      </c>
    </row>
    <row r="199" spans="1:65" s="333" customFormat="1" ht="16.399999999999999" customHeight="1">
      <c r="A199" s="195" t="s">
        <v>383</v>
      </c>
      <c r="B199" s="9" t="s">
        <v>186</v>
      </c>
      <c r="C199" s="78" t="s">
        <v>30</v>
      </c>
      <c r="D199" s="1011"/>
      <c r="E199" s="999"/>
      <c r="F199" s="1001"/>
      <c r="G199" s="665">
        <v>2026</v>
      </c>
      <c r="H199" s="872" t="s">
        <v>463</v>
      </c>
      <c r="I199" s="615" t="s">
        <v>388</v>
      </c>
      <c r="J199" s="616" t="s">
        <v>464</v>
      </c>
      <c r="K199" s="333" t="s">
        <v>446</v>
      </c>
      <c r="L199" s="617" t="s">
        <v>160</v>
      </c>
      <c r="M199" s="608" t="s">
        <v>325</v>
      </c>
      <c r="N199" s="6">
        <v>8.0299999999999994</v>
      </c>
      <c r="O199" s="6">
        <v>8.0299999999999994</v>
      </c>
      <c r="P199" s="6">
        <v>8.0299999999999994</v>
      </c>
      <c r="Q199" s="6">
        <v>8.0299999999999994</v>
      </c>
      <c r="R199" s="6">
        <v>8.6</v>
      </c>
      <c r="S199" s="6">
        <v>8.6</v>
      </c>
      <c r="T199" s="6">
        <v>8.6</v>
      </c>
      <c r="U199" s="6">
        <v>8.6</v>
      </c>
      <c r="V199" s="6">
        <v>8.6</v>
      </c>
      <c r="W199" s="6">
        <v>8.6</v>
      </c>
      <c r="X199" s="6">
        <v>8.6</v>
      </c>
      <c r="Y199" s="6">
        <v>8.6</v>
      </c>
      <c r="Z199" s="195">
        <v>0.73999999999999932</v>
      </c>
      <c r="AA199" s="340">
        <v>0.73999999999999932</v>
      </c>
      <c r="AB199" s="341">
        <v>0.73999999999999932</v>
      </c>
      <c r="AC199" s="340">
        <v>0</v>
      </c>
      <c r="AD199" s="341">
        <v>0.81</v>
      </c>
      <c r="AE199" s="340">
        <v>0.81</v>
      </c>
      <c r="AF199" s="341">
        <v>0.81</v>
      </c>
      <c r="AG199" s="340">
        <v>0.81</v>
      </c>
      <c r="AH199" s="341">
        <v>0.81</v>
      </c>
      <c r="AI199" s="340">
        <v>0.81</v>
      </c>
      <c r="AJ199" s="341">
        <v>0.81</v>
      </c>
      <c r="AK199" s="480">
        <v>0.81</v>
      </c>
      <c r="AL199" s="515">
        <v>0</v>
      </c>
      <c r="AM199" s="496">
        <f t="shared" si="151"/>
        <v>0</v>
      </c>
      <c r="AN199" s="563">
        <v>0</v>
      </c>
      <c r="AO199" s="494">
        <f t="shared" si="152"/>
        <v>0</v>
      </c>
      <c r="AP199" s="563">
        <v>0</v>
      </c>
      <c r="AQ199" s="621">
        <f t="shared" si="153"/>
        <v>0</v>
      </c>
      <c r="AR199" s="511">
        <v>120</v>
      </c>
      <c r="AS199" s="777">
        <f t="shared" si="154"/>
        <v>0</v>
      </c>
      <c r="AT199" s="563">
        <v>440</v>
      </c>
      <c r="AU199" s="494">
        <f t="shared" si="155"/>
        <v>356.40000000000003</v>
      </c>
      <c r="AV199" s="118">
        <v>0</v>
      </c>
      <c r="AW199" s="355">
        <f t="shared" si="156"/>
        <v>0</v>
      </c>
      <c r="AX199" s="116">
        <v>2445</v>
      </c>
      <c r="AY199" s="127">
        <f t="shared" si="157"/>
        <v>1980.45</v>
      </c>
      <c r="AZ199" s="118">
        <v>1734</v>
      </c>
      <c r="BA199" s="127">
        <f t="shared" si="158"/>
        <v>1404.5400000000002</v>
      </c>
      <c r="BB199" s="363">
        <v>0</v>
      </c>
      <c r="BC199" s="391">
        <f t="shared" si="159"/>
        <v>0</v>
      </c>
      <c r="BD199" s="116">
        <v>0</v>
      </c>
      <c r="BE199" s="127">
        <f t="shared" si="160"/>
        <v>0</v>
      </c>
      <c r="BF199" s="118">
        <v>0</v>
      </c>
      <c r="BG199" s="127">
        <f t="shared" si="161"/>
        <v>0</v>
      </c>
      <c r="BH199" s="363">
        <v>0</v>
      </c>
      <c r="BI199" s="329">
        <f t="shared" si="162"/>
        <v>0</v>
      </c>
      <c r="BJ199" s="479" t="s">
        <v>585</v>
      </c>
      <c r="BK199" s="78"/>
      <c r="BL199" s="78" t="s">
        <v>92</v>
      </c>
      <c r="BM199" s="9" t="s">
        <v>467</v>
      </c>
    </row>
    <row r="200" spans="1:65" s="333" customFormat="1" ht="16" customHeight="1">
      <c r="A200" s="195" t="s">
        <v>383</v>
      </c>
      <c r="B200" s="9" t="s">
        <v>186</v>
      </c>
      <c r="C200" s="78" t="s">
        <v>30</v>
      </c>
      <c r="D200" s="1011"/>
      <c r="E200" s="999"/>
      <c r="F200" s="1001"/>
      <c r="G200" s="665">
        <v>2026</v>
      </c>
      <c r="H200" s="872" t="s">
        <v>463</v>
      </c>
      <c r="I200" s="615" t="s">
        <v>388</v>
      </c>
      <c r="J200" s="616" t="s">
        <v>464</v>
      </c>
      <c r="K200" s="333" t="s">
        <v>452</v>
      </c>
      <c r="L200" s="617" t="s">
        <v>160</v>
      </c>
      <c r="M200" s="608" t="s">
        <v>325</v>
      </c>
      <c r="N200" s="6">
        <v>8.0299999999999994</v>
      </c>
      <c r="O200" s="6">
        <v>8.0299999999999994</v>
      </c>
      <c r="P200" s="6">
        <v>8.0299999999999994</v>
      </c>
      <c r="Q200" s="6">
        <v>8.0299999999999994</v>
      </c>
      <c r="R200" s="6">
        <v>8.6</v>
      </c>
      <c r="S200" s="6">
        <v>8.6</v>
      </c>
      <c r="T200" s="6">
        <v>8.6</v>
      </c>
      <c r="U200" s="6">
        <v>8.6</v>
      </c>
      <c r="V200" s="6">
        <v>8.6</v>
      </c>
      <c r="W200" s="6">
        <v>8.6</v>
      </c>
      <c r="X200" s="6">
        <v>8.6</v>
      </c>
      <c r="Y200" s="6">
        <v>8.6</v>
      </c>
      <c r="Z200" s="195">
        <v>0.73999999999999932</v>
      </c>
      <c r="AA200" s="340">
        <v>0.73999999999999932</v>
      </c>
      <c r="AB200" s="341">
        <v>0.73999999999999932</v>
      </c>
      <c r="AC200" s="340">
        <v>0</v>
      </c>
      <c r="AD200" s="341">
        <v>0.81</v>
      </c>
      <c r="AE200" s="340">
        <v>0.81</v>
      </c>
      <c r="AF200" s="341">
        <v>0.81</v>
      </c>
      <c r="AG200" s="340">
        <v>0.81</v>
      </c>
      <c r="AH200" s="341">
        <v>0.81</v>
      </c>
      <c r="AI200" s="340">
        <v>0.81</v>
      </c>
      <c r="AJ200" s="341">
        <v>0.81</v>
      </c>
      <c r="AK200" s="480">
        <v>0.81</v>
      </c>
      <c r="AL200" s="515">
        <v>0</v>
      </c>
      <c r="AM200" s="519">
        <f t="shared" si="151"/>
        <v>0</v>
      </c>
      <c r="AN200" s="563">
        <v>0</v>
      </c>
      <c r="AO200" s="496">
        <f t="shared" si="152"/>
        <v>0</v>
      </c>
      <c r="AP200" s="563">
        <v>0</v>
      </c>
      <c r="AQ200" s="622">
        <f t="shared" si="153"/>
        <v>0</v>
      </c>
      <c r="AR200" s="511">
        <v>40</v>
      </c>
      <c r="AS200" s="775">
        <f t="shared" si="154"/>
        <v>0</v>
      </c>
      <c r="AT200" s="563">
        <v>1680</v>
      </c>
      <c r="AU200" s="496">
        <f t="shared" si="155"/>
        <v>1360.8000000000002</v>
      </c>
      <c r="AV200" s="118">
        <v>0</v>
      </c>
      <c r="AW200" s="390">
        <f t="shared" si="156"/>
        <v>0</v>
      </c>
      <c r="AX200" s="116">
        <v>3484</v>
      </c>
      <c r="AY200" s="389">
        <f t="shared" si="157"/>
        <v>2822.04</v>
      </c>
      <c r="AZ200" s="118">
        <v>2596</v>
      </c>
      <c r="BA200" s="389">
        <f t="shared" si="158"/>
        <v>2102.7600000000002</v>
      </c>
      <c r="BB200" s="363">
        <v>0</v>
      </c>
      <c r="BC200" s="356">
        <f t="shared" si="159"/>
        <v>0</v>
      </c>
      <c r="BD200" s="116">
        <v>0</v>
      </c>
      <c r="BE200" s="389">
        <f t="shared" si="160"/>
        <v>0</v>
      </c>
      <c r="BF200" s="118">
        <v>0</v>
      </c>
      <c r="BG200" s="389">
        <f t="shared" si="161"/>
        <v>0</v>
      </c>
      <c r="BH200" s="363">
        <v>0</v>
      </c>
      <c r="BI200" s="392">
        <f t="shared" si="162"/>
        <v>0</v>
      </c>
      <c r="BJ200" s="479" t="s">
        <v>586</v>
      </c>
      <c r="BK200" s="78"/>
      <c r="BL200" s="78" t="s">
        <v>92</v>
      </c>
      <c r="BM200" s="9" t="s">
        <v>468</v>
      </c>
    </row>
    <row r="201" spans="1:65" s="333" customFormat="1" ht="16.399999999999999" customHeight="1">
      <c r="A201" s="195" t="s">
        <v>383</v>
      </c>
      <c r="B201" s="9" t="s">
        <v>186</v>
      </c>
      <c r="C201" s="78" t="s">
        <v>30</v>
      </c>
      <c r="D201" s="1011"/>
      <c r="E201" s="999"/>
      <c r="F201" s="1001"/>
      <c r="G201" s="665">
        <v>2026</v>
      </c>
      <c r="H201" s="873" t="s">
        <v>463</v>
      </c>
      <c r="I201" s="615" t="s">
        <v>388</v>
      </c>
      <c r="J201" s="616" t="s">
        <v>464</v>
      </c>
      <c r="K201" s="333" t="s">
        <v>465</v>
      </c>
      <c r="L201" s="617" t="s">
        <v>719</v>
      </c>
      <c r="M201" s="608" t="s">
        <v>325</v>
      </c>
      <c r="N201" s="6">
        <v>8.0299999999999994</v>
      </c>
      <c r="O201" s="6">
        <v>8.0299999999999994</v>
      </c>
      <c r="P201" s="6">
        <v>8.0299999999999994</v>
      </c>
      <c r="Q201" s="6">
        <v>8.0299999999999994</v>
      </c>
      <c r="R201" s="6">
        <v>8.6</v>
      </c>
      <c r="S201" s="6">
        <v>8.6</v>
      </c>
      <c r="T201" s="6">
        <v>8.6</v>
      </c>
      <c r="U201" s="6">
        <v>8.6</v>
      </c>
      <c r="V201" s="6">
        <v>8.6</v>
      </c>
      <c r="W201" s="6">
        <v>8.6</v>
      </c>
      <c r="X201" s="6">
        <v>8.6</v>
      </c>
      <c r="Y201" s="6">
        <v>8.6</v>
      </c>
      <c r="Z201" s="195">
        <v>0.73999999999999932</v>
      </c>
      <c r="AA201" s="340">
        <v>0.73999999999999932</v>
      </c>
      <c r="AB201" s="341">
        <v>0.73999999999999932</v>
      </c>
      <c r="AC201" s="340">
        <v>0</v>
      </c>
      <c r="AD201" s="341">
        <v>0.81</v>
      </c>
      <c r="AE201" s="340">
        <v>0.81</v>
      </c>
      <c r="AF201" s="341">
        <v>0.81</v>
      </c>
      <c r="AG201" s="340">
        <v>0.81</v>
      </c>
      <c r="AH201" s="341">
        <v>0.81</v>
      </c>
      <c r="AI201" s="340">
        <v>0.81</v>
      </c>
      <c r="AJ201" s="341">
        <v>0.81</v>
      </c>
      <c r="AK201" s="480">
        <v>0.81</v>
      </c>
      <c r="AL201" s="515">
        <v>0</v>
      </c>
      <c r="AM201" s="512">
        <f t="shared" si="151"/>
        <v>0</v>
      </c>
      <c r="AN201" s="563">
        <v>0</v>
      </c>
      <c r="AO201" s="519">
        <f t="shared" si="152"/>
        <v>0</v>
      </c>
      <c r="AP201" s="563">
        <v>0</v>
      </c>
      <c r="AQ201" s="649">
        <f t="shared" si="153"/>
        <v>0</v>
      </c>
      <c r="AR201" s="511">
        <v>2268</v>
      </c>
      <c r="AS201" s="782">
        <f t="shared" si="154"/>
        <v>0</v>
      </c>
      <c r="AT201" s="563">
        <v>4317</v>
      </c>
      <c r="AU201" s="519">
        <f t="shared" si="155"/>
        <v>3496.7700000000004</v>
      </c>
      <c r="AV201" s="118">
        <v>18753</v>
      </c>
      <c r="AW201" s="362">
        <f t="shared" si="156"/>
        <v>15189.93</v>
      </c>
      <c r="AX201" s="116">
        <v>14857</v>
      </c>
      <c r="AY201" s="117">
        <f t="shared" si="157"/>
        <v>12034.17</v>
      </c>
      <c r="AZ201" s="118">
        <v>6022</v>
      </c>
      <c r="BA201" s="117">
        <f t="shared" si="158"/>
        <v>4877.8200000000006</v>
      </c>
      <c r="BB201" s="363">
        <v>0</v>
      </c>
      <c r="BC201" s="364">
        <f t="shared" si="159"/>
        <v>0</v>
      </c>
      <c r="BD201" s="116">
        <v>0</v>
      </c>
      <c r="BE201" s="117">
        <f t="shared" si="160"/>
        <v>0</v>
      </c>
      <c r="BF201" s="118">
        <v>0</v>
      </c>
      <c r="BG201" s="117">
        <f t="shared" si="161"/>
        <v>0</v>
      </c>
      <c r="BH201" s="363">
        <v>0</v>
      </c>
      <c r="BI201" s="459">
        <f t="shared" si="162"/>
        <v>0</v>
      </c>
      <c r="BJ201" s="479" t="s">
        <v>587</v>
      </c>
      <c r="BK201" s="78"/>
      <c r="BL201" s="78" t="s">
        <v>92</v>
      </c>
      <c r="BM201" s="9" t="s">
        <v>469</v>
      </c>
    </row>
    <row r="202" spans="1:65" s="333" customFormat="1" ht="16" customHeight="1">
      <c r="A202" s="195" t="s">
        <v>383</v>
      </c>
      <c r="B202" s="9" t="s">
        <v>186</v>
      </c>
      <c r="C202" s="78" t="s">
        <v>30</v>
      </c>
      <c r="D202" s="1011"/>
      <c r="E202" s="999"/>
      <c r="F202" s="1001"/>
      <c r="G202" s="238">
        <v>2026</v>
      </c>
      <c r="H202" s="849" t="s">
        <v>463</v>
      </c>
      <c r="I202" s="266" t="s">
        <v>393</v>
      </c>
      <c r="J202" s="147" t="s">
        <v>464</v>
      </c>
      <c r="K202" s="1" t="s">
        <v>446</v>
      </c>
      <c r="L202" s="157" t="s">
        <v>150</v>
      </c>
      <c r="M202" s="316" t="s">
        <v>394</v>
      </c>
      <c r="N202" s="6">
        <v>3.25</v>
      </c>
      <c r="O202" s="6">
        <v>3.25</v>
      </c>
      <c r="P202" s="6">
        <v>3.25</v>
      </c>
      <c r="Q202" s="6">
        <v>3.25</v>
      </c>
      <c r="R202" s="6">
        <v>3.9</v>
      </c>
      <c r="S202" s="6">
        <v>3.9</v>
      </c>
      <c r="T202" s="6">
        <v>3.9</v>
      </c>
      <c r="U202" s="6">
        <v>3.9</v>
      </c>
      <c r="V202" s="6">
        <v>3.9</v>
      </c>
      <c r="W202" s="6">
        <v>3.9</v>
      </c>
      <c r="X202" s="6">
        <v>3.9</v>
      </c>
      <c r="Y202" s="6">
        <v>3.9</v>
      </c>
      <c r="Z202" s="224">
        <v>0.31999999999999984</v>
      </c>
      <c r="AA202" s="170">
        <v>0.31999999999999984</v>
      </c>
      <c r="AB202" s="170">
        <v>0.31999999999999984</v>
      </c>
      <c r="AC202" s="170">
        <v>0</v>
      </c>
      <c r="AD202" s="170">
        <v>0.47</v>
      </c>
      <c r="AE202" s="170">
        <v>0.47</v>
      </c>
      <c r="AF202" s="170">
        <v>0.47</v>
      </c>
      <c r="AG202" s="170">
        <v>0.47</v>
      </c>
      <c r="AH202" s="170">
        <v>0.47</v>
      </c>
      <c r="AI202" s="170">
        <v>0.47</v>
      </c>
      <c r="AJ202" s="170">
        <v>0.47</v>
      </c>
      <c r="AK202" s="958">
        <v>0.47</v>
      </c>
      <c r="AL202" s="505">
        <v>0</v>
      </c>
      <c r="AM202" s="512">
        <f t="shared" si="151"/>
        <v>0</v>
      </c>
      <c r="AN202" s="555">
        <v>0</v>
      </c>
      <c r="AO202" s="496">
        <f t="shared" si="152"/>
        <v>0</v>
      </c>
      <c r="AP202" s="555">
        <v>0</v>
      </c>
      <c r="AQ202" s="621">
        <f t="shared" si="153"/>
        <v>0</v>
      </c>
      <c r="AR202" s="495">
        <v>10640</v>
      </c>
      <c r="AS202" s="777">
        <f t="shared" si="154"/>
        <v>0</v>
      </c>
      <c r="AT202" s="993">
        <f>22128+70.81</f>
        <v>22198.81</v>
      </c>
      <c r="AU202" s="496">
        <f t="shared" si="155"/>
        <v>10433.440699999999</v>
      </c>
      <c r="AV202" s="149">
        <v>0</v>
      </c>
      <c r="AW202" s="390">
        <f t="shared" si="156"/>
        <v>0</v>
      </c>
      <c r="AX202" s="150">
        <v>26578</v>
      </c>
      <c r="AY202" s="389">
        <f t="shared" si="157"/>
        <v>12491.66</v>
      </c>
      <c r="AZ202" s="149">
        <v>34468</v>
      </c>
      <c r="BA202" s="389">
        <f t="shared" si="158"/>
        <v>16199.96</v>
      </c>
      <c r="BB202" s="151">
        <v>28497.1549029979</v>
      </c>
      <c r="BC202" s="391">
        <f t="shared" si="159"/>
        <v>13393.662804409012</v>
      </c>
      <c r="BD202" s="150">
        <v>32410.719150313998</v>
      </c>
      <c r="BE202" s="389">
        <f t="shared" si="160"/>
        <v>15233.038000647579</v>
      </c>
      <c r="BF202" s="149">
        <v>46263.749949930701</v>
      </c>
      <c r="BG202" s="389">
        <f t="shared" si="161"/>
        <v>21743.96247646743</v>
      </c>
      <c r="BH202" s="151">
        <v>36177.7689098427</v>
      </c>
      <c r="BI202" s="392">
        <f t="shared" si="162"/>
        <v>17003.551387626067</v>
      </c>
      <c r="BJ202" s="177" t="s">
        <v>441</v>
      </c>
      <c r="BK202" s="78"/>
      <c r="BL202" s="78" t="s">
        <v>92</v>
      </c>
      <c r="BM202" s="9" t="s">
        <v>470</v>
      </c>
    </row>
    <row r="203" spans="1:65" s="333" customFormat="1" ht="16.399999999999999" customHeight="1">
      <c r="A203" s="195" t="s">
        <v>383</v>
      </c>
      <c r="B203" s="9" t="s">
        <v>186</v>
      </c>
      <c r="C203" s="78" t="s">
        <v>30</v>
      </c>
      <c r="D203" s="1011"/>
      <c r="E203" s="999"/>
      <c r="F203" s="1001"/>
      <c r="G203" s="238">
        <v>2026</v>
      </c>
      <c r="H203" s="842" t="s">
        <v>463</v>
      </c>
      <c r="I203" s="260" t="s">
        <v>393</v>
      </c>
      <c r="J203" s="108" t="s">
        <v>464</v>
      </c>
      <c r="K203" s="1" t="s">
        <v>465</v>
      </c>
      <c r="L203" s="107" t="s">
        <v>150</v>
      </c>
      <c r="M203" s="316" t="s">
        <v>394</v>
      </c>
      <c r="N203" s="6">
        <v>3.25</v>
      </c>
      <c r="O203" s="6">
        <v>3.25</v>
      </c>
      <c r="P203" s="6">
        <v>3.25</v>
      </c>
      <c r="Q203" s="6">
        <v>3.25</v>
      </c>
      <c r="R203" s="6">
        <v>3.9</v>
      </c>
      <c r="S203" s="6">
        <v>3.9</v>
      </c>
      <c r="T203" s="6">
        <v>3.9</v>
      </c>
      <c r="U203" s="6">
        <v>3.9</v>
      </c>
      <c r="V203" s="6">
        <v>3.9</v>
      </c>
      <c r="W203" s="6">
        <v>3.9</v>
      </c>
      <c r="X203" s="6">
        <v>3.9</v>
      </c>
      <c r="Y203" s="6">
        <v>3.9</v>
      </c>
      <c r="Z203" s="224">
        <v>0.31999999999999984</v>
      </c>
      <c r="AA203" s="170">
        <v>0.31999999999999984</v>
      </c>
      <c r="AB203" s="170">
        <v>0.31999999999999984</v>
      </c>
      <c r="AC203" s="170">
        <v>0</v>
      </c>
      <c r="AD203" s="170">
        <v>0.47</v>
      </c>
      <c r="AE203" s="170">
        <v>0.47</v>
      </c>
      <c r="AF203" s="170">
        <v>0.47</v>
      </c>
      <c r="AG203" s="170">
        <v>0.47</v>
      </c>
      <c r="AH203" s="170">
        <v>0.47</v>
      </c>
      <c r="AI203" s="170">
        <v>0.47</v>
      </c>
      <c r="AJ203" s="170">
        <v>0.47</v>
      </c>
      <c r="AK203" s="958">
        <v>0.47</v>
      </c>
      <c r="AL203" s="515">
        <v>0</v>
      </c>
      <c r="AM203" s="496">
        <f t="shared" si="151"/>
        <v>0</v>
      </c>
      <c r="AN203" s="563">
        <v>0</v>
      </c>
      <c r="AO203" s="494">
        <f t="shared" si="152"/>
        <v>0</v>
      </c>
      <c r="AP203" s="563">
        <v>0</v>
      </c>
      <c r="AQ203" s="621">
        <f t="shared" si="153"/>
        <v>0</v>
      </c>
      <c r="AR203" s="511">
        <v>5040</v>
      </c>
      <c r="AS203" s="775">
        <f t="shared" si="154"/>
        <v>0</v>
      </c>
      <c r="AT203" s="992">
        <f>10947+108.94</f>
        <v>11055.94</v>
      </c>
      <c r="AU203" s="496">
        <f t="shared" si="155"/>
        <v>5196.2918</v>
      </c>
      <c r="AV203" s="118">
        <v>7222</v>
      </c>
      <c r="AW203" s="390">
        <f t="shared" si="156"/>
        <v>3394.3399999999997</v>
      </c>
      <c r="AX203" s="116">
        <v>12040</v>
      </c>
      <c r="AY203" s="389">
        <f t="shared" si="157"/>
        <v>5658.7999999999993</v>
      </c>
      <c r="AZ203" s="118">
        <v>24809</v>
      </c>
      <c r="BA203" s="127">
        <f t="shared" si="158"/>
        <v>11660.23</v>
      </c>
      <c r="BB203" s="363">
        <v>37779.105139916399</v>
      </c>
      <c r="BC203" s="356">
        <f t="shared" si="159"/>
        <v>17756.179415760707</v>
      </c>
      <c r="BD203" s="116">
        <v>39685.092108763602</v>
      </c>
      <c r="BE203" s="127">
        <f t="shared" si="160"/>
        <v>18651.993291118892</v>
      </c>
      <c r="BF203" s="118">
        <v>58376.739102663603</v>
      </c>
      <c r="BG203" s="127">
        <f t="shared" si="161"/>
        <v>27437.067378251893</v>
      </c>
      <c r="BH203" s="363">
        <v>35877.932781072901</v>
      </c>
      <c r="BI203" s="329">
        <f t="shared" si="162"/>
        <v>16862.628407104261</v>
      </c>
      <c r="BJ203" s="177" t="s">
        <v>442</v>
      </c>
      <c r="BK203" s="78"/>
      <c r="BL203" s="78" t="s">
        <v>92</v>
      </c>
      <c r="BM203" s="9" t="s">
        <v>472</v>
      </c>
    </row>
    <row r="204" spans="1:65" s="333" customFormat="1" ht="16.399999999999999" customHeight="1">
      <c r="A204" s="195" t="s">
        <v>383</v>
      </c>
      <c r="B204" s="9" t="s">
        <v>186</v>
      </c>
      <c r="C204" s="78" t="s">
        <v>30</v>
      </c>
      <c r="D204" s="1011"/>
      <c r="E204" s="999"/>
      <c r="F204" s="1001"/>
      <c r="G204" s="238">
        <v>2026</v>
      </c>
      <c r="H204" s="842" t="s">
        <v>463</v>
      </c>
      <c r="I204" s="260" t="s">
        <v>393</v>
      </c>
      <c r="J204" s="108" t="s">
        <v>464</v>
      </c>
      <c r="K204" s="1" t="s">
        <v>452</v>
      </c>
      <c r="L204" s="107" t="s">
        <v>150</v>
      </c>
      <c r="M204" s="316" t="s">
        <v>394</v>
      </c>
      <c r="N204" s="6">
        <v>3.25</v>
      </c>
      <c r="O204" s="6">
        <v>3.25</v>
      </c>
      <c r="P204" s="6">
        <v>3.25</v>
      </c>
      <c r="Q204" s="6">
        <v>3.25</v>
      </c>
      <c r="R204" s="6">
        <v>3.9</v>
      </c>
      <c r="S204" s="6">
        <v>3.9</v>
      </c>
      <c r="T204" s="6">
        <v>3.9</v>
      </c>
      <c r="U204" s="6">
        <v>3.9</v>
      </c>
      <c r="V204" s="6">
        <v>3.9</v>
      </c>
      <c r="W204" s="6">
        <v>3.9</v>
      </c>
      <c r="X204" s="6">
        <v>3.9</v>
      </c>
      <c r="Y204" s="6">
        <v>3.9</v>
      </c>
      <c r="Z204" s="224">
        <v>0.31999999999999984</v>
      </c>
      <c r="AA204" s="170">
        <v>0.31999999999999984</v>
      </c>
      <c r="AB204" s="170">
        <v>0.31999999999999984</v>
      </c>
      <c r="AC204" s="170">
        <v>0</v>
      </c>
      <c r="AD204" s="170">
        <v>0.47</v>
      </c>
      <c r="AE204" s="170">
        <v>0.47</v>
      </c>
      <c r="AF204" s="170">
        <v>0.47</v>
      </c>
      <c r="AG204" s="170">
        <v>0.47</v>
      </c>
      <c r="AH204" s="170">
        <v>0.47</v>
      </c>
      <c r="AI204" s="170">
        <v>0.47</v>
      </c>
      <c r="AJ204" s="170">
        <v>0.47</v>
      </c>
      <c r="AK204" s="958">
        <v>0.47</v>
      </c>
      <c r="AL204" s="515">
        <v>0</v>
      </c>
      <c r="AM204" s="519">
        <f t="shared" si="151"/>
        <v>0</v>
      </c>
      <c r="AN204" s="563">
        <v>0</v>
      </c>
      <c r="AO204" s="496">
        <f t="shared" si="152"/>
        <v>0</v>
      </c>
      <c r="AP204" s="563">
        <v>20</v>
      </c>
      <c r="AQ204" s="622">
        <f t="shared" si="153"/>
        <v>6.3999999999999968</v>
      </c>
      <c r="AR204" s="511">
        <v>0</v>
      </c>
      <c r="AS204" s="777">
        <f t="shared" si="154"/>
        <v>0</v>
      </c>
      <c r="AT204" s="563">
        <v>200</v>
      </c>
      <c r="AU204" s="494">
        <f t="shared" si="155"/>
        <v>94</v>
      </c>
      <c r="AV204" s="118">
        <v>0</v>
      </c>
      <c r="AW204" s="390">
        <f t="shared" si="156"/>
        <v>0</v>
      </c>
      <c r="AX204" s="116">
        <v>5735</v>
      </c>
      <c r="AY204" s="389">
        <f t="shared" si="157"/>
        <v>2695.45</v>
      </c>
      <c r="AZ204" s="118">
        <v>14667</v>
      </c>
      <c r="BA204" s="389">
        <f t="shared" si="158"/>
        <v>6893.49</v>
      </c>
      <c r="BB204" s="363">
        <v>11446.328900709001</v>
      </c>
      <c r="BC204" s="391">
        <f t="shared" si="159"/>
        <v>5379.7745833332301</v>
      </c>
      <c r="BD204" s="116">
        <v>10532.2922158039</v>
      </c>
      <c r="BE204" s="389">
        <f t="shared" si="160"/>
        <v>4950.1773414278323</v>
      </c>
      <c r="BF204" s="118">
        <v>15628.5802987488</v>
      </c>
      <c r="BG204" s="389">
        <f t="shared" si="161"/>
        <v>7345.4327404119358</v>
      </c>
      <c r="BH204" s="363">
        <v>7814.2800135552798</v>
      </c>
      <c r="BI204" s="392">
        <f t="shared" si="162"/>
        <v>3672.7116063709814</v>
      </c>
      <c r="BJ204" s="177" t="s">
        <v>443</v>
      </c>
      <c r="BK204" s="78"/>
      <c r="BL204" s="78" t="s">
        <v>92</v>
      </c>
      <c r="BM204" s="9" t="s">
        <v>471</v>
      </c>
    </row>
    <row r="205" spans="1:65" s="333" customFormat="1" ht="16.399999999999999" customHeight="1">
      <c r="A205" s="195" t="s">
        <v>383</v>
      </c>
      <c r="B205" s="9" t="s">
        <v>186</v>
      </c>
      <c r="C205" s="78" t="s">
        <v>30</v>
      </c>
      <c r="D205" s="1011"/>
      <c r="E205" s="999"/>
      <c r="F205" s="1001"/>
      <c r="G205" s="238">
        <v>2026</v>
      </c>
      <c r="H205" s="842" t="s">
        <v>463</v>
      </c>
      <c r="I205" s="260" t="s">
        <v>393</v>
      </c>
      <c r="J205" s="108" t="s">
        <v>464</v>
      </c>
      <c r="K205" s="1" t="s">
        <v>466</v>
      </c>
      <c r="L205" s="107" t="s">
        <v>150</v>
      </c>
      <c r="M205" s="316" t="s">
        <v>394</v>
      </c>
      <c r="N205" s="6">
        <v>3.25</v>
      </c>
      <c r="O205" s="6">
        <v>3.25</v>
      </c>
      <c r="P205" s="6">
        <v>3.25</v>
      </c>
      <c r="Q205" s="6">
        <v>3.25</v>
      </c>
      <c r="R205" s="6">
        <v>3.9</v>
      </c>
      <c r="S205" s="6">
        <v>3.9</v>
      </c>
      <c r="T205" s="6">
        <v>3.9</v>
      </c>
      <c r="U205" s="6">
        <v>3.9</v>
      </c>
      <c r="V205" s="6">
        <v>3.9</v>
      </c>
      <c r="W205" s="6">
        <v>3.9</v>
      </c>
      <c r="X205" s="6">
        <v>3.9</v>
      </c>
      <c r="Y205" s="6">
        <v>3.9</v>
      </c>
      <c r="Z205" s="224">
        <v>0.31999999999999984</v>
      </c>
      <c r="AA205" s="170">
        <v>0.31999999999999984</v>
      </c>
      <c r="AB205" s="170">
        <v>0.31999999999999984</v>
      </c>
      <c r="AC205" s="170">
        <v>0</v>
      </c>
      <c r="AD205" s="170">
        <v>0.47</v>
      </c>
      <c r="AE205" s="170">
        <v>0.47</v>
      </c>
      <c r="AF205" s="170">
        <v>0.47</v>
      </c>
      <c r="AG205" s="170">
        <v>0.47</v>
      </c>
      <c r="AH205" s="170">
        <v>0.47</v>
      </c>
      <c r="AI205" s="170">
        <v>0.47</v>
      </c>
      <c r="AJ205" s="170">
        <v>0.47</v>
      </c>
      <c r="AK205" s="958">
        <v>0.47</v>
      </c>
      <c r="AL205" s="515">
        <v>0</v>
      </c>
      <c r="AM205" s="496">
        <f t="shared" si="151"/>
        <v>0</v>
      </c>
      <c r="AN205" s="563">
        <v>0</v>
      </c>
      <c r="AO205" s="494">
        <f t="shared" si="152"/>
        <v>0</v>
      </c>
      <c r="AP205" s="563">
        <v>0</v>
      </c>
      <c r="AQ205" s="621">
        <f t="shared" si="153"/>
        <v>0</v>
      </c>
      <c r="AR205" s="511">
        <v>280</v>
      </c>
      <c r="AS205" s="777">
        <f t="shared" si="154"/>
        <v>0</v>
      </c>
      <c r="AT205" s="563">
        <v>3080</v>
      </c>
      <c r="AU205" s="496">
        <f t="shared" si="155"/>
        <v>1447.6</v>
      </c>
      <c r="AV205" s="118">
        <v>372</v>
      </c>
      <c r="AW205" s="355">
        <f t="shared" si="156"/>
        <v>174.84</v>
      </c>
      <c r="AX205" s="116">
        <v>582</v>
      </c>
      <c r="AY205" s="127">
        <f t="shared" si="157"/>
        <v>273.53999999999996</v>
      </c>
      <c r="AZ205" s="118">
        <v>670</v>
      </c>
      <c r="BA205" s="127">
        <f t="shared" si="158"/>
        <v>314.89999999999998</v>
      </c>
      <c r="BB205" s="363">
        <v>555.01056785946605</v>
      </c>
      <c r="BC205" s="356">
        <f t="shared" si="159"/>
        <v>260.85496689394904</v>
      </c>
      <c r="BD205" s="116">
        <v>650.90112828548695</v>
      </c>
      <c r="BE205" s="127">
        <f t="shared" si="160"/>
        <v>305.92353029417887</v>
      </c>
      <c r="BF205" s="118">
        <v>917.21079460324097</v>
      </c>
      <c r="BG205" s="127">
        <f t="shared" si="161"/>
        <v>431.08907346352322</v>
      </c>
      <c r="BH205" s="363">
        <v>681.57456157678905</v>
      </c>
      <c r="BI205" s="329">
        <f t="shared" si="162"/>
        <v>320.34004394109081</v>
      </c>
      <c r="BJ205" s="177" t="s">
        <v>444</v>
      </c>
      <c r="BK205" s="78"/>
      <c r="BL205" s="78" t="s">
        <v>92</v>
      </c>
      <c r="BM205" s="9" t="s">
        <v>473</v>
      </c>
    </row>
    <row r="206" spans="1:65" s="333" customFormat="1" ht="16.399999999999999" customHeight="1">
      <c r="A206" s="195" t="s">
        <v>383</v>
      </c>
      <c r="B206" s="9" t="s">
        <v>186</v>
      </c>
      <c r="C206" s="78" t="s">
        <v>30</v>
      </c>
      <c r="D206" s="1011"/>
      <c r="E206" s="999"/>
      <c r="F206" s="1001"/>
      <c r="G206" s="238">
        <v>2026</v>
      </c>
      <c r="H206" s="852" t="s">
        <v>463</v>
      </c>
      <c r="I206" s="260" t="s">
        <v>148</v>
      </c>
      <c r="J206" s="108" t="s">
        <v>464</v>
      </c>
      <c r="K206" s="222" t="s">
        <v>583</v>
      </c>
      <c r="L206" s="107"/>
      <c r="M206" s="161" t="s">
        <v>394</v>
      </c>
      <c r="N206" s="6">
        <v>3.25</v>
      </c>
      <c r="O206" s="6">
        <v>3.25</v>
      </c>
      <c r="P206" s="6">
        <v>3.25</v>
      </c>
      <c r="Q206" s="6">
        <v>3.25</v>
      </c>
      <c r="R206" s="6">
        <v>3.9</v>
      </c>
      <c r="S206" s="6">
        <v>3.9</v>
      </c>
      <c r="T206" s="6">
        <v>3.9</v>
      </c>
      <c r="U206" s="6">
        <v>3.9</v>
      </c>
      <c r="V206" s="6">
        <v>3.9</v>
      </c>
      <c r="W206" s="6">
        <v>3.9</v>
      </c>
      <c r="X206" s="6">
        <v>3.9</v>
      </c>
      <c r="Y206" s="6">
        <v>3.9</v>
      </c>
      <c r="Z206" s="224">
        <v>0.31999999999999984</v>
      </c>
      <c r="AA206" s="170">
        <v>0.31999999999999984</v>
      </c>
      <c r="AB206" s="170">
        <v>0.31999999999999984</v>
      </c>
      <c r="AC206" s="170">
        <v>0</v>
      </c>
      <c r="AD206" s="170">
        <v>0.47</v>
      </c>
      <c r="AE206" s="170">
        <v>0.47</v>
      </c>
      <c r="AF206" s="170">
        <v>0.47</v>
      </c>
      <c r="AG206" s="170">
        <v>0.47</v>
      </c>
      <c r="AH206" s="170">
        <v>0.47</v>
      </c>
      <c r="AI206" s="170">
        <v>0.47</v>
      </c>
      <c r="AJ206" s="170">
        <v>0.47</v>
      </c>
      <c r="AK206" s="958">
        <v>0.47</v>
      </c>
      <c r="AL206" s="515">
        <v>0</v>
      </c>
      <c r="AM206" s="519">
        <f t="shared" si="151"/>
        <v>0</v>
      </c>
      <c r="AN206" s="563">
        <v>0</v>
      </c>
      <c r="AO206" s="512">
        <f t="shared" si="152"/>
        <v>0</v>
      </c>
      <c r="AP206" s="563">
        <v>0</v>
      </c>
      <c r="AQ206" s="622">
        <f t="shared" si="153"/>
        <v>0</v>
      </c>
      <c r="AR206" s="511">
        <v>0</v>
      </c>
      <c r="AS206" s="796">
        <f t="shared" si="154"/>
        <v>0</v>
      </c>
      <c r="AT206" s="563">
        <v>360</v>
      </c>
      <c r="AU206" s="519">
        <f t="shared" si="155"/>
        <v>169.2</v>
      </c>
      <c r="AV206" s="118">
        <v>0</v>
      </c>
      <c r="AW206" s="437">
        <f t="shared" si="156"/>
        <v>0</v>
      </c>
      <c r="AX206" s="116">
        <v>465</v>
      </c>
      <c r="AY206" s="119">
        <f t="shared" si="157"/>
        <v>218.54999999999998</v>
      </c>
      <c r="AZ206" s="118">
        <v>1110</v>
      </c>
      <c r="BA206" s="119">
        <f t="shared" si="158"/>
        <v>521.69999999999993</v>
      </c>
      <c r="BB206" s="363">
        <v>0</v>
      </c>
      <c r="BC206" s="364">
        <f t="shared" si="159"/>
        <v>0</v>
      </c>
      <c r="BD206" s="116">
        <v>0</v>
      </c>
      <c r="BE206" s="119">
        <f t="shared" si="160"/>
        <v>0</v>
      </c>
      <c r="BF206" s="118">
        <v>0</v>
      </c>
      <c r="BG206" s="119">
        <f t="shared" si="161"/>
        <v>0</v>
      </c>
      <c r="BH206" s="363">
        <v>0</v>
      </c>
      <c r="BI206" s="456">
        <f t="shared" si="162"/>
        <v>0</v>
      </c>
      <c r="BJ206" s="177" t="s">
        <v>509</v>
      </c>
      <c r="BK206" s="78"/>
      <c r="BL206" s="78" t="s">
        <v>92</v>
      </c>
      <c r="BM206" s="9" t="s">
        <v>584</v>
      </c>
    </row>
    <row r="207" spans="1:65" s="333" customFormat="1" ht="16" customHeight="1">
      <c r="A207" s="195" t="s">
        <v>383</v>
      </c>
      <c r="B207" s="9" t="s">
        <v>186</v>
      </c>
      <c r="C207" s="78" t="s">
        <v>30</v>
      </c>
      <c r="D207" s="1011"/>
      <c r="E207" s="999"/>
      <c r="F207" s="1001"/>
      <c r="G207" s="664">
        <v>2026</v>
      </c>
      <c r="H207" s="874" t="s">
        <v>463</v>
      </c>
      <c r="I207" s="623" t="s">
        <v>393</v>
      </c>
      <c r="J207" s="624" t="s">
        <v>464</v>
      </c>
      <c r="K207" s="333" t="s">
        <v>446</v>
      </c>
      <c r="L207" s="625" t="s">
        <v>719</v>
      </c>
      <c r="M207" s="608" t="s">
        <v>325</v>
      </c>
      <c r="N207" s="6">
        <v>3.25</v>
      </c>
      <c r="O207" s="6">
        <v>3.25</v>
      </c>
      <c r="P207" s="6">
        <v>3.25</v>
      </c>
      <c r="Q207" s="6">
        <v>3.25</v>
      </c>
      <c r="R207" s="6">
        <v>3.9</v>
      </c>
      <c r="S207" s="6">
        <v>3.9</v>
      </c>
      <c r="T207" s="6">
        <v>3.9</v>
      </c>
      <c r="U207" s="6">
        <v>3.9</v>
      </c>
      <c r="V207" s="6">
        <v>3.9</v>
      </c>
      <c r="W207" s="6">
        <v>3.9</v>
      </c>
      <c r="X207" s="6">
        <v>3.9</v>
      </c>
      <c r="Y207" s="6">
        <v>3.9</v>
      </c>
      <c r="Z207" s="224">
        <v>0.31999999999999984</v>
      </c>
      <c r="AA207" s="170">
        <v>0.31999999999999984</v>
      </c>
      <c r="AB207" s="170">
        <v>0.31999999999999984</v>
      </c>
      <c r="AC207" s="170">
        <v>0</v>
      </c>
      <c r="AD207" s="170">
        <v>0.47</v>
      </c>
      <c r="AE207" s="170">
        <v>0.47</v>
      </c>
      <c r="AF207" s="170">
        <v>0.47</v>
      </c>
      <c r="AG207" s="170">
        <v>0.47</v>
      </c>
      <c r="AH207" s="170">
        <v>0.47</v>
      </c>
      <c r="AI207" s="170">
        <v>0.47</v>
      </c>
      <c r="AJ207" s="170">
        <v>0.47</v>
      </c>
      <c r="AK207" s="958">
        <v>0.47</v>
      </c>
      <c r="AL207" s="505">
        <v>0</v>
      </c>
      <c r="AM207" s="512">
        <f t="shared" si="151"/>
        <v>0</v>
      </c>
      <c r="AN207" s="555">
        <v>0</v>
      </c>
      <c r="AO207" s="496">
        <f t="shared" si="152"/>
        <v>0</v>
      </c>
      <c r="AP207" s="555">
        <v>0</v>
      </c>
      <c r="AQ207" s="621">
        <f t="shared" si="153"/>
        <v>0</v>
      </c>
      <c r="AR207" s="495">
        <v>2440</v>
      </c>
      <c r="AS207" s="777">
        <f t="shared" si="154"/>
        <v>0</v>
      </c>
      <c r="AT207" s="555">
        <v>4620</v>
      </c>
      <c r="AU207" s="496">
        <f t="shared" si="155"/>
        <v>2171.4</v>
      </c>
      <c r="AV207" s="149">
        <v>0</v>
      </c>
      <c r="AW207" s="390">
        <f t="shared" si="156"/>
        <v>0</v>
      </c>
      <c r="AX207" s="150">
        <v>24658</v>
      </c>
      <c r="AY207" s="389">
        <f t="shared" si="157"/>
        <v>11589.26</v>
      </c>
      <c r="AZ207" s="149">
        <v>13106</v>
      </c>
      <c r="BA207" s="389">
        <f t="shared" si="158"/>
        <v>6159.82</v>
      </c>
      <c r="BB207" s="151">
        <v>0</v>
      </c>
      <c r="BC207" s="391">
        <f t="shared" si="159"/>
        <v>0</v>
      </c>
      <c r="BD207" s="150">
        <v>0</v>
      </c>
      <c r="BE207" s="389">
        <f t="shared" si="160"/>
        <v>0</v>
      </c>
      <c r="BF207" s="149">
        <v>0</v>
      </c>
      <c r="BG207" s="389">
        <f t="shared" si="161"/>
        <v>0</v>
      </c>
      <c r="BH207" s="151">
        <v>0</v>
      </c>
      <c r="BI207" s="392">
        <f t="shared" si="162"/>
        <v>0</v>
      </c>
      <c r="BJ207" s="479" t="s">
        <v>588</v>
      </c>
      <c r="BK207" s="334"/>
      <c r="BL207" s="78" t="s">
        <v>92</v>
      </c>
      <c r="BM207" s="9" t="s">
        <v>470</v>
      </c>
    </row>
    <row r="208" spans="1:65" s="333" customFormat="1" ht="16.399999999999999" customHeight="1">
      <c r="A208" s="195" t="s">
        <v>383</v>
      </c>
      <c r="B208" s="9" t="s">
        <v>186</v>
      </c>
      <c r="C208" s="78" t="s">
        <v>30</v>
      </c>
      <c r="D208" s="1011"/>
      <c r="E208" s="999"/>
      <c r="F208" s="1001"/>
      <c r="G208" s="665">
        <v>2026</v>
      </c>
      <c r="H208" s="872" t="s">
        <v>463</v>
      </c>
      <c r="I208" s="615" t="s">
        <v>393</v>
      </c>
      <c r="J208" s="616" t="s">
        <v>464</v>
      </c>
      <c r="K208" s="333" t="s">
        <v>465</v>
      </c>
      <c r="L208" s="617" t="s">
        <v>719</v>
      </c>
      <c r="M208" s="608" t="s">
        <v>325</v>
      </c>
      <c r="N208" s="6">
        <v>3.25</v>
      </c>
      <c r="O208" s="6">
        <v>3.25</v>
      </c>
      <c r="P208" s="6">
        <v>3.25</v>
      </c>
      <c r="Q208" s="6">
        <v>3.25</v>
      </c>
      <c r="R208" s="6">
        <v>3.9</v>
      </c>
      <c r="S208" s="6">
        <v>3.9</v>
      </c>
      <c r="T208" s="6">
        <v>3.9</v>
      </c>
      <c r="U208" s="6">
        <v>3.9</v>
      </c>
      <c r="V208" s="6">
        <v>3.9</v>
      </c>
      <c r="W208" s="6">
        <v>3.9</v>
      </c>
      <c r="X208" s="6">
        <v>3.9</v>
      </c>
      <c r="Y208" s="6">
        <v>3.9</v>
      </c>
      <c r="Z208" s="224">
        <v>0.31999999999999984</v>
      </c>
      <c r="AA208" s="170">
        <v>0.31999999999999984</v>
      </c>
      <c r="AB208" s="170">
        <v>0.31999999999999984</v>
      </c>
      <c r="AC208" s="170">
        <v>0</v>
      </c>
      <c r="AD208" s="170">
        <v>0.47</v>
      </c>
      <c r="AE208" s="170">
        <v>0.47</v>
      </c>
      <c r="AF208" s="170">
        <v>0.47</v>
      </c>
      <c r="AG208" s="170">
        <v>0.47</v>
      </c>
      <c r="AH208" s="170">
        <v>0.47</v>
      </c>
      <c r="AI208" s="170">
        <v>0.47</v>
      </c>
      <c r="AJ208" s="170">
        <v>0.47</v>
      </c>
      <c r="AK208" s="958">
        <v>0.47</v>
      </c>
      <c r="AL208" s="515">
        <v>0</v>
      </c>
      <c r="AM208" s="496">
        <f t="shared" si="151"/>
        <v>0</v>
      </c>
      <c r="AN208" s="563">
        <v>0</v>
      </c>
      <c r="AO208" s="494">
        <f t="shared" si="152"/>
        <v>0</v>
      </c>
      <c r="AP208" s="563">
        <v>0</v>
      </c>
      <c r="AQ208" s="621">
        <f t="shared" si="153"/>
        <v>0</v>
      </c>
      <c r="AR208" s="511">
        <v>40</v>
      </c>
      <c r="AS208" s="775">
        <f t="shared" si="154"/>
        <v>0</v>
      </c>
      <c r="AT208" s="563">
        <v>1280</v>
      </c>
      <c r="AU208" s="496">
        <f t="shared" si="155"/>
        <v>601.59999999999991</v>
      </c>
      <c r="AV208" s="118">
        <v>25253</v>
      </c>
      <c r="AW208" s="390">
        <f t="shared" si="156"/>
        <v>11868.91</v>
      </c>
      <c r="AX208" s="116">
        <v>38988</v>
      </c>
      <c r="AY208" s="389">
        <f t="shared" si="157"/>
        <v>18324.36</v>
      </c>
      <c r="AZ208" s="118">
        <v>29214</v>
      </c>
      <c r="BA208" s="127">
        <f t="shared" si="158"/>
        <v>13730.58</v>
      </c>
      <c r="BB208" s="363">
        <v>0</v>
      </c>
      <c r="BC208" s="356">
        <f t="shared" si="159"/>
        <v>0</v>
      </c>
      <c r="BD208" s="116">
        <v>0</v>
      </c>
      <c r="BE208" s="127">
        <f t="shared" si="160"/>
        <v>0</v>
      </c>
      <c r="BF208" s="118">
        <v>0</v>
      </c>
      <c r="BG208" s="127">
        <f t="shared" si="161"/>
        <v>0</v>
      </c>
      <c r="BH208" s="363">
        <v>0</v>
      </c>
      <c r="BI208" s="329">
        <f t="shared" si="162"/>
        <v>0</v>
      </c>
      <c r="BJ208" s="479" t="s">
        <v>589</v>
      </c>
      <c r="BK208" s="334"/>
      <c r="BL208" s="78" t="s">
        <v>92</v>
      </c>
      <c r="BM208" s="9" t="s">
        <v>472</v>
      </c>
    </row>
    <row r="209" spans="1:65" s="333" customFormat="1" ht="16.399999999999999" customHeight="1">
      <c r="A209" s="195" t="s">
        <v>383</v>
      </c>
      <c r="B209" s="9" t="s">
        <v>186</v>
      </c>
      <c r="C209" s="78" t="s">
        <v>30</v>
      </c>
      <c r="D209" s="1011"/>
      <c r="E209" s="999"/>
      <c r="F209" s="1001"/>
      <c r="G209" s="665">
        <v>2026</v>
      </c>
      <c r="H209" s="872" t="s">
        <v>463</v>
      </c>
      <c r="I209" s="615" t="s">
        <v>393</v>
      </c>
      <c r="J209" s="616" t="s">
        <v>464</v>
      </c>
      <c r="K209" s="333" t="s">
        <v>452</v>
      </c>
      <c r="L209" s="617" t="s">
        <v>719</v>
      </c>
      <c r="M209" s="608" t="s">
        <v>325</v>
      </c>
      <c r="N209" s="6">
        <v>3.25</v>
      </c>
      <c r="O209" s="6">
        <v>3.25</v>
      </c>
      <c r="P209" s="6">
        <v>3.25</v>
      </c>
      <c r="Q209" s="6">
        <v>3.25</v>
      </c>
      <c r="R209" s="6">
        <v>3.9</v>
      </c>
      <c r="S209" s="6">
        <v>3.9</v>
      </c>
      <c r="T209" s="6">
        <v>3.9</v>
      </c>
      <c r="U209" s="6">
        <v>3.9</v>
      </c>
      <c r="V209" s="6">
        <v>3.9</v>
      </c>
      <c r="W209" s="6">
        <v>3.9</v>
      </c>
      <c r="X209" s="6">
        <v>3.9</v>
      </c>
      <c r="Y209" s="6">
        <v>3.9</v>
      </c>
      <c r="Z209" s="224">
        <v>0.31999999999999984</v>
      </c>
      <c r="AA209" s="170">
        <v>0.31999999999999984</v>
      </c>
      <c r="AB209" s="170">
        <v>0.31999999999999984</v>
      </c>
      <c r="AC209" s="170">
        <v>0</v>
      </c>
      <c r="AD209" s="170">
        <v>0.47</v>
      </c>
      <c r="AE209" s="170">
        <v>0.47</v>
      </c>
      <c r="AF209" s="170">
        <v>0.47</v>
      </c>
      <c r="AG209" s="170">
        <v>0.47</v>
      </c>
      <c r="AH209" s="170">
        <v>0.47</v>
      </c>
      <c r="AI209" s="170">
        <v>0.47</v>
      </c>
      <c r="AJ209" s="170">
        <v>0.47</v>
      </c>
      <c r="AK209" s="958">
        <v>0.47</v>
      </c>
      <c r="AL209" s="515">
        <v>0</v>
      </c>
      <c r="AM209" s="519">
        <f t="shared" si="151"/>
        <v>0</v>
      </c>
      <c r="AN209" s="563">
        <v>0</v>
      </c>
      <c r="AO209" s="496">
        <f t="shared" si="152"/>
        <v>0</v>
      </c>
      <c r="AP209" s="563">
        <v>0</v>
      </c>
      <c r="AQ209" s="622">
        <f t="shared" si="153"/>
        <v>0</v>
      </c>
      <c r="AR209" s="511">
        <v>0</v>
      </c>
      <c r="AS209" s="777">
        <f t="shared" si="154"/>
        <v>0</v>
      </c>
      <c r="AT209" s="563">
        <v>80</v>
      </c>
      <c r="AU209" s="494">
        <f t="shared" si="155"/>
        <v>37.599999999999994</v>
      </c>
      <c r="AV209" s="118">
        <v>0</v>
      </c>
      <c r="AW209" s="390">
        <f t="shared" si="156"/>
        <v>0</v>
      </c>
      <c r="AX209" s="116">
        <v>1481</v>
      </c>
      <c r="AY209" s="389">
        <f t="shared" si="157"/>
        <v>696.06999999999994</v>
      </c>
      <c r="AZ209" s="118">
        <v>3356</v>
      </c>
      <c r="BA209" s="389">
        <f t="shared" si="158"/>
        <v>1577.32</v>
      </c>
      <c r="BB209" s="363">
        <v>0</v>
      </c>
      <c r="BC209" s="391">
        <f t="shared" si="159"/>
        <v>0</v>
      </c>
      <c r="BD209" s="116">
        <v>0</v>
      </c>
      <c r="BE209" s="389">
        <f t="shared" si="160"/>
        <v>0</v>
      </c>
      <c r="BF209" s="118">
        <v>0</v>
      </c>
      <c r="BG209" s="389">
        <f t="shared" si="161"/>
        <v>0</v>
      </c>
      <c r="BH209" s="363">
        <v>0</v>
      </c>
      <c r="BI209" s="392">
        <f t="shared" si="162"/>
        <v>0</v>
      </c>
      <c r="BJ209" s="479" t="s">
        <v>590</v>
      </c>
      <c r="BK209" s="334"/>
      <c r="BL209" s="78" t="s">
        <v>92</v>
      </c>
      <c r="BM209" s="9" t="s">
        <v>471</v>
      </c>
    </row>
    <row r="210" spans="1:65" s="333" customFormat="1" ht="16.399999999999999" customHeight="1">
      <c r="A210" s="195" t="s">
        <v>383</v>
      </c>
      <c r="B210" s="9" t="s">
        <v>186</v>
      </c>
      <c r="C210" s="78" t="s">
        <v>30</v>
      </c>
      <c r="D210" s="1011"/>
      <c r="E210" s="999"/>
      <c r="F210" s="1001"/>
      <c r="G210" s="665">
        <v>2026</v>
      </c>
      <c r="H210" s="872" t="s">
        <v>463</v>
      </c>
      <c r="I210" s="615" t="s">
        <v>393</v>
      </c>
      <c r="J210" s="616" t="s">
        <v>464</v>
      </c>
      <c r="K210" s="333" t="s">
        <v>466</v>
      </c>
      <c r="L210" s="617" t="s">
        <v>719</v>
      </c>
      <c r="M210" s="608" t="s">
        <v>325</v>
      </c>
      <c r="N210" s="6">
        <v>3.25</v>
      </c>
      <c r="O210" s="6">
        <v>3.25</v>
      </c>
      <c r="P210" s="6">
        <v>3.25</v>
      </c>
      <c r="Q210" s="6">
        <v>3.25</v>
      </c>
      <c r="R210" s="6">
        <v>3.9</v>
      </c>
      <c r="S210" s="6">
        <v>3.9</v>
      </c>
      <c r="T210" s="6">
        <v>3.9</v>
      </c>
      <c r="U210" s="6">
        <v>3.9</v>
      </c>
      <c r="V210" s="6">
        <v>3.9</v>
      </c>
      <c r="W210" s="6">
        <v>3.9</v>
      </c>
      <c r="X210" s="6">
        <v>3.9</v>
      </c>
      <c r="Y210" s="6">
        <v>3.9</v>
      </c>
      <c r="Z210" s="224">
        <v>0.31999999999999984</v>
      </c>
      <c r="AA210" s="170">
        <v>0.31999999999999984</v>
      </c>
      <c r="AB210" s="170">
        <v>0.31999999999999984</v>
      </c>
      <c r="AC210" s="170">
        <v>0</v>
      </c>
      <c r="AD210" s="170">
        <v>0.47</v>
      </c>
      <c r="AE210" s="170">
        <v>0.47</v>
      </c>
      <c r="AF210" s="170">
        <v>0.47</v>
      </c>
      <c r="AG210" s="170">
        <v>0.47</v>
      </c>
      <c r="AH210" s="170">
        <v>0.47</v>
      </c>
      <c r="AI210" s="170">
        <v>0.47</v>
      </c>
      <c r="AJ210" s="170">
        <v>0.47</v>
      </c>
      <c r="AK210" s="958">
        <v>0.47</v>
      </c>
      <c r="AL210" s="515">
        <v>0</v>
      </c>
      <c r="AM210" s="496">
        <f t="shared" si="151"/>
        <v>0</v>
      </c>
      <c r="AN210" s="563">
        <v>0</v>
      </c>
      <c r="AO210" s="494">
        <f t="shared" si="152"/>
        <v>0</v>
      </c>
      <c r="AP210" s="563">
        <v>0</v>
      </c>
      <c r="AQ210" s="621">
        <f t="shared" si="153"/>
        <v>0</v>
      </c>
      <c r="AR210" s="511">
        <v>0</v>
      </c>
      <c r="AS210" s="777">
        <f t="shared" si="154"/>
        <v>0</v>
      </c>
      <c r="AT210" s="563">
        <v>0</v>
      </c>
      <c r="AU210" s="496">
        <f t="shared" si="155"/>
        <v>0</v>
      </c>
      <c r="AV210" s="118">
        <v>709</v>
      </c>
      <c r="AW210" s="355">
        <f t="shared" si="156"/>
        <v>333.22999999999996</v>
      </c>
      <c r="AX210" s="116">
        <v>1648</v>
      </c>
      <c r="AY210" s="127">
        <f t="shared" si="157"/>
        <v>774.56</v>
      </c>
      <c r="AZ210" s="118">
        <v>2040</v>
      </c>
      <c r="BA210" s="127">
        <f t="shared" si="158"/>
        <v>958.8</v>
      </c>
      <c r="BB210" s="363">
        <v>0</v>
      </c>
      <c r="BC210" s="356">
        <f t="shared" si="159"/>
        <v>0</v>
      </c>
      <c r="BD210" s="116">
        <v>0</v>
      </c>
      <c r="BE210" s="127">
        <f t="shared" si="160"/>
        <v>0</v>
      </c>
      <c r="BF210" s="118">
        <v>0</v>
      </c>
      <c r="BG210" s="127">
        <f t="shared" si="161"/>
        <v>0</v>
      </c>
      <c r="BH210" s="363">
        <v>0</v>
      </c>
      <c r="BI210" s="329">
        <f t="shared" si="162"/>
        <v>0</v>
      </c>
      <c r="BJ210" s="479" t="s">
        <v>591</v>
      </c>
      <c r="BK210" s="334"/>
      <c r="BL210" s="78" t="s">
        <v>92</v>
      </c>
      <c r="BM210" s="9" t="s">
        <v>473</v>
      </c>
    </row>
    <row r="211" spans="1:65" s="333" customFormat="1" ht="16.399999999999999" customHeight="1">
      <c r="A211" s="195" t="s">
        <v>383</v>
      </c>
      <c r="B211" s="9" t="s">
        <v>186</v>
      </c>
      <c r="C211" s="78" t="s">
        <v>30</v>
      </c>
      <c r="D211" s="1011"/>
      <c r="E211" s="999"/>
      <c r="F211" s="1001"/>
      <c r="G211" s="665">
        <v>2026</v>
      </c>
      <c r="H211" s="893" t="s">
        <v>463</v>
      </c>
      <c r="I211" s="615" t="s">
        <v>148</v>
      </c>
      <c r="J211" s="616" t="s">
        <v>464</v>
      </c>
      <c r="K211" s="646" t="s">
        <v>706</v>
      </c>
      <c r="L211" s="617"/>
      <c r="M211" s="640" t="s">
        <v>325</v>
      </c>
      <c r="N211" s="6">
        <v>3.25</v>
      </c>
      <c r="O211" s="6">
        <v>3.25</v>
      </c>
      <c r="P211" s="6">
        <v>3.25</v>
      </c>
      <c r="Q211" s="6">
        <v>3.25</v>
      </c>
      <c r="R211" s="6">
        <v>3.9</v>
      </c>
      <c r="S211" s="6">
        <v>3.9</v>
      </c>
      <c r="T211" s="6">
        <v>3.9</v>
      </c>
      <c r="U211" s="6">
        <v>3.9</v>
      </c>
      <c r="V211" s="6">
        <v>3.9</v>
      </c>
      <c r="W211" s="6">
        <v>3.9</v>
      </c>
      <c r="X211" s="6">
        <v>3.9</v>
      </c>
      <c r="Y211" s="6">
        <v>3.9</v>
      </c>
      <c r="Z211" s="224">
        <v>0.31999999999999984</v>
      </c>
      <c r="AA211" s="170">
        <v>0.31999999999999984</v>
      </c>
      <c r="AB211" s="170">
        <v>0.31999999999999984</v>
      </c>
      <c r="AC211" s="170">
        <v>0</v>
      </c>
      <c r="AD211" s="170">
        <v>0.47</v>
      </c>
      <c r="AE211" s="170">
        <v>0.47</v>
      </c>
      <c r="AF211" s="170">
        <v>0.47</v>
      </c>
      <c r="AG211" s="170">
        <v>0.47</v>
      </c>
      <c r="AH211" s="170">
        <v>0.47</v>
      </c>
      <c r="AI211" s="170">
        <v>0.47</v>
      </c>
      <c r="AJ211" s="170">
        <v>0.47</v>
      </c>
      <c r="AK211" s="958">
        <v>0.47</v>
      </c>
      <c r="AL211" s="515">
        <v>0</v>
      </c>
      <c r="AM211" s="519">
        <f t="shared" si="151"/>
        <v>0</v>
      </c>
      <c r="AN211" s="563">
        <v>0</v>
      </c>
      <c r="AO211" s="512">
        <f t="shared" si="152"/>
        <v>0</v>
      </c>
      <c r="AP211" s="563">
        <v>0</v>
      </c>
      <c r="AQ211" s="622">
        <f t="shared" si="153"/>
        <v>0</v>
      </c>
      <c r="AR211" s="511">
        <v>0</v>
      </c>
      <c r="AS211" s="796">
        <f t="shared" si="154"/>
        <v>0</v>
      </c>
      <c r="AT211" s="563">
        <v>0</v>
      </c>
      <c r="AU211" s="519">
        <f t="shared" si="155"/>
        <v>0</v>
      </c>
      <c r="AV211" s="118">
        <v>0</v>
      </c>
      <c r="AW211" s="437">
        <f t="shared" si="156"/>
        <v>0</v>
      </c>
      <c r="AX211" s="116">
        <v>0</v>
      </c>
      <c r="AY211" s="119">
        <f t="shared" si="157"/>
        <v>0</v>
      </c>
      <c r="AZ211" s="118">
        <v>0</v>
      </c>
      <c r="BA211" s="119">
        <f t="shared" si="158"/>
        <v>0</v>
      </c>
      <c r="BB211" s="363">
        <v>0</v>
      </c>
      <c r="BC211" s="364">
        <f t="shared" si="159"/>
        <v>0</v>
      </c>
      <c r="BD211" s="116">
        <v>0</v>
      </c>
      <c r="BE211" s="119">
        <f t="shared" si="160"/>
        <v>0</v>
      </c>
      <c r="BF211" s="118">
        <v>0</v>
      </c>
      <c r="BG211" s="119">
        <f t="shared" si="161"/>
        <v>0</v>
      </c>
      <c r="BH211" s="363">
        <v>0</v>
      </c>
      <c r="BI211" s="456">
        <f t="shared" si="162"/>
        <v>0</v>
      </c>
      <c r="BJ211" s="479" t="s">
        <v>592</v>
      </c>
      <c r="BK211" s="334"/>
      <c r="BL211" s="78" t="s">
        <v>92</v>
      </c>
      <c r="BM211" s="9" t="s">
        <v>584</v>
      </c>
    </row>
    <row r="212" spans="1:65" s="333" customFormat="1">
      <c r="A212" s="195" t="s">
        <v>383</v>
      </c>
      <c r="B212" s="9" t="s">
        <v>186</v>
      </c>
      <c r="C212" s="78" t="s">
        <v>30</v>
      </c>
      <c r="D212" s="1011"/>
      <c r="E212" s="999"/>
      <c r="F212" s="1001"/>
      <c r="G212" s="204">
        <v>2026</v>
      </c>
      <c r="H212" s="869" t="s">
        <v>445</v>
      </c>
      <c r="I212" s="279" t="s">
        <v>151</v>
      </c>
      <c r="J212" s="233">
        <v>16</v>
      </c>
      <c r="K212" s="321" t="s">
        <v>446</v>
      </c>
      <c r="L212" s="157" t="s">
        <v>150</v>
      </c>
      <c r="M212" s="446" t="s">
        <v>324</v>
      </c>
      <c r="N212" s="172">
        <v>8.0299999999999994</v>
      </c>
      <c r="O212" s="6">
        <v>8.0299999999999994</v>
      </c>
      <c r="P212" s="6">
        <v>8.0299999999999994</v>
      </c>
      <c r="Q212" s="6">
        <v>8.0299999999999994</v>
      </c>
      <c r="R212" s="6">
        <v>8.6</v>
      </c>
      <c r="S212" s="6">
        <v>8.6</v>
      </c>
      <c r="T212" s="6">
        <v>8.6</v>
      </c>
      <c r="U212" s="6">
        <v>8.6</v>
      </c>
      <c r="V212" s="6">
        <v>8.6</v>
      </c>
      <c r="W212" s="6">
        <v>8.6</v>
      </c>
      <c r="X212" s="6">
        <v>8.6</v>
      </c>
      <c r="Y212" s="700">
        <v>8.6</v>
      </c>
      <c r="Z212" s="195">
        <v>0.73999999999999932</v>
      </c>
      <c r="AA212" s="340">
        <v>0.73999999999999932</v>
      </c>
      <c r="AB212" s="341">
        <v>0.73999999999999932</v>
      </c>
      <c r="AC212" s="340">
        <v>0</v>
      </c>
      <c r="AD212" s="341">
        <v>0.81</v>
      </c>
      <c r="AE212" s="340">
        <v>0.81</v>
      </c>
      <c r="AF212" s="341">
        <v>0.81</v>
      </c>
      <c r="AG212" s="340">
        <v>0.81</v>
      </c>
      <c r="AH212" s="341">
        <v>0.81</v>
      </c>
      <c r="AI212" s="340">
        <v>0.81</v>
      </c>
      <c r="AJ212" s="341">
        <v>0.81</v>
      </c>
      <c r="AK212" s="480">
        <v>0.81</v>
      </c>
      <c r="AL212" s="529">
        <v>0</v>
      </c>
      <c r="AM212" s="496">
        <f t="shared" si="127"/>
        <v>0</v>
      </c>
      <c r="AN212" s="579">
        <v>0</v>
      </c>
      <c r="AO212" s="494">
        <f t="shared" si="128"/>
        <v>0</v>
      </c>
      <c r="AP212" s="579">
        <v>365</v>
      </c>
      <c r="AQ212" s="621">
        <f t="shared" si="129"/>
        <v>270.09999999999974</v>
      </c>
      <c r="AR212" s="791">
        <v>1040</v>
      </c>
      <c r="AS212" s="775">
        <f t="shared" si="130"/>
        <v>0</v>
      </c>
      <c r="AT212" s="579">
        <v>1160</v>
      </c>
      <c r="AU212" s="494">
        <f t="shared" si="131"/>
        <v>939.6</v>
      </c>
      <c r="AV212" s="407">
        <v>711</v>
      </c>
      <c r="AW212" s="355">
        <f t="shared" si="132"/>
        <v>575.91000000000008</v>
      </c>
      <c r="AX212" s="408">
        <v>818</v>
      </c>
      <c r="AY212" s="127">
        <f t="shared" si="133"/>
        <v>662.58</v>
      </c>
      <c r="AZ212" s="407">
        <v>767</v>
      </c>
      <c r="BA212" s="127">
        <f t="shared" si="134"/>
        <v>621.2700000000001</v>
      </c>
      <c r="BB212" s="594">
        <v>3995.5840891430398</v>
      </c>
      <c r="BC212" s="356">
        <f t="shared" si="135"/>
        <v>3236.4231122058623</v>
      </c>
      <c r="BD212" s="408">
        <v>5567.7263312640798</v>
      </c>
      <c r="BE212" s="127">
        <f t="shared" si="136"/>
        <v>4509.858328323905</v>
      </c>
      <c r="BF212" s="407">
        <v>7716.9333139009505</v>
      </c>
      <c r="BG212" s="127">
        <f t="shared" si="137"/>
        <v>6250.7159842597703</v>
      </c>
      <c r="BH212" s="409">
        <v>5343.3390480405296</v>
      </c>
      <c r="BI212" s="329">
        <f t="shared" si="138"/>
        <v>4328.104628912829</v>
      </c>
      <c r="BJ212" s="245" t="s">
        <v>427</v>
      </c>
      <c r="BK212" s="78"/>
      <c r="BL212" s="78" t="s">
        <v>92</v>
      </c>
      <c r="BM212" s="9" t="s">
        <v>319</v>
      </c>
    </row>
    <row r="213" spans="1:65" s="333" customFormat="1">
      <c r="A213" s="195" t="s">
        <v>383</v>
      </c>
      <c r="B213" s="9" t="s">
        <v>186</v>
      </c>
      <c r="C213" s="78" t="s">
        <v>30</v>
      </c>
      <c r="D213" s="1011"/>
      <c r="E213" s="999"/>
      <c r="F213" s="1001"/>
      <c r="G213" s="204">
        <v>2026</v>
      </c>
      <c r="H213" s="869" t="s">
        <v>445</v>
      </c>
      <c r="I213" s="282" t="s">
        <v>388</v>
      </c>
      <c r="J213" s="233">
        <v>16</v>
      </c>
      <c r="K213" s="321" t="s">
        <v>447</v>
      </c>
      <c r="L213" s="157" t="s">
        <v>150</v>
      </c>
      <c r="M213" s="446" t="s">
        <v>324</v>
      </c>
      <c r="N213" s="172">
        <v>8.0299999999999994</v>
      </c>
      <c r="O213" s="6">
        <v>8.0299999999999994</v>
      </c>
      <c r="P213" s="6">
        <v>8.0299999999999994</v>
      </c>
      <c r="Q213" s="6">
        <v>8.0299999999999994</v>
      </c>
      <c r="R213" s="6">
        <v>8.6</v>
      </c>
      <c r="S213" s="6">
        <v>8.6</v>
      </c>
      <c r="T213" s="6">
        <v>8.6</v>
      </c>
      <c r="U213" s="6">
        <v>8.6</v>
      </c>
      <c r="V213" s="6">
        <v>8.6</v>
      </c>
      <c r="W213" s="6">
        <v>8.6</v>
      </c>
      <c r="X213" s="6">
        <v>8.6</v>
      </c>
      <c r="Y213" s="700">
        <v>8.6</v>
      </c>
      <c r="Z213" s="195">
        <v>0.73999999999999932</v>
      </c>
      <c r="AA213" s="340">
        <v>0.73999999999999932</v>
      </c>
      <c r="AB213" s="341">
        <v>0.73999999999999932</v>
      </c>
      <c r="AC213" s="340">
        <v>0</v>
      </c>
      <c r="AD213" s="341">
        <v>0.81</v>
      </c>
      <c r="AE213" s="340">
        <v>0.81</v>
      </c>
      <c r="AF213" s="341">
        <v>0.81</v>
      </c>
      <c r="AG213" s="340">
        <v>0.81</v>
      </c>
      <c r="AH213" s="341">
        <v>0.81</v>
      </c>
      <c r="AI213" s="340">
        <v>0.81</v>
      </c>
      <c r="AJ213" s="341">
        <v>0.81</v>
      </c>
      <c r="AK213" s="480">
        <v>0.81</v>
      </c>
      <c r="AL213" s="529">
        <v>0</v>
      </c>
      <c r="AM213" s="519">
        <f t="shared" si="127"/>
        <v>0</v>
      </c>
      <c r="AN213" s="579">
        <v>0</v>
      </c>
      <c r="AO213" s="496">
        <f t="shared" si="128"/>
        <v>0</v>
      </c>
      <c r="AP213" s="579">
        <v>280</v>
      </c>
      <c r="AQ213" s="622">
        <f t="shared" si="129"/>
        <v>207.19999999999982</v>
      </c>
      <c r="AR213" s="791">
        <v>1240</v>
      </c>
      <c r="AS213" s="777">
        <f t="shared" si="130"/>
        <v>0</v>
      </c>
      <c r="AT213" s="579">
        <v>160</v>
      </c>
      <c r="AU213" s="494">
        <f t="shared" si="131"/>
        <v>129.60000000000002</v>
      </c>
      <c r="AV213" s="407">
        <v>21</v>
      </c>
      <c r="AW213" s="390">
        <f t="shared" si="132"/>
        <v>17.010000000000002</v>
      </c>
      <c r="AX213" s="408">
        <v>293</v>
      </c>
      <c r="AY213" s="389">
        <f t="shared" si="133"/>
        <v>237.33</v>
      </c>
      <c r="AZ213" s="407">
        <v>312</v>
      </c>
      <c r="BA213" s="389">
        <f t="shared" si="134"/>
        <v>252.72000000000003</v>
      </c>
      <c r="BB213" s="594">
        <v>2813.5884662057101</v>
      </c>
      <c r="BC213" s="391">
        <f t="shared" si="135"/>
        <v>2279.0066576266254</v>
      </c>
      <c r="BD213" s="408">
        <v>3924.6758827492699</v>
      </c>
      <c r="BE213" s="389">
        <f t="shared" si="136"/>
        <v>3178.9874650269089</v>
      </c>
      <c r="BF213" s="407">
        <v>5435.3185374020804</v>
      </c>
      <c r="BG213" s="389">
        <f t="shared" si="137"/>
        <v>4402.6080152956856</v>
      </c>
      <c r="BH213" s="409">
        <v>3750.1466913296399</v>
      </c>
      <c r="BI213" s="392">
        <f t="shared" si="138"/>
        <v>3037.6188199770086</v>
      </c>
      <c r="BJ213" s="245" t="s">
        <v>428</v>
      </c>
      <c r="BK213" s="78"/>
      <c r="BL213" s="78" t="s">
        <v>92</v>
      </c>
      <c r="BM213" s="9" t="s">
        <v>319</v>
      </c>
    </row>
    <row r="214" spans="1:65" s="333" customFormat="1">
      <c r="A214" s="2" t="s">
        <v>383</v>
      </c>
      <c r="B214" s="9" t="s">
        <v>186</v>
      </c>
      <c r="C214" s="78" t="s">
        <v>30</v>
      </c>
      <c r="D214" s="1011"/>
      <c r="E214" s="999"/>
      <c r="F214" s="1001"/>
      <c r="G214" s="226">
        <v>2026</v>
      </c>
      <c r="H214" s="869" t="s">
        <v>445</v>
      </c>
      <c r="I214" s="282" t="s">
        <v>151</v>
      </c>
      <c r="J214" s="233">
        <v>16</v>
      </c>
      <c r="K214" s="321" t="s">
        <v>707</v>
      </c>
      <c r="L214" s="157" t="s">
        <v>150</v>
      </c>
      <c r="M214" s="446" t="s">
        <v>324</v>
      </c>
      <c r="N214" s="172">
        <v>9.0299999999999994</v>
      </c>
      <c r="O214" s="6">
        <v>9.0299999999999994</v>
      </c>
      <c r="P214" s="6">
        <v>9.0299999999999994</v>
      </c>
      <c r="Q214" s="6">
        <v>9.0299999999999994</v>
      </c>
      <c r="R214" s="6">
        <v>9.6</v>
      </c>
      <c r="S214" s="6">
        <v>9.6</v>
      </c>
      <c r="T214" s="6">
        <v>9.6</v>
      </c>
      <c r="U214" s="6">
        <v>9.6</v>
      </c>
      <c r="V214" s="6">
        <v>9.6</v>
      </c>
      <c r="W214" s="6">
        <v>9.6</v>
      </c>
      <c r="X214" s="6">
        <v>9.6</v>
      </c>
      <c r="Y214" s="700">
        <v>9.6</v>
      </c>
      <c r="Z214" s="195">
        <v>1.339999999999999</v>
      </c>
      <c r="AA214" s="340">
        <v>1.339999999999999</v>
      </c>
      <c r="AB214" s="341">
        <v>1.339999999999999</v>
      </c>
      <c r="AC214" s="340">
        <v>0</v>
      </c>
      <c r="AD214" s="341">
        <v>1.41</v>
      </c>
      <c r="AE214" s="340">
        <v>1.41</v>
      </c>
      <c r="AF214" s="341">
        <v>1.41</v>
      </c>
      <c r="AG214" s="340">
        <v>1.41</v>
      </c>
      <c r="AH214" s="341">
        <v>1.41</v>
      </c>
      <c r="AI214" s="340">
        <v>1.41</v>
      </c>
      <c r="AJ214" s="341">
        <v>1.41</v>
      </c>
      <c r="AK214" s="480">
        <v>1.41</v>
      </c>
      <c r="AL214" s="529">
        <v>0</v>
      </c>
      <c r="AM214" s="496">
        <f t="shared" si="127"/>
        <v>0</v>
      </c>
      <c r="AN214" s="579">
        <v>0</v>
      </c>
      <c r="AO214" s="494">
        <f t="shared" si="128"/>
        <v>0</v>
      </c>
      <c r="AP214" s="579">
        <v>230</v>
      </c>
      <c r="AQ214" s="621">
        <f t="shared" si="129"/>
        <v>308.19999999999976</v>
      </c>
      <c r="AR214" s="791">
        <v>160</v>
      </c>
      <c r="AS214" s="777">
        <f t="shared" si="130"/>
        <v>0</v>
      </c>
      <c r="AT214" s="579">
        <v>200</v>
      </c>
      <c r="AU214" s="496">
        <f t="shared" si="131"/>
        <v>282</v>
      </c>
      <c r="AV214" s="407">
        <v>134</v>
      </c>
      <c r="AW214" s="355">
        <f t="shared" si="132"/>
        <v>188.94</v>
      </c>
      <c r="AX214" s="408">
        <v>212</v>
      </c>
      <c r="AY214" s="127">
        <f t="shared" si="133"/>
        <v>298.91999999999996</v>
      </c>
      <c r="AZ214" s="407">
        <v>197</v>
      </c>
      <c r="BA214" s="127">
        <f t="shared" si="134"/>
        <v>277.77</v>
      </c>
      <c r="BB214" s="595">
        <v>738.22667554618101</v>
      </c>
      <c r="BC214" s="356">
        <f t="shared" si="135"/>
        <v>1040.8996125201152</v>
      </c>
      <c r="BD214" s="408">
        <v>1028.62851008761</v>
      </c>
      <c r="BE214" s="127">
        <f t="shared" si="136"/>
        <v>1450.36619922353</v>
      </c>
      <c r="BF214" s="407">
        <v>1425.7643560761101</v>
      </c>
      <c r="BG214" s="127">
        <f t="shared" si="137"/>
        <v>2010.3277420673151</v>
      </c>
      <c r="BH214" s="409">
        <v>987.45040675425798</v>
      </c>
      <c r="BI214" s="329">
        <f t="shared" si="138"/>
        <v>1392.3050735235038</v>
      </c>
      <c r="BJ214" s="245" t="s">
        <v>429</v>
      </c>
      <c r="BK214" s="78"/>
      <c r="BL214" s="78" t="s">
        <v>92</v>
      </c>
      <c r="BM214" s="9" t="s">
        <v>319</v>
      </c>
    </row>
    <row r="215" spans="1:65" ht="15" thickBot="1">
      <c r="A215" s="254" t="s">
        <v>383</v>
      </c>
      <c r="B215" s="10" t="s">
        <v>186</v>
      </c>
      <c r="C215" s="79" t="s">
        <v>30</v>
      </c>
      <c r="D215" s="1012"/>
      <c r="E215" s="1000"/>
      <c r="F215" s="1002"/>
      <c r="G215" s="203">
        <v>2026</v>
      </c>
      <c r="H215" s="866" t="s">
        <v>445</v>
      </c>
      <c r="I215" s="285" t="s">
        <v>151</v>
      </c>
      <c r="J215" s="237">
        <v>16</v>
      </c>
      <c r="K215" s="591" t="s">
        <v>448</v>
      </c>
      <c r="L215" s="157" t="s">
        <v>150</v>
      </c>
      <c r="M215" s="446" t="s">
        <v>324</v>
      </c>
      <c r="N215" s="250">
        <v>8.0299999999999994</v>
      </c>
      <c r="O215" s="83">
        <v>8.0299999999999994</v>
      </c>
      <c r="P215" s="83">
        <v>8.0299999999999994</v>
      </c>
      <c r="Q215" s="83">
        <v>8.0299999999999994</v>
      </c>
      <c r="R215" s="83">
        <v>8.6</v>
      </c>
      <c r="S215" s="83">
        <v>8.6</v>
      </c>
      <c r="T215" s="83">
        <v>8.6</v>
      </c>
      <c r="U215" s="83">
        <v>8.6</v>
      </c>
      <c r="V215" s="83">
        <v>8.6</v>
      </c>
      <c r="W215" s="83">
        <v>8.6</v>
      </c>
      <c r="X215" s="83">
        <v>8.6</v>
      </c>
      <c r="Y215" s="948">
        <v>8.6</v>
      </c>
      <c r="Z215" s="195">
        <v>0.73999999999999932</v>
      </c>
      <c r="AA215" s="340">
        <v>0.73999999999999932</v>
      </c>
      <c r="AB215" s="341">
        <v>0.73999999999999932</v>
      </c>
      <c r="AC215" s="340">
        <v>0</v>
      </c>
      <c r="AD215" s="341">
        <v>0.81</v>
      </c>
      <c r="AE215" s="340">
        <v>0.81</v>
      </c>
      <c r="AF215" s="341">
        <v>0.81</v>
      </c>
      <c r="AG215" s="340">
        <v>0.81</v>
      </c>
      <c r="AH215" s="341">
        <v>0.81</v>
      </c>
      <c r="AI215" s="340">
        <v>0.81</v>
      </c>
      <c r="AJ215" s="341">
        <v>0.81</v>
      </c>
      <c r="AK215" s="480">
        <v>0.81</v>
      </c>
      <c r="AL215" s="530">
        <v>0</v>
      </c>
      <c r="AM215" s="501">
        <f t="shared" si="127"/>
        <v>0</v>
      </c>
      <c r="AN215" s="580">
        <v>0</v>
      </c>
      <c r="AO215" s="507">
        <f t="shared" si="128"/>
        <v>0</v>
      </c>
      <c r="AP215" s="580">
        <v>0</v>
      </c>
      <c r="AQ215" s="618">
        <f t="shared" si="129"/>
        <v>0</v>
      </c>
      <c r="AR215" s="795">
        <v>195</v>
      </c>
      <c r="AS215" s="780">
        <f t="shared" si="130"/>
        <v>0</v>
      </c>
      <c r="AT215" s="580">
        <v>0</v>
      </c>
      <c r="AU215" s="501">
        <f t="shared" si="131"/>
        <v>0</v>
      </c>
      <c r="AV215" s="593">
        <v>59</v>
      </c>
      <c r="AW215" s="360">
        <f t="shared" si="132"/>
        <v>47.790000000000006</v>
      </c>
      <c r="AX215" s="596">
        <v>82</v>
      </c>
      <c r="AY215" s="131">
        <f t="shared" si="133"/>
        <v>66.42</v>
      </c>
      <c r="AZ215" s="593">
        <v>89</v>
      </c>
      <c r="BA215" s="131">
        <f t="shared" si="134"/>
        <v>72.09</v>
      </c>
      <c r="BB215" s="597">
        <v>494.49949550506801</v>
      </c>
      <c r="BC215" s="365">
        <f t="shared" si="135"/>
        <v>400.54459135910514</v>
      </c>
      <c r="BD215" s="596">
        <v>688.66007589904098</v>
      </c>
      <c r="BE215" s="131">
        <f t="shared" si="136"/>
        <v>557.81466147822323</v>
      </c>
      <c r="BF215" s="593">
        <v>954.93182462086702</v>
      </c>
      <c r="BG215" s="131">
        <f t="shared" si="137"/>
        <v>773.49477794290237</v>
      </c>
      <c r="BH215" s="600">
        <v>662.57296587557005</v>
      </c>
      <c r="BI215" s="460">
        <f t="shared" si="138"/>
        <v>536.68410235921181</v>
      </c>
      <c r="BJ215" s="245" t="s">
        <v>567</v>
      </c>
      <c r="BK215" s="78"/>
      <c r="BL215" s="78" t="s">
        <v>92</v>
      </c>
      <c r="BM215" s="9" t="s">
        <v>319</v>
      </c>
    </row>
    <row r="216" spans="1:65" ht="15" thickBot="1">
      <c r="A216" s="350" t="s">
        <v>383</v>
      </c>
      <c r="B216" s="22" t="s">
        <v>186</v>
      </c>
      <c r="C216" s="22" t="s">
        <v>30</v>
      </c>
      <c r="D216" s="1013" t="s">
        <v>229</v>
      </c>
      <c r="E216" s="1014" t="s">
        <v>146</v>
      </c>
      <c r="F216" s="1015" t="s">
        <v>187</v>
      </c>
      <c r="G216" s="455">
        <v>2022</v>
      </c>
      <c r="H216" s="870" t="s">
        <v>245</v>
      </c>
      <c r="I216" s="255" t="s">
        <v>151</v>
      </c>
      <c r="J216" s="66">
        <v>15</v>
      </c>
      <c r="K216" s="65" t="s">
        <v>246</v>
      </c>
      <c r="L216" s="65" t="s">
        <v>150</v>
      </c>
      <c r="M216" s="315" t="s">
        <v>320</v>
      </c>
      <c r="N216" s="84">
        <v>13.55</v>
      </c>
      <c r="O216" s="84">
        <v>13.55</v>
      </c>
      <c r="P216" s="84">
        <v>13.55</v>
      </c>
      <c r="Q216" s="84">
        <v>13.55</v>
      </c>
      <c r="R216" s="84">
        <v>13.55</v>
      </c>
      <c r="S216" s="84">
        <v>13.55</v>
      </c>
      <c r="T216" s="84">
        <v>13.55</v>
      </c>
      <c r="U216" s="84">
        <v>13.55</v>
      </c>
      <c r="V216" s="84">
        <v>13.55</v>
      </c>
      <c r="W216" s="84">
        <v>13.55</v>
      </c>
      <c r="X216" s="84">
        <v>13.55</v>
      </c>
      <c r="Y216" s="84">
        <v>13.55</v>
      </c>
      <c r="Z216" s="336">
        <v>4.4000000000000004</v>
      </c>
      <c r="AA216" s="95">
        <v>4.4000000000000004</v>
      </c>
      <c r="AB216" s="91">
        <v>4.4000000000000004</v>
      </c>
      <c r="AC216" s="91">
        <v>0</v>
      </c>
      <c r="AD216" s="91">
        <v>4.4000000000000004</v>
      </c>
      <c r="AE216" s="91">
        <v>4.4000000000000004</v>
      </c>
      <c r="AF216" s="91">
        <v>4.4000000000000004</v>
      </c>
      <c r="AG216" s="91">
        <v>4.4000000000000004</v>
      </c>
      <c r="AH216" s="91">
        <v>4.4000000000000004</v>
      </c>
      <c r="AI216" s="457">
        <v>4.4000000000000004</v>
      </c>
      <c r="AJ216" s="91">
        <v>4.4000000000000004</v>
      </c>
      <c r="AK216" s="717">
        <v>4.4000000000000004</v>
      </c>
      <c r="AL216" s="517">
        <v>0</v>
      </c>
      <c r="AM216" s="492">
        <f t="shared" si="127"/>
        <v>0</v>
      </c>
      <c r="AN216" s="556">
        <v>0</v>
      </c>
      <c r="AO216" s="492">
        <f t="shared" si="128"/>
        <v>0</v>
      </c>
      <c r="AP216" s="556">
        <v>0</v>
      </c>
      <c r="AQ216" s="651">
        <f t="shared" si="129"/>
        <v>0</v>
      </c>
      <c r="AR216" s="508">
        <v>0</v>
      </c>
      <c r="AS216" s="774">
        <f t="shared" si="130"/>
        <v>0</v>
      </c>
      <c r="AT216" s="556">
        <v>0</v>
      </c>
      <c r="AU216" s="492">
        <f t="shared" si="131"/>
        <v>0</v>
      </c>
      <c r="AV216" s="67">
        <v>0</v>
      </c>
      <c r="AW216" s="424">
        <f t="shared" si="132"/>
        <v>0</v>
      </c>
      <c r="AX216" s="121">
        <v>0</v>
      </c>
      <c r="AY216" s="423">
        <f t="shared" si="133"/>
        <v>0</v>
      </c>
      <c r="AZ216" s="67">
        <v>0</v>
      </c>
      <c r="BA216" s="423">
        <f t="shared" si="134"/>
        <v>0</v>
      </c>
      <c r="BB216" s="122">
        <v>0</v>
      </c>
      <c r="BC216" s="426">
        <f t="shared" si="135"/>
        <v>0</v>
      </c>
      <c r="BD216" s="121">
        <v>0</v>
      </c>
      <c r="BE216" s="423">
        <f t="shared" si="136"/>
        <v>0</v>
      </c>
      <c r="BF216" s="67">
        <v>0</v>
      </c>
      <c r="BG216" s="423">
        <f t="shared" si="137"/>
        <v>0</v>
      </c>
      <c r="BH216" s="122">
        <v>0</v>
      </c>
      <c r="BI216" s="458">
        <f t="shared" si="138"/>
        <v>0</v>
      </c>
      <c r="BJ216" s="177" t="s">
        <v>247</v>
      </c>
      <c r="BK216" s="78"/>
      <c r="BL216" s="78" t="s">
        <v>92</v>
      </c>
      <c r="BM216" s="9" t="s">
        <v>303</v>
      </c>
    </row>
    <row r="217" spans="1:65" ht="16.399999999999999" customHeight="1">
      <c r="A217" s="197" t="s">
        <v>383</v>
      </c>
      <c r="B217" s="9" t="s">
        <v>186</v>
      </c>
      <c r="C217" s="9" t="s">
        <v>30</v>
      </c>
      <c r="D217" s="1011"/>
      <c r="E217" s="999"/>
      <c r="F217" s="1001"/>
      <c r="G217" s="418">
        <v>2022</v>
      </c>
      <c r="H217" s="871" t="s">
        <v>245</v>
      </c>
      <c r="I217" s="257" t="s">
        <v>148</v>
      </c>
      <c r="J217" s="56">
        <v>15</v>
      </c>
      <c r="K217" s="74" t="s">
        <v>246</v>
      </c>
      <c r="L217" s="57" t="s">
        <v>150</v>
      </c>
      <c r="M217" s="316" t="s">
        <v>320</v>
      </c>
      <c r="N217" s="81">
        <v>6.4</v>
      </c>
      <c r="O217" s="81">
        <v>6.4</v>
      </c>
      <c r="P217" s="81">
        <v>6.4</v>
      </c>
      <c r="Q217" s="81">
        <v>6.4</v>
      </c>
      <c r="R217" s="81">
        <v>6.4</v>
      </c>
      <c r="S217" s="81">
        <v>6.4</v>
      </c>
      <c r="T217" s="81">
        <v>6.4</v>
      </c>
      <c r="U217" s="81">
        <v>6.4</v>
      </c>
      <c r="V217" s="81">
        <v>6.4</v>
      </c>
      <c r="W217" s="81">
        <v>6.4</v>
      </c>
      <c r="X217" s="81">
        <v>6.4</v>
      </c>
      <c r="Y217" s="81">
        <v>6.4</v>
      </c>
      <c r="Z217" s="195">
        <v>1.1900000000000004</v>
      </c>
      <c r="AA217" s="96">
        <v>1.19</v>
      </c>
      <c r="AB217" s="92">
        <v>1.19</v>
      </c>
      <c r="AC217" s="92">
        <v>0</v>
      </c>
      <c r="AD217" s="92">
        <v>1.19</v>
      </c>
      <c r="AE217" s="92">
        <v>1.19</v>
      </c>
      <c r="AF217" s="92">
        <v>1.19</v>
      </c>
      <c r="AG217" s="92">
        <v>1.19</v>
      </c>
      <c r="AH217" s="92">
        <v>1.19</v>
      </c>
      <c r="AI217" s="374">
        <v>1.19</v>
      </c>
      <c r="AJ217" s="92">
        <v>1.19</v>
      </c>
      <c r="AK217" s="674">
        <v>1.19</v>
      </c>
      <c r="AL217" s="518">
        <v>680</v>
      </c>
      <c r="AM217" s="519">
        <f t="shared" si="127"/>
        <v>809.20000000000027</v>
      </c>
      <c r="AN217" s="554">
        <v>40</v>
      </c>
      <c r="AO217" s="496">
        <f t="shared" si="128"/>
        <v>47.599999999999994</v>
      </c>
      <c r="AP217" s="554">
        <v>40</v>
      </c>
      <c r="AQ217" s="622">
        <f t="shared" si="129"/>
        <v>47.599999999999994</v>
      </c>
      <c r="AR217" s="510">
        <v>0</v>
      </c>
      <c r="AS217" s="777">
        <f t="shared" si="130"/>
        <v>0</v>
      </c>
      <c r="AT217" s="554">
        <v>0</v>
      </c>
      <c r="AU217" s="494">
        <f t="shared" si="131"/>
        <v>0</v>
      </c>
      <c r="AV217" s="58">
        <v>0</v>
      </c>
      <c r="AW217" s="390">
        <f t="shared" si="132"/>
        <v>0</v>
      </c>
      <c r="AX217" s="123">
        <v>0</v>
      </c>
      <c r="AY217" s="389">
        <f t="shared" si="133"/>
        <v>0</v>
      </c>
      <c r="AZ217" s="58">
        <v>0</v>
      </c>
      <c r="BA217" s="389">
        <f t="shared" si="134"/>
        <v>0</v>
      </c>
      <c r="BB217" s="125">
        <v>0</v>
      </c>
      <c r="BC217" s="356">
        <f t="shared" si="135"/>
        <v>0</v>
      </c>
      <c r="BD217" s="123">
        <v>0</v>
      </c>
      <c r="BE217" s="389">
        <f t="shared" si="136"/>
        <v>0</v>
      </c>
      <c r="BF217" s="58">
        <v>0</v>
      </c>
      <c r="BG217" s="389">
        <f t="shared" si="137"/>
        <v>0</v>
      </c>
      <c r="BH217" s="125">
        <v>0</v>
      </c>
      <c r="BI217" s="392">
        <f t="shared" si="138"/>
        <v>0</v>
      </c>
      <c r="BJ217" s="177" t="s">
        <v>248</v>
      </c>
      <c r="BK217" s="78"/>
      <c r="BL217" s="78" t="s">
        <v>92</v>
      </c>
      <c r="BM217" s="9" t="s">
        <v>304</v>
      </c>
    </row>
    <row r="218" spans="1:65" ht="16.399999999999999" customHeight="1" thickBot="1">
      <c r="A218" s="197" t="s">
        <v>720</v>
      </c>
      <c r="B218" s="9" t="s">
        <v>186</v>
      </c>
      <c r="C218" s="9" t="s">
        <v>30</v>
      </c>
      <c r="D218" s="998"/>
      <c r="E218" s="1000"/>
      <c r="F218" s="1002"/>
      <c r="G218" s="417">
        <v>2025</v>
      </c>
      <c r="H218" s="841" t="s">
        <v>245</v>
      </c>
      <c r="I218" s="256" t="s">
        <v>151</v>
      </c>
      <c r="J218" s="75">
        <v>15</v>
      </c>
      <c r="K218" s="1" t="s">
        <v>408</v>
      </c>
      <c r="L218" s="74" t="s">
        <v>160</v>
      </c>
      <c r="M218" s="316" t="s">
        <v>325</v>
      </c>
      <c r="N218" s="84">
        <v>13.55</v>
      </c>
      <c r="O218" s="84">
        <v>13.55</v>
      </c>
      <c r="P218" s="84">
        <v>13.55</v>
      </c>
      <c r="Q218" s="84">
        <v>13.55</v>
      </c>
      <c r="R218" s="84">
        <v>13.55</v>
      </c>
      <c r="S218" s="84">
        <v>13.55</v>
      </c>
      <c r="T218" s="84">
        <v>13.55</v>
      </c>
      <c r="U218" s="84">
        <v>13.55</v>
      </c>
      <c r="V218" s="84">
        <v>13.55</v>
      </c>
      <c r="W218" s="84">
        <v>13.55</v>
      </c>
      <c r="X218" s="84">
        <v>13.55</v>
      </c>
      <c r="Y218" s="84">
        <v>13.55</v>
      </c>
      <c r="Z218" s="224">
        <v>4.4000000000000004</v>
      </c>
      <c r="AA218" s="208">
        <v>4.4000000000000004</v>
      </c>
      <c r="AB218" s="98">
        <v>4.4000000000000004</v>
      </c>
      <c r="AC218" s="94">
        <v>0</v>
      </c>
      <c r="AD218" s="94">
        <v>4.4000000000000004</v>
      </c>
      <c r="AE218" s="94">
        <v>4.4000000000000004</v>
      </c>
      <c r="AF218" s="94">
        <v>4.4000000000000004</v>
      </c>
      <c r="AG218" s="94">
        <v>4.4000000000000004</v>
      </c>
      <c r="AH218" s="94">
        <v>4.4000000000000004</v>
      </c>
      <c r="AI218" s="100">
        <v>4.4000000000000004</v>
      </c>
      <c r="AJ218" s="94">
        <v>4.4000000000000004</v>
      </c>
      <c r="AK218" s="720">
        <v>4.4000000000000004</v>
      </c>
      <c r="AL218" s="531">
        <v>120</v>
      </c>
      <c r="AM218" s="496">
        <f t="shared" si="127"/>
        <v>528</v>
      </c>
      <c r="AN218" s="557">
        <v>120</v>
      </c>
      <c r="AO218" s="494">
        <f t="shared" si="128"/>
        <v>528</v>
      </c>
      <c r="AP218" s="557">
        <v>40</v>
      </c>
      <c r="AQ218" s="621">
        <f t="shared" si="129"/>
        <v>176</v>
      </c>
      <c r="AR218" s="509">
        <v>120</v>
      </c>
      <c r="AS218" s="775">
        <f t="shared" si="130"/>
        <v>0</v>
      </c>
      <c r="AT218" s="557">
        <v>360</v>
      </c>
      <c r="AU218" s="494">
        <f t="shared" si="131"/>
        <v>1584.0000000000002</v>
      </c>
      <c r="AV218" s="135">
        <v>77</v>
      </c>
      <c r="AW218" s="355">
        <f t="shared" si="132"/>
        <v>338.8</v>
      </c>
      <c r="AX218" s="134">
        <v>92</v>
      </c>
      <c r="AY218" s="127">
        <f t="shared" si="133"/>
        <v>404.8</v>
      </c>
      <c r="AZ218" s="135">
        <v>92</v>
      </c>
      <c r="BA218" s="127">
        <f t="shared" si="134"/>
        <v>404.8</v>
      </c>
      <c r="BB218" s="136">
        <v>0</v>
      </c>
      <c r="BC218" s="391">
        <f t="shared" si="135"/>
        <v>0</v>
      </c>
      <c r="BD218" s="134">
        <v>0</v>
      </c>
      <c r="BE218" s="127">
        <f t="shared" si="136"/>
        <v>0</v>
      </c>
      <c r="BF218" s="135">
        <v>0</v>
      </c>
      <c r="BG218" s="127">
        <f t="shared" si="137"/>
        <v>0</v>
      </c>
      <c r="BH218" s="136">
        <v>0</v>
      </c>
      <c r="BI218" s="329">
        <f t="shared" si="138"/>
        <v>0</v>
      </c>
      <c r="BJ218" s="177" t="s">
        <v>407</v>
      </c>
      <c r="BK218" s="78"/>
      <c r="BL218" s="78" t="s">
        <v>92</v>
      </c>
      <c r="BM218" s="9" t="s">
        <v>303</v>
      </c>
    </row>
    <row r="219" spans="1:65" s="333" customFormat="1" ht="16.399999999999999" customHeight="1">
      <c r="A219" s="197" t="s">
        <v>720</v>
      </c>
      <c r="B219" s="9" t="s">
        <v>186</v>
      </c>
      <c r="C219" s="9" t="s">
        <v>30</v>
      </c>
      <c r="D219" s="1011"/>
      <c r="E219" s="999"/>
      <c r="F219" s="1001"/>
      <c r="G219" s="418">
        <v>2025</v>
      </c>
      <c r="H219" s="851" t="s">
        <v>245</v>
      </c>
      <c r="I219" s="257" t="s">
        <v>148</v>
      </c>
      <c r="J219" s="56">
        <v>15</v>
      </c>
      <c r="K219" s="1" t="s">
        <v>153</v>
      </c>
      <c r="L219" s="57" t="s">
        <v>150</v>
      </c>
      <c r="M219" s="316" t="s">
        <v>394</v>
      </c>
      <c r="N219" s="303">
        <v>6.4</v>
      </c>
      <c r="O219" s="81">
        <v>6.4</v>
      </c>
      <c r="P219" s="81">
        <v>6.4</v>
      </c>
      <c r="Q219" s="81">
        <v>6.4</v>
      </c>
      <c r="R219" s="81">
        <v>6.4</v>
      </c>
      <c r="S219" s="81">
        <v>6.4</v>
      </c>
      <c r="T219" s="81">
        <v>6.4</v>
      </c>
      <c r="U219" s="81">
        <v>6.4</v>
      </c>
      <c r="V219" s="81">
        <v>6.4</v>
      </c>
      <c r="W219" s="81">
        <v>6.4</v>
      </c>
      <c r="X219" s="81">
        <v>6.4</v>
      </c>
      <c r="Y219" s="81">
        <v>6.4</v>
      </c>
      <c r="Z219" s="224">
        <v>1.1900000000000004</v>
      </c>
      <c r="AA219" s="170">
        <v>1.1900000000000004</v>
      </c>
      <c r="AB219" s="97">
        <v>1.19</v>
      </c>
      <c r="AC219" s="93">
        <v>0</v>
      </c>
      <c r="AD219" s="93">
        <v>1.19</v>
      </c>
      <c r="AE219" s="93">
        <v>1.19</v>
      </c>
      <c r="AF219" s="93">
        <v>1.19</v>
      </c>
      <c r="AG219" s="93">
        <v>1.19</v>
      </c>
      <c r="AH219" s="93">
        <v>1.19</v>
      </c>
      <c r="AI219" s="337">
        <v>1.19</v>
      </c>
      <c r="AJ219" s="93">
        <v>1.19</v>
      </c>
      <c r="AK219" s="721">
        <v>1.19</v>
      </c>
      <c r="AL219" s="518">
        <v>2958</v>
      </c>
      <c r="AM219" s="519">
        <f t="shared" si="127"/>
        <v>3520.0200000000013</v>
      </c>
      <c r="AN219" s="554">
        <v>1400</v>
      </c>
      <c r="AO219" s="496">
        <f t="shared" si="128"/>
        <v>1666.0000000000005</v>
      </c>
      <c r="AP219" s="554">
        <v>1040</v>
      </c>
      <c r="AQ219" s="620">
        <f t="shared" si="129"/>
        <v>1237.5999999999999</v>
      </c>
      <c r="AR219" s="510">
        <v>2280</v>
      </c>
      <c r="AS219" s="777">
        <f t="shared" si="130"/>
        <v>0</v>
      </c>
      <c r="AT219" s="554">
        <v>0</v>
      </c>
      <c r="AU219" s="496">
        <f t="shared" si="131"/>
        <v>0</v>
      </c>
      <c r="AV219" s="58">
        <v>0</v>
      </c>
      <c r="AW219" s="390">
        <f t="shared" si="132"/>
        <v>0</v>
      </c>
      <c r="AX219" s="123">
        <v>0</v>
      </c>
      <c r="AY219" s="389">
        <f t="shared" si="133"/>
        <v>0</v>
      </c>
      <c r="AZ219" s="58">
        <v>0</v>
      </c>
      <c r="BA219" s="389">
        <f t="shared" si="134"/>
        <v>0</v>
      </c>
      <c r="BB219" s="125">
        <v>0</v>
      </c>
      <c r="BC219" s="356">
        <f t="shared" si="135"/>
        <v>0</v>
      </c>
      <c r="BD219" s="123">
        <v>0</v>
      </c>
      <c r="BE219" s="389">
        <f t="shared" si="136"/>
        <v>0</v>
      </c>
      <c r="BF219" s="58">
        <v>0</v>
      </c>
      <c r="BG219" s="389">
        <f t="shared" si="137"/>
        <v>0</v>
      </c>
      <c r="BH219" s="125">
        <v>0</v>
      </c>
      <c r="BI219" s="392">
        <f t="shared" si="138"/>
        <v>0</v>
      </c>
      <c r="BJ219" s="177" t="s">
        <v>490</v>
      </c>
      <c r="BK219" s="78"/>
      <c r="BL219" s="78" t="s">
        <v>92</v>
      </c>
      <c r="BM219" s="9" t="s">
        <v>491</v>
      </c>
    </row>
    <row r="220" spans="1:65">
      <c r="A220" s="197" t="s">
        <v>383</v>
      </c>
      <c r="B220" s="9" t="s">
        <v>186</v>
      </c>
      <c r="C220" s="9" t="s">
        <v>30</v>
      </c>
      <c r="D220" s="1011"/>
      <c r="E220" s="999"/>
      <c r="F220" s="1001"/>
      <c r="G220" s="917">
        <v>2026</v>
      </c>
      <c r="H220" s="885" t="s">
        <v>691</v>
      </c>
      <c r="I220" s="918" t="s">
        <v>151</v>
      </c>
      <c r="J220" s="919">
        <v>14</v>
      </c>
      <c r="K220" s="920" t="s">
        <v>446</v>
      </c>
      <c r="L220" s="921" t="s">
        <v>150</v>
      </c>
      <c r="M220" s="922" t="s">
        <v>391</v>
      </c>
      <c r="N220" s="82">
        <v>8.4</v>
      </c>
      <c r="O220" s="82">
        <v>8.4</v>
      </c>
      <c r="P220" s="82">
        <v>8.4</v>
      </c>
      <c r="Q220" s="82">
        <v>8.4</v>
      </c>
      <c r="R220" s="82">
        <v>8.8000000000000007</v>
      </c>
      <c r="S220" s="82">
        <v>8.8000000000000007</v>
      </c>
      <c r="T220" s="82">
        <v>8.8000000000000007</v>
      </c>
      <c r="U220" s="82">
        <v>8.8000000000000007</v>
      </c>
      <c r="V220" s="82">
        <v>8.8000000000000007</v>
      </c>
      <c r="W220" s="82">
        <v>8.8000000000000007</v>
      </c>
      <c r="X220" s="82">
        <v>8.8000000000000007</v>
      </c>
      <c r="Y220" s="82">
        <v>8.8000000000000007</v>
      </c>
      <c r="Z220" s="195">
        <v>1.05</v>
      </c>
      <c r="AA220" s="379">
        <v>1.05</v>
      </c>
      <c r="AB220" s="379">
        <v>1.05</v>
      </c>
      <c r="AC220" s="378">
        <v>0</v>
      </c>
      <c r="AD220" s="379">
        <v>1.04</v>
      </c>
      <c r="AE220" s="379">
        <v>1.04</v>
      </c>
      <c r="AF220" s="379">
        <v>1.04</v>
      </c>
      <c r="AG220" s="379">
        <v>1.04</v>
      </c>
      <c r="AH220" s="379">
        <v>1.04</v>
      </c>
      <c r="AI220" s="379">
        <v>1.04</v>
      </c>
      <c r="AJ220" s="379">
        <v>1.04</v>
      </c>
      <c r="AK220" s="959">
        <v>1.04</v>
      </c>
      <c r="AL220" s="923">
        <v>0</v>
      </c>
      <c r="AM220" s="924">
        <f t="shared" ref="AM220" si="163">Z220*AL220</f>
        <v>0</v>
      </c>
      <c r="AN220" s="925">
        <v>0</v>
      </c>
      <c r="AO220" s="528">
        <f t="shared" ref="AO220" si="164">AA220*AN220</f>
        <v>0</v>
      </c>
      <c r="AP220" s="925">
        <v>0</v>
      </c>
      <c r="AQ220" s="926">
        <f t="shared" ref="AQ220" si="165">AB220*AP220</f>
        <v>0</v>
      </c>
      <c r="AR220" s="927">
        <v>0</v>
      </c>
      <c r="AS220" s="928">
        <f t="shared" ref="AS220:AS222" si="166">AC220*AR220</f>
        <v>0</v>
      </c>
      <c r="AT220" s="929">
        <v>40</v>
      </c>
      <c r="AU220" s="578">
        <f t="shared" ref="AU220:AU222" si="167">AD220*AT220</f>
        <v>41.6</v>
      </c>
      <c r="AV220" s="930">
        <v>0</v>
      </c>
      <c r="AW220" s="905">
        <f t="shared" ref="AW220:AW223" si="168">AE220*AV220</f>
        <v>0</v>
      </c>
      <c r="AX220" s="931">
        <v>0</v>
      </c>
      <c r="AY220" s="907">
        <f t="shared" ref="AY220:AY222" si="169">AF220*AX220</f>
        <v>0</v>
      </c>
      <c r="AZ220" s="930">
        <v>0</v>
      </c>
      <c r="BA220" s="907">
        <f t="shared" ref="BA220" si="170">AG220*AZ220</f>
        <v>0</v>
      </c>
      <c r="BB220" s="932">
        <v>0</v>
      </c>
      <c r="BC220" s="487">
        <f t="shared" ref="BC220:BC222" si="171">AH220*BB220</f>
        <v>0</v>
      </c>
      <c r="BD220" s="931">
        <v>0</v>
      </c>
      <c r="BE220" s="907">
        <f t="shared" ref="BE220" si="172">AI220*BD220</f>
        <v>0</v>
      </c>
      <c r="BF220" s="930">
        <v>0</v>
      </c>
      <c r="BG220" s="907">
        <f t="shared" ref="BG220" si="173">AJ220*BF220</f>
        <v>0</v>
      </c>
      <c r="BH220" s="136">
        <v>0</v>
      </c>
      <c r="BI220" s="934">
        <f t="shared" ref="BI220" si="174">AK220*BH220</f>
        <v>0</v>
      </c>
      <c r="BJ220" s="729" t="s">
        <v>692</v>
      </c>
      <c r="BK220" s="898"/>
      <c r="BL220" s="898" t="s">
        <v>92</v>
      </c>
      <c r="BM220" s="727" t="s">
        <v>694</v>
      </c>
    </row>
    <row r="221" spans="1:65" s="333" customFormat="1" ht="16.399999999999999" customHeight="1">
      <c r="A221" s="197" t="s">
        <v>720</v>
      </c>
      <c r="B221" s="9" t="s">
        <v>186</v>
      </c>
      <c r="C221" s="9" t="s">
        <v>30</v>
      </c>
      <c r="D221" s="1011"/>
      <c r="E221" s="999"/>
      <c r="F221" s="1001"/>
      <c r="G221" s="917">
        <v>2026</v>
      </c>
      <c r="H221" s="885" t="s">
        <v>691</v>
      </c>
      <c r="I221" s="918" t="s">
        <v>151</v>
      </c>
      <c r="J221" s="919">
        <v>14</v>
      </c>
      <c r="K221" s="920" t="s">
        <v>583</v>
      </c>
      <c r="L221" s="921" t="s">
        <v>150</v>
      </c>
      <c r="M221" s="922" t="s">
        <v>391</v>
      </c>
      <c r="N221" s="82">
        <v>9.4</v>
      </c>
      <c r="O221" s="82">
        <v>9.4</v>
      </c>
      <c r="P221" s="82">
        <v>9.4</v>
      </c>
      <c r="Q221" s="82">
        <v>9.4</v>
      </c>
      <c r="R221" s="82">
        <v>9.6</v>
      </c>
      <c r="S221" s="82">
        <v>9.6</v>
      </c>
      <c r="T221" s="82">
        <v>9.6</v>
      </c>
      <c r="U221" s="82">
        <v>9.6</v>
      </c>
      <c r="V221" s="82">
        <v>9.6</v>
      </c>
      <c r="W221" s="82">
        <v>9.6</v>
      </c>
      <c r="X221" s="82">
        <v>9.6</v>
      </c>
      <c r="Y221" s="82">
        <v>9.6</v>
      </c>
      <c r="Z221" s="195">
        <v>1.65</v>
      </c>
      <c r="AA221" s="379">
        <v>1.65</v>
      </c>
      <c r="AB221" s="379">
        <v>1.65</v>
      </c>
      <c r="AC221" s="378">
        <v>0</v>
      </c>
      <c r="AD221" s="379">
        <v>1.44</v>
      </c>
      <c r="AE221" s="379">
        <v>1.44</v>
      </c>
      <c r="AF221" s="379">
        <v>1.44</v>
      </c>
      <c r="AG221" s="379">
        <v>1.44</v>
      </c>
      <c r="AH221" s="379">
        <v>1.44</v>
      </c>
      <c r="AI221" s="379">
        <v>1.44</v>
      </c>
      <c r="AJ221" s="379">
        <v>1.44</v>
      </c>
      <c r="AK221" s="379">
        <v>1.44</v>
      </c>
      <c r="AL221" s="923">
        <v>0</v>
      </c>
      <c r="AM221" s="924">
        <f t="shared" ref="AM221" si="175">Z221*AL221</f>
        <v>0</v>
      </c>
      <c r="AN221" s="925">
        <v>0</v>
      </c>
      <c r="AO221" s="528">
        <f t="shared" ref="AO221" si="176">AA221*AN221</f>
        <v>0</v>
      </c>
      <c r="AP221" s="925">
        <v>0</v>
      </c>
      <c r="AQ221" s="926">
        <f t="shared" ref="AQ221" si="177">AB221*AP221</f>
        <v>0</v>
      </c>
      <c r="AR221" s="927">
        <v>0</v>
      </c>
      <c r="AS221" s="928">
        <f t="shared" ref="AS221:AS223" si="178">AC221*AR221</f>
        <v>0</v>
      </c>
      <c r="AT221" s="929">
        <v>2320</v>
      </c>
      <c r="AU221" s="578">
        <f t="shared" ref="AU221:AU223" si="179">AD221*AT221</f>
        <v>3340.7999999999997</v>
      </c>
      <c r="AV221" s="930">
        <v>0</v>
      </c>
      <c r="AW221" s="905">
        <f t="shared" ref="AW221" si="180">AE221*AV221</f>
        <v>0</v>
      </c>
      <c r="AX221" s="931">
        <v>0</v>
      </c>
      <c r="AY221" s="907">
        <f t="shared" ref="AY221:AY223" si="181">AF221*AX221</f>
        <v>0</v>
      </c>
      <c r="AZ221" s="930">
        <v>0</v>
      </c>
      <c r="BA221" s="907">
        <f t="shared" ref="BA221" si="182">AG221*AZ221</f>
        <v>0</v>
      </c>
      <c r="BB221" s="932">
        <v>0</v>
      </c>
      <c r="BC221" s="487">
        <f t="shared" ref="BC221:BC223" si="183">AH221*BB221</f>
        <v>0</v>
      </c>
      <c r="BD221" s="931">
        <v>0</v>
      </c>
      <c r="BE221" s="907">
        <f t="shared" ref="BE221" si="184">AI221*BD221</f>
        <v>0</v>
      </c>
      <c r="BF221" s="930">
        <v>0</v>
      </c>
      <c r="BG221" s="907">
        <f t="shared" ref="BG221" si="185">AJ221*BF221</f>
        <v>0</v>
      </c>
      <c r="BH221" s="125">
        <v>0</v>
      </c>
      <c r="BI221" s="934">
        <f t="shared" ref="BI221" si="186">AK221*BH221</f>
        <v>0</v>
      </c>
      <c r="BJ221" s="729" t="s">
        <v>693</v>
      </c>
      <c r="BK221" s="898"/>
      <c r="BL221" s="898" t="s">
        <v>92</v>
      </c>
      <c r="BM221" s="727" t="s">
        <v>695</v>
      </c>
    </row>
    <row r="222" spans="1:65" s="333" customFormat="1" ht="16.399999999999999" customHeight="1">
      <c r="A222" s="197" t="s">
        <v>720</v>
      </c>
      <c r="B222" s="9" t="s">
        <v>186</v>
      </c>
      <c r="C222" s="9" t="s">
        <v>30</v>
      </c>
      <c r="D222" s="1011"/>
      <c r="E222" s="999"/>
      <c r="F222" s="1001"/>
      <c r="G222" s="665"/>
      <c r="H222" s="872"/>
      <c r="I222" s="615"/>
      <c r="J222" s="616"/>
      <c r="L222" s="617"/>
      <c r="M222" s="60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224"/>
      <c r="AA222" s="170"/>
      <c r="AB222" s="170"/>
      <c r="AC222" s="170"/>
      <c r="AD222" s="170"/>
      <c r="AE222" s="170"/>
      <c r="AF222" s="170"/>
      <c r="AG222" s="170"/>
      <c r="AH222" s="170"/>
      <c r="AI222" s="170"/>
      <c r="AJ222" s="170"/>
      <c r="AK222" s="958"/>
      <c r="AL222" s="927">
        <v>0</v>
      </c>
      <c r="AM222" s="928">
        <f t="shared" ref="AM222:AM223" si="187">W222*AL222</f>
        <v>0</v>
      </c>
      <c r="AN222" s="563">
        <v>0</v>
      </c>
      <c r="AO222" s="578">
        <f t="shared" ref="AO222:AO223" si="188">X222*AN222</f>
        <v>0</v>
      </c>
      <c r="AP222" s="929">
        <v>0</v>
      </c>
      <c r="AQ222" s="661">
        <f t="shared" ref="AQ222:AQ223" si="189">Y222*AP222</f>
        <v>0</v>
      </c>
      <c r="AR222" s="927">
        <v>0</v>
      </c>
      <c r="AS222" s="928">
        <f t="shared" si="166"/>
        <v>0</v>
      </c>
      <c r="AT222" s="563">
        <v>0</v>
      </c>
      <c r="AU222" s="578">
        <f t="shared" si="167"/>
        <v>0</v>
      </c>
      <c r="AV222" s="930">
        <v>0</v>
      </c>
      <c r="AW222" s="905">
        <f t="shared" si="168"/>
        <v>0</v>
      </c>
      <c r="AX222" s="931">
        <v>0</v>
      </c>
      <c r="AY222" s="907">
        <f t="shared" si="169"/>
        <v>0</v>
      </c>
      <c r="AZ222" s="930">
        <v>0</v>
      </c>
      <c r="BA222" s="389">
        <f t="shared" si="134"/>
        <v>0</v>
      </c>
      <c r="BB222" s="932">
        <v>0</v>
      </c>
      <c r="BC222" s="487">
        <f t="shared" si="171"/>
        <v>0</v>
      </c>
      <c r="BD222" s="931">
        <v>0</v>
      </c>
      <c r="BE222" s="907">
        <f t="shared" ref="BE222:BE223" si="190">AL222*BD222</f>
        <v>0</v>
      </c>
      <c r="BF222" s="930">
        <v>0</v>
      </c>
      <c r="BG222" s="389">
        <f t="shared" ref="BG222:BG223" si="191">AM222*BF222</f>
        <v>0</v>
      </c>
      <c r="BH222" s="932">
        <v>0</v>
      </c>
      <c r="BI222" s="487">
        <f t="shared" ref="BI222:BI223" si="192">AN222*BH222</f>
        <v>0</v>
      </c>
      <c r="BJ222" s="479"/>
      <c r="BK222" s="334"/>
      <c r="BL222" s="78"/>
      <c r="BM222" s="9"/>
    </row>
    <row r="223" spans="1:65" ht="16.399999999999999" customHeight="1" thickBot="1">
      <c r="A223" s="351" t="s">
        <v>383</v>
      </c>
      <c r="B223" s="10" t="s">
        <v>186</v>
      </c>
      <c r="C223" s="10" t="s">
        <v>30</v>
      </c>
      <c r="D223" s="1012"/>
      <c r="E223" s="1000"/>
      <c r="F223" s="1002"/>
      <c r="G223" s="666"/>
      <c r="H223" s="875"/>
      <c r="I223" s="610"/>
      <c r="J223" s="611"/>
      <c r="K223" s="612"/>
      <c r="L223" s="613"/>
      <c r="M223" s="614"/>
      <c r="Y223" s="6"/>
      <c r="Z223" s="224"/>
      <c r="AA223" s="170"/>
      <c r="AB223" s="170"/>
      <c r="AC223" s="170"/>
      <c r="AD223" s="170"/>
      <c r="AE223" s="170"/>
      <c r="AF223" s="170"/>
      <c r="AG223" s="170"/>
      <c r="AH223" s="170"/>
      <c r="AI223" s="170"/>
      <c r="AJ223" s="170"/>
      <c r="AK223" s="958"/>
      <c r="AL223" s="927">
        <v>0</v>
      </c>
      <c r="AM223" s="928">
        <f t="shared" si="187"/>
        <v>0</v>
      </c>
      <c r="AN223" s="564">
        <v>0</v>
      </c>
      <c r="AO223" s="578">
        <f t="shared" si="188"/>
        <v>0</v>
      </c>
      <c r="AP223" s="929">
        <v>0</v>
      </c>
      <c r="AQ223" s="661">
        <f t="shared" si="189"/>
        <v>0</v>
      </c>
      <c r="AR223" s="927">
        <v>0</v>
      </c>
      <c r="AS223" s="928">
        <f t="shared" si="178"/>
        <v>0</v>
      </c>
      <c r="AT223" s="564">
        <v>0</v>
      </c>
      <c r="AU223" s="578">
        <f t="shared" si="179"/>
        <v>0</v>
      </c>
      <c r="AV223" s="930">
        <v>0</v>
      </c>
      <c r="AW223" s="905">
        <f t="shared" si="168"/>
        <v>0</v>
      </c>
      <c r="AX223" s="931">
        <v>0</v>
      </c>
      <c r="AY223" s="907">
        <f t="shared" si="181"/>
        <v>0</v>
      </c>
      <c r="AZ223" s="930">
        <v>0</v>
      </c>
      <c r="BA223" s="907">
        <f t="shared" si="134"/>
        <v>0</v>
      </c>
      <c r="BB223" s="932">
        <v>0</v>
      </c>
      <c r="BC223" s="487">
        <f t="shared" si="183"/>
        <v>0</v>
      </c>
      <c r="BD223" s="931">
        <v>0</v>
      </c>
      <c r="BE223" s="907">
        <f t="shared" si="190"/>
        <v>0</v>
      </c>
      <c r="BF223" s="930">
        <v>0</v>
      </c>
      <c r="BG223" s="907">
        <f t="shared" si="191"/>
        <v>0</v>
      </c>
      <c r="BH223" s="932">
        <v>0</v>
      </c>
      <c r="BI223" s="487">
        <f t="shared" si="192"/>
        <v>0</v>
      </c>
      <c r="BJ223" s="479"/>
      <c r="BK223" s="334"/>
      <c r="BL223" s="78"/>
      <c r="BM223" s="9"/>
    </row>
    <row r="224" spans="1:65" ht="16.399999999999999" customHeight="1">
      <c r="A224" s="350" t="s">
        <v>383</v>
      </c>
      <c r="B224" s="22" t="s">
        <v>186</v>
      </c>
      <c r="C224" s="22" t="s">
        <v>30</v>
      </c>
      <c r="D224" s="997" t="s">
        <v>397</v>
      </c>
      <c r="E224" s="999" t="s">
        <v>226</v>
      </c>
      <c r="F224" s="1006" t="s">
        <v>398</v>
      </c>
      <c r="G224" s="414">
        <v>2024</v>
      </c>
      <c r="H224" s="876" t="s">
        <v>249</v>
      </c>
      <c r="I224" s="279" t="s">
        <v>151</v>
      </c>
      <c r="J224" s="63">
        <v>16</v>
      </c>
      <c r="K224" s="229" t="s">
        <v>268</v>
      </c>
      <c r="L224" s="62" t="s">
        <v>191</v>
      </c>
      <c r="M224" s="609" t="s">
        <v>322</v>
      </c>
      <c r="N224" s="448">
        <v>8.8000000000000007</v>
      </c>
      <c r="O224" s="171">
        <v>8.8000000000000007</v>
      </c>
      <c r="P224" s="171">
        <v>7.65</v>
      </c>
      <c r="Q224" s="171">
        <v>7.65</v>
      </c>
      <c r="R224" s="171">
        <v>8.35</v>
      </c>
      <c r="S224" s="171">
        <v>8.35</v>
      </c>
      <c r="T224" s="171">
        <v>8.35</v>
      </c>
      <c r="U224" s="171">
        <v>8.35</v>
      </c>
      <c r="V224" s="171">
        <v>8.35</v>
      </c>
      <c r="W224" s="171">
        <v>8.35</v>
      </c>
      <c r="X224" s="171">
        <v>8.35</v>
      </c>
      <c r="Y224" s="449">
        <v>8.35</v>
      </c>
      <c r="Z224" s="336">
        <v>1.0200000000000005</v>
      </c>
      <c r="AA224" s="381">
        <v>1.02</v>
      </c>
      <c r="AB224" s="708">
        <v>0.35</v>
      </c>
      <c r="AC224" s="381">
        <v>0</v>
      </c>
      <c r="AD224" s="708">
        <v>0.55000000000000004</v>
      </c>
      <c r="AE224" s="381">
        <v>0.55000000000000004</v>
      </c>
      <c r="AF224" s="708">
        <v>0.55000000000000004</v>
      </c>
      <c r="AG224" s="381">
        <v>0.55000000000000004</v>
      </c>
      <c r="AH224" s="708">
        <v>0.55000000000000004</v>
      </c>
      <c r="AI224" s="381">
        <v>0.55000000000000004</v>
      </c>
      <c r="AJ224" s="708">
        <v>0.55000000000000004</v>
      </c>
      <c r="AK224" s="477">
        <v>0.55000000000000004</v>
      </c>
      <c r="AL224" s="532">
        <v>3491</v>
      </c>
      <c r="AM224" s="520">
        <f t="shared" si="127"/>
        <v>3560.8200000000015</v>
      </c>
      <c r="AN224" s="581">
        <v>2319</v>
      </c>
      <c r="AO224" s="520">
        <f t="shared" si="128"/>
        <v>2365.38</v>
      </c>
      <c r="AP224" s="662">
        <v>160</v>
      </c>
      <c r="AQ224" s="660">
        <f t="shared" si="129"/>
        <v>56</v>
      </c>
      <c r="AR224" s="783">
        <v>40</v>
      </c>
      <c r="AS224" s="797">
        <f t="shared" si="130"/>
        <v>0</v>
      </c>
      <c r="AT224" s="562">
        <v>80</v>
      </c>
      <c r="AU224" s="520">
        <f t="shared" si="131"/>
        <v>44</v>
      </c>
      <c r="AV224" s="369">
        <v>1188</v>
      </c>
      <c r="AW224" s="463">
        <f t="shared" si="132"/>
        <v>653.40000000000009</v>
      </c>
      <c r="AX224" s="186">
        <v>730</v>
      </c>
      <c r="AY224" s="462">
        <f t="shared" si="133"/>
        <v>401.50000000000006</v>
      </c>
      <c r="AZ224" s="185">
        <v>197</v>
      </c>
      <c r="BA224" s="462">
        <f t="shared" si="134"/>
        <v>108.35000000000001</v>
      </c>
      <c r="BB224" s="489">
        <v>204.74601799374599</v>
      </c>
      <c r="BC224" s="490">
        <f t="shared" si="135"/>
        <v>112.61030989656031</v>
      </c>
      <c r="BD224" s="186">
        <v>0</v>
      </c>
      <c r="BE224" s="462">
        <f t="shared" si="136"/>
        <v>0</v>
      </c>
      <c r="BF224" s="185">
        <v>0</v>
      </c>
      <c r="BG224" s="462">
        <f t="shared" si="137"/>
        <v>0</v>
      </c>
      <c r="BH224" s="489">
        <v>0</v>
      </c>
      <c r="BI224" s="491">
        <f t="shared" si="138"/>
        <v>0</v>
      </c>
      <c r="BJ224" s="245" t="s">
        <v>568</v>
      </c>
      <c r="BK224" s="78"/>
      <c r="BL224" s="78" t="s">
        <v>92</v>
      </c>
      <c r="BM224" s="9" t="s">
        <v>305</v>
      </c>
    </row>
    <row r="225" spans="1:65" ht="16.399999999999999" customHeight="1">
      <c r="A225" s="197" t="s">
        <v>383</v>
      </c>
      <c r="B225" s="9" t="s">
        <v>186</v>
      </c>
      <c r="C225" s="9" t="s">
        <v>30</v>
      </c>
      <c r="D225" s="997"/>
      <c r="E225" s="999"/>
      <c r="F225" s="1006"/>
      <c r="G225" s="414">
        <v>2024</v>
      </c>
      <c r="H225" s="877" t="s">
        <v>249</v>
      </c>
      <c r="I225" s="279" t="s">
        <v>151</v>
      </c>
      <c r="J225" s="63">
        <v>16</v>
      </c>
      <c r="K225" s="229" t="s">
        <v>250</v>
      </c>
      <c r="L225" s="62" t="s">
        <v>191</v>
      </c>
      <c r="M225" s="169" t="s">
        <v>322</v>
      </c>
      <c r="N225" s="173">
        <v>10.8</v>
      </c>
      <c r="O225" s="84">
        <v>10.8</v>
      </c>
      <c r="P225" s="84">
        <v>8.9</v>
      </c>
      <c r="Q225" s="84">
        <v>8.9</v>
      </c>
      <c r="R225" s="6">
        <v>10.3</v>
      </c>
      <c r="S225" s="6">
        <v>10.3</v>
      </c>
      <c r="T225" s="6">
        <v>10.3</v>
      </c>
      <c r="U225" s="6">
        <v>10.3</v>
      </c>
      <c r="V225" s="6">
        <v>10.3</v>
      </c>
      <c r="W225" s="6">
        <v>10.3</v>
      </c>
      <c r="X225" s="6">
        <v>10.3</v>
      </c>
      <c r="Y225" s="700">
        <v>10.3</v>
      </c>
      <c r="Z225" s="195">
        <v>2.12</v>
      </c>
      <c r="AA225" s="340">
        <v>2.12</v>
      </c>
      <c r="AB225" s="341">
        <v>1.1000000000000001</v>
      </c>
      <c r="AC225" s="340">
        <v>0</v>
      </c>
      <c r="AD225" s="341">
        <v>2</v>
      </c>
      <c r="AE225" s="340">
        <v>2</v>
      </c>
      <c r="AF225" s="341">
        <v>2</v>
      </c>
      <c r="AG225" s="340">
        <v>2</v>
      </c>
      <c r="AH225" s="341">
        <v>2</v>
      </c>
      <c r="AI225" s="340">
        <v>2</v>
      </c>
      <c r="AJ225" s="341">
        <v>2</v>
      </c>
      <c r="AK225" s="480">
        <v>2</v>
      </c>
      <c r="AL225" s="533">
        <v>1790</v>
      </c>
      <c r="AM225" s="496">
        <f t="shared" si="127"/>
        <v>3794.8</v>
      </c>
      <c r="AN225" s="565">
        <v>3599</v>
      </c>
      <c r="AO225" s="496">
        <f t="shared" si="128"/>
        <v>7629.88</v>
      </c>
      <c r="AP225" s="579">
        <v>2720</v>
      </c>
      <c r="AQ225" s="621">
        <f t="shared" si="129"/>
        <v>2992.0000000000005</v>
      </c>
      <c r="AR225" s="509">
        <v>556</v>
      </c>
      <c r="AS225" s="777">
        <f t="shared" si="130"/>
        <v>0</v>
      </c>
      <c r="AT225" s="557">
        <v>279</v>
      </c>
      <c r="AU225" s="496">
        <f t="shared" si="131"/>
        <v>558</v>
      </c>
      <c r="AV225" s="76">
        <v>112</v>
      </c>
      <c r="AW225" s="390">
        <f t="shared" si="132"/>
        <v>224</v>
      </c>
      <c r="AX225" s="134">
        <v>148</v>
      </c>
      <c r="AY225" s="389">
        <f t="shared" si="133"/>
        <v>296</v>
      </c>
      <c r="AZ225" s="135">
        <v>8</v>
      </c>
      <c r="BA225" s="389">
        <f t="shared" si="134"/>
        <v>16</v>
      </c>
      <c r="BB225" s="144">
        <v>0</v>
      </c>
      <c r="BC225" s="391">
        <f t="shared" si="135"/>
        <v>0</v>
      </c>
      <c r="BD225" s="134">
        <v>0</v>
      </c>
      <c r="BE225" s="389">
        <f t="shared" si="136"/>
        <v>0</v>
      </c>
      <c r="BF225" s="135">
        <v>0</v>
      </c>
      <c r="BG225" s="389">
        <f t="shared" si="137"/>
        <v>0</v>
      </c>
      <c r="BH225" s="144">
        <v>0</v>
      </c>
      <c r="BI225" s="392">
        <f t="shared" si="138"/>
        <v>0</v>
      </c>
      <c r="BJ225" s="245" t="s">
        <v>569</v>
      </c>
      <c r="BK225" s="78"/>
      <c r="BL225" s="78" t="s">
        <v>92</v>
      </c>
      <c r="BM225" s="9" t="s">
        <v>306</v>
      </c>
    </row>
    <row r="226" spans="1:65" ht="16.399999999999999" customHeight="1">
      <c r="A226" s="197" t="s">
        <v>383</v>
      </c>
      <c r="B226" s="9" t="s">
        <v>186</v>
      </c>
      <c r="C226" s="9" t="s">
        <v>30</v>
      </c>
      <c r="D226" s="997"/>
      <c r="E226" s="999"/>
      <c r="F226" s="1006"/>
      <c r="G226" s="414">
        <v>2025</v>
      </c>
      <c r="H226" s="878" t="s">
        <v>494</v>
      </c>
      <c r="I226" s="279" t="s">
        <v>151</v>
      </c>
      <c r="J226" s="63">
        <v>16</v>
      </c>
      <c r="K226" s="180" t="s">
        <v>153</v>
      </c>
      <c r="L226" s="207" t="s">
        <v>191</v>
      </c>
      <c r="M226" s="169" t="s">
        <v>322</v>
      </c>
      <c r="N226" s="303">
        <v>8.8000000000000007</v>
      </c>
      <c r="O226" s="81">
        <v>8.8000000000000007</v>
      </c>
      <c r="P226" s="81">
        <v>7.65</v>
      </c>
      <c r="Q226" s="81">
        <v>7.65</v>
      </c>
      <c r="R226" s="6">
        <v>8.35</v>
      </c>
      <c r="S226" s="6">
        <v>8.35</v>
      </c>
      <c r="T226" s="6">
        <v>8.35</v>
      </c>
      <c r="U226" s="6">
        <v>8.35</v>
      </c>
      <c r="V226" s="6">
        <v>8.35</v>
      </c>
      <c r="W226" s="6">
        <v>8.35</v>
      </c>
      <c r="X226" s="6">
        <v>8.35</v>
      </c>
      <c r="Y226" s="700">
        <v>8.35</v>
      </c>
      <c r="Z226" s="195">
        <v>1.0200000000000005</v>
      </c>
      <c r="AA226" s="340">
        <v>1.02</v>
      </c>
      <c r="AB226" s="341">
        <v>0.35</v>
      </c>
      <c r="AC226" s="340">
        <v>0</v>
      </c>
      <c r="AD226" s="341">
        <v>0.55000000000000004</v>
      </c>
      <c r="AE226" s="340">
        <v>0.55000000000000004</v>
      </c>
      <c r="AF226" s="341">
        <v>0.55000000000000004</v>
      </c>
      <c r="AG226" s="340">
        <v>0.55000000000000004</v>
      </c>
      <c r="AH226" s="341">
        <v>0.55000000000000004</v>
      </c>
      <c r="AI226" s="340">
        <v>0.55000000000000004</v>
      </c>
      <c r="AJ226" s="341">
        <v>0.55000000000000004</v>
      </c>
      <c r="AK226" s="480">
        <v>0.55000000000000004</v>
      </c>
      <c r="AL226" s="533">
        <v>11640</v>
      </c>
      <c r="AM226" s="519">
        <f t="shared" si="127"/>
        <v>11872.800000000005</v>
      </c>
      <c r="AN226" s="565">
        <v>6996</v>
      </c>
      <c r="AO226" s="496">
        <f t="shared" si="128"/>
        <v>7135.92</v>
      </c>
      <c r="AP226" s="579">
        <v>1554</v>
      </c>
      <c r="AQ226" s="622">
        <f t="shared" si="129"/>
        <v>543.9</v>
      </c>
      <c r="AR226" s="510">
        <v>4396</v>
      </c>
      <c r="AS226" s="777">
        <f t="shared" si="130"/>
        <v>0</v>
      </c>
      <c r="AT226" s="554">
        <v>3398</v>
      </c>
      <c r="AU226" s="496">
        <f t="shared" si="131"/>
        <v>1868.9</v>
      </c>
      <c r="AV226" s="59">
        <v>0</v>
      </c>
      <c r="AW226" s="390">
        <f t="shared" si="132"/>
        <v>0</v>
      </c>
      <c r="AX226" s="123">
        <v>0</v>
      </c>
      <c r="AY226" s="389">
        <f t="shared" si="133"/>
        <v>0</v>
      </c>
      <c r="AZ226" s="58">
        <v>0</v>
      </c>
      <c r="BA226" s="389">
        <f t="shared" si="134"/>
        <v>0</v>
      </c>
      <c r="BB226" s="124">
        <v>0</v>
      </c>
      <c r="BC226" s="356">
        <f t="shared" si="135"/>
        <v>0</v>
      </c>
      <c r="BD226" s="123">
        <v>0</v>
      </c>
      <c r="BE226" s="389">
        <f t="shared" si="136"/>
        <v>0</v>
      </c>
      <c r="BF226" s="58">
        <v>0</v>
      </c>
      <c r="BG226" s="389">
        <f t="shared" si="137"/>
        <v>0</v>
      </c>
      <c r="BH226" s="124">
        <v>0</v>
      </c>
      <c r="BI226" s="392">
        <f t="shared" si="138"/>
        <v>0</v>
      </c>
      <c r="BJ226" s="245" t="s">
        <v>570</v>
      </c>
      <c r="BK226" s="78" t="s">
        <v>219</v>
      </c>
      <c r="BL226" s="78" t="s">
        <v>92</v>
      </c>
      <c r="BM226" s="9" t="s">
        <v>305</v>
      </c>
    </row>
    <row r="227" spans="1:65" ht="16.399999999999999" customHeight="1">
      <c r="A227" s="197" t="s">
        <v>383</v>
      </c>
      <c r="B227" s="9" t="s">
        <v>186</v>
      </c>
      <c r="C227" s="9" t="s">
        <v>30</v>
      </c>
      <c r="D227" s="997"/>
      <c r="E227" s="999"/>
      <c r="F227" s="1006"/>
      <c r="G227" s="414">
        <v>2025</v>
      </c>
      <c r="H227" s="878" t="s">
        <v>399</v>
      </c>
      <c r="I227" s="279" t="s">
        <v>151</v>
      </c>
      <c r="J227" s="63">
        <v>16</v>
      </c>
      <c r="K227" s="180" t="s">
        <v>153</v>
      </c>
      <c r="L227" s="207" t="s">
        <v>150</v>
      </c>
      <c r="M227" s="169" t="s">
        <v>400</v>
      </c>
      <c r="N227" s="193">
        <v>8.5500000000000007</v>
      </c>
      <c r="O227" s="82">
        <v>8.5500000000000007</v>
      </c>
      <c r="P227" s="82">
        <v>8.4</v>
      </c>
      <c r="Q227" s="82">
        <v>8.4</v>
      </c>
      <c r="R227" s="82">
        <v>9</v>
      </c>
      <c r="S227" s="82">
        <v>9</v>
      </c>
      <c r="T227" s="82">
        <v>9</v>
      </c>
      <c r="U227" s="82">
        <v>9</v>
      </c>
      <c r="V227" s="82">
        <v>9</v>
      </c>
      <c r="W227" s="82">
        <v>9</v>
      </c>
      <c r="X227" s="82">
        <v>9</v>
      </c>
      <c r="Y227" s="957">
        <v>9</v>
      </c>
      <c r="Z227" s="195">
        <v>1.23</v>
      </c>
      <c r="AA227" s="379">
        <v>1.23</v>
      </c>
      <c r="AB227" s="379">
        <v>1.08</v>
      </c>
      <c r="AC227" s="379">
        <v>0</v>
      </c>
      <c r="AD227" s="379">
        <v>1.18</v>
      </c>
      <c r="AE227" s="379">
        <v>1.18</v>
      </c>
      <c r="AF227" s="379">
        <v>1.18</v>
      </c>
      <c r="AG227" s="379">
        <v>1.18</v>
      </c>
      <c r="AH227" s="379">
        <v>1.18</v>
      </c>
      <c r="AI227" s="379">
        <v>1.18</v>
      </c>
      <c r="AJ227" s="379">
        <v>1.18</v>
      </c>
      <c r="AK227" s="959">
        <v>1.18</v>
      </c>
      <c r="AL227" s="533">
        <v>6840</v>
      </c>
      <c r="AM227" s="496">
        <f t="shared" si="127"/>
        <v>8413.2000000000007</v>
      </c>
      <c r="AN227" s="565">
        <v>3393</v>
      </c>
      <c r="AO227" s="494">
        <f t="shared" si="128"/>
        <v>4173.3900000000003</v>
      </c>
      <c r="AP227" s="579">
        <v>760</v>
      </c>
      <c r="AQ227" s="621">
        <f t="shared" si="129"/>
        <v>820.80000000000007</v>
      </c>
      <c r="AR227" s="510">
        <v>2120</v>
      </c>
      <c r="AS227" s="775">
        <f t="shared" si="130"/>
        <v>0</v>
      </c>
      <c r="AT227" s="554">
        <v>2600</v>
      </c>
      <c r="AU227" s="494">
        <f t="shared" si="131"/>
        <v>3068</v>
      </c>
      <c r="AV227" s="59">
        <v>2697</v>
      </c>
      <c r="AW227" s="355">
        <f t="shared" si="132"/>
        <v>3182.46</v>
      </c>
      <c r="AX227" s="123">
        <v>3133</v>
      </c>
      <c r="AY227" s="127">
        <f t="shared" si="133"/>
        <v>3696.9399999999996</v>
      </c>
      <c r="AZ227" s="58">
        <v>3373</v>
      </c>
      <c r="BA227" s="127">
        <f t="shared" si="134"/>
        <v>3980.14</v>
      </c>
      <c r="BB227" s="124">
        <v>434.56200000000001</v>
      </c>
      <c r="BC227" s="391">
        <f t="shared" si="135"/>
        <v>512.78315999999995</v>
      </c>
      <c r="BD227" s="123">
        <v>0</v>
      </c>
      <c r="BE227" s="127">
        <f t="shared" si="136"/>
        <v>0</v>
      </c>
      <c r="BF227" s="58">
        <v>0</v>
      </c>
      <c r="BG227" s="127">
        <f t="shared" si="137"/>
        <v>0</v>
      </c>
      <c r="BH227" s="124">
        <v>0</v>
      </c>
      <c r="BI227" s="329">
        <f t="shared" si="138"/>
        <v>0</v>
      </c>
      <c r="BJ227" s="245" t="s">
        <v>571</v>
      </c>
      <c r="BK227" s="78"/>
      <c r="BL227" s="78" t="s">
        <v>92</v>
      </c>
      <c r="BM227" s="9" t="s">
        <v>308</v>
      </c>
    </row>
    <row r="228" spans="1:65" ht="17" customHeight="1">
      <c r="A228" s="197" t="s">
        <v>383</v>
      </c>
      <c r="B228" s="9" t="s">
        <v>186</v>
      </c>
      <c r="C228" s="9" t="s">
        <v>30</v>
      </c>
      <c r="D228" s="997"/>
      <c r="E228" s="999"/>
      <c r="F228" s="1006"/>
      <c r="G228" s="415">
        <v>2025</v>
      </c>
      <c r="H228" s="879" t="s">
        <v>251</v>
      </c>
      <c r="I228" s="279" t="s">
        <v>151</v>
      </c>
      <c r="J228" s="63">
        <v>16</v>
      </c>
      <c r="K228" s="207" t="s">
        <v>153</v>
      </c>
      <c r="L228" s="74" t="s">
        <v>150</v>
      </c>
      <c r="M228" s="169" t="s">
        <v>323</v>
      </c>
      <c r="N228" s="193">
        <v>8.5500000000000007</v>
      </c>
      <c r="O228" s="82">
        <v>8.5500000000000007</v>
      </c>
      <c r="P228" s="82">
        <v>8.4</v>
      </c>
      <c r="Q228" s="82">
        <v>8.4</v>
      </c>
      <c r="R228" s="82">
        <v>9</v>
      </c>
      <c r="S228" s="82">
        <v>9</v>
      </c>
      <c r="T228" s="82">
        <v>9</v>
      </c>
      <c r="U228" s="82">
        <v>9</v>
      </c>
      <c r="V228" s="82">
        <v>9</v>
      </c>
      <c r="W228" s="82">
        <v>9</v>
      </c>
      <c r="X228" s="82">
        <v>9</v>
      </c>
      <c r="Y228" s="957">
        <v>9</v>
      </c>
      <c r="Z228" s="195">
        <v>1.1299999999999999</v>
      </c>
      <c r="AA228" s="379">
        <v>1.1299999999999999</v>
      </c>
      <c r="AB228" s="379">
        <v>0.98</v>
      </c>
      <c r="AC228" s="380">
        <v>0</v>
      </c>
      <c r="AD228" s="379">
        <v>1.08</v>
      </c>
      <c r="AE228" s="380">
        <v>1.08</v>
      </c>
      <c r="AF228" s="379">
        <v>1.08</v>
      </c>
      <c r="AG228" s="380">
        <v>1.08</v>
      </c>
      <c r="AH228" s="379">
        <v>1.08</v>
      </c>
      <c r="AI228" s="380">
        <v>1.08</v>
      </c>
      <c r="AJ228" s="379">
        <v>1.08</v>
      </c>
      <c r="AK228" s="715">
        <v>1.08</v>
      </c>
      <c r="AL228" s="531">
        <v>80</v>
      </c>
      <c r="AM228" s="519">
        <f t="shared" ref="AM228:AM262" si="193">Z228*AL228</f>
        <v>90.399999999999991</v>
      </c>
      <c r="AN228" s="582">
        <v>120</v>
      </c>
      <c r="AO228" s="496">
        <f t="shared" ref="AO228:AO262" si="194">AA228*AN228</f>
        <v>135.6</v>
      </c>
      <c r="AP228" s="582">
        <v>960</v>
      </c>
      <c r="AQ228" s="620">
        <f t="shared" ref="AQ228:AQ262" si="195">AB228*AP228</f>
        <v>940.8</v>
      </c>
      <c r="AR228" s="510">
        <v>1680</v>
      </c>
      <c r="AS228" s="777">
        <f t="shared" ref="AS228:AS262" si="196">AC228*AR228</f>
        <v>0</v>
      </c>
      <c r="AT228" s="590">
        <v>5400</v>
      </c>
      <c r="AU228" s="496">
        <f t="shared" ref="AU228:AU262" si="197">AD228*AT228</f>
        <v>5832</v>
      </c>
      <c r="AV228" s="64">
        <v>1240</v>
      </c>
      <c r="AW228" s="355">
        <f t="shared" ref="AW228:AW262" si="198">AE228*AV228</f>
        <v>1339.2</v>
      </c>
      <c r="AX228" s="123">
        <v>1924</v>
      </c>
      <c r="AY228" s="389">
        <f t="shared" ref="AY228:AY262" si="199">AF228*AX228</f>
        <v>2077.92</v>
      </c>
      <c r="AZ228" s="64">
        <v>425</v>
      </c>
      <c r="BA228" s="389">
        <f t="shared" ref="BA228:BA262" si="200">AG228*AZ228</f>
        <v>459.00000000000006</v>
      </c>
      <c r="BB228" s="145">
        <v>218.4468</v>
      </c>
      <c r="BC228" s="356">
        <f t="shared" ref="BC228:BC262" si="201">AH228*BB228</f>
        <v>235.92254400000002</v>
      </c>
      <c r="BD228" s="123">
        <v>0</v>
      </c>
      <c r="BE228" s="389">
        <f t="shared" ref="BE228:BE262" si="202">AI228*BD228</f>
        <v>0</v>
      </c>
      <c r="BF228" s="64">
        <v>0</v>
      </c>
      <c r="BG228" s="389">
        <f t="shared" ref="BG228:BG262" si="203">AJ228*BF228</f>
        <v>0</v>
      </c>
      <c r="BH228" s="145">
        <v>0</v>
      </c>
      <c r="BI228" s="392">
        <f t="shared" ref="BI228:BI262" si="204">AK228*BH228</f>
        <v>0</v>
      </c>
      <c r="BJ228" s="177" t="s">
        <v>252</v>
      </c>
      <c r="BK228" s="78" t="s">
        <v>253</v>
      </c>
      <c r="BL228" s="78" t="s">
        <v>92</v>
      </c>
      <c r="BM228" s="9" t="s">
        <v>307</v>
      </c>
    </row>
    <row r="229" spans="1:65" ht="16" customHeight="1">
      <c r="A229" s="197" t="s">
        <v>383</v>
      </c>
      <c r="B229" s="9" t="s">
        <v>186</v>
      </c>
      <c r="C229" s="9" t="s">
        <v>30</v>
      </c>
      <c r="D229" s="997"/>
      <c r="E229" s="999"/>
      <c r="F229" s="1006"/>
      <c r="G229" s="413">
        <v>2025</v>
      </c>
      <c r="H229" s="879" t="s">
        <v>254</v>
      </c>
      <c r="I229" s="282" t="s">
        <v>151</v>
      </c>
      <c r="J229" s="221">
        <v>16</v>
      </c>
      <c r="K229" s="222" t="s">
        <v>153</v>
      </c>
      <c r="L229" s="157" t="s">
        <v>150</v>
      </c>
      <c r="M229" s="316" t="s">
        <v>320</v>
      </c>
      <c r="N229" s="193">
        <v>8.5500000000000007</v>
      </c>
      <c r="O229" s="82">
        <v>8.5500000000000007</v>
      </c>
      <c r="P229" s="82">
        <v>8.4</v>
      </c>
      <c r="Q229" s="82">
        <v>8.4</v>
      </c>
      <c r="R229" s="82">
        <v>9</v>
      </c>
      <c r="S229" s="82">
        <v>9</v>
      </c>
      <c r="T229" s="82">
        <v>9</v>
      </c>
      <c r="U229" s="82">
        <v>9</v>
      </c>
      <c r="V229" s="82">
        <v>9</v>
      </c>
      <c r="W229" s="82">
        <v>9</v>
      </c>
      <c r="X229" s="82">
        <v>9</v>
      </c>
      <c r="Y229" s="957">
        <v>9</v>
      </c>
      <c r="Z229" s="195">
        <v>1.23</v>
      </c>
      <c r="AA229" s="379">
        <v>1.23</v>
      </c>
      <c r="AB229" s="379">
        <v>1.08</v>
      </c>
      <c r="AC229" s="379">
        <v>0</v>
      </c>
      <c r="AD229" s="379">
        <v>1.18</v>
      </c>
      <c r="AE229" s="379">
        <v>1.18</v>
      </c>
      <c r="AF229" s="379">
        <v>1.18</v>
      </c>
      <c r="AG229" s="379">
        <v>1.18</v>
      </c>
      <c r="AH229" s="379">
        <v>1.18</v>
      </c>
      <c r="AI229" s="379">
        <v>1.18</v>
      </c>
      <c r="AJ229" s="379">
        <v>1.18</v>
      </c>
      <c r="AK229" s="959">
        <v>1.18</v>
      </c>
      <c r="AL229" s="515">
        <v>8702</v>
      </c>
      <c r="AM229" s="496">
        <f t="shared" si="193"/>
        <v>10703.46</v>
      </c>
      <c r="AN229" s="583">
        <v>4806</v>
      </c>
      <c r="AO229" s="494">
        <f t="shared" si="194"/>
        <v>5911.38</v>
      </c>
      <c r="AP229" s="583">
        <v>3981</v>
      </c>
      <c r="AQ229" s="621">
        <f t="shared" si="195"/>
        <v>4299.4800000000005</v>
      </c>
      <c r="AR229" s="511">
        <v>4960</v>
      </c>
      <c r="AS229" s="777">
        <f t="shared" si="196"/>
        <v>0</v>
      </c>
      <c r="AT229" s="583">
        <v>3920</v>
      </c>
      <c r="AU229" s="494">
        <f t="shared" si="197"/>
        <v>4625.5999999999995</v>
      </c>
      <c r="AV229" s="154">
        <v>3623</v>
      </c>
      <c r="AW229" s="390">
        <f t="shared" si="198"/>
        <v>4275.1399999999994</v>
      </c>
      <c r="AX229" s="116">
        <v>2806</v>
      </c>
      <c r="AY229" s="389">
        <f t="shared" si="199"/>
        <v>3311.08</v>
      </c>
      <c r="AZ229" s="154">
        <v>3493</v>
      </c>
      <c r="BA229" s="127">
        <f t="shared" si="200"/>
        <v>4121.74</v>
      </c>
      <c r="BB229" s="155">
        <v>5885.6016</v>
      </c>
      <c r="BC229" s="356">
        <f t="shared" si="201"/>
        <v>6945.0098879999996</v>
      </c>
      <c r="BD229" s="116">
        <v>7804.86</v>
      </c>
      <c r="BE229" s="127">
        <f t="shared" si="202"/>
        <v>9209.7347999999984</v>
      </c>
      <c r="BF229" s="154">
        <v>7327.9391999999998</v>
      </c>
      <c r="BG229" s="127">
        <f t="shared" si="203"/>
        <v>8646.9682560000001</v>
      </c>
      <c r="BH229" s="155">
        <v>7141.7808000000005</v>
      </c>
      <c r="BI229" s="329">
        <f t="shared" si="204"/>
        <v>8427.3013439999995</v>
      </c>
      <c r="BJ229" s="177" t="s">
        <v>572</v>
      </c>
      <c r="BK229" s="78"/>
      <c r="BL229" s="78" t="s">
        <v>92</v>
      </c>
      <c r="BM229" s="9" t="s">
        <v>309</v>
      </c>
    </row>
    <row r="230" spans="1:65" ht="16" customHeight="1">
      <c r="A230" s="197" t="s">
        <v>383</v>
      </c>
      <c r="B230" s="9" t="s">
        <v>186</v>
      </c>
      <c r="C230" s="9" t="s">
        <v>30</v>
      </c>
      <c r="D230" s="997"/>
      <c r="E230" s="999"/>
      <c r="F230" s="1006"/>
      <c r="G230" s="413">
        <v>2025</v>
      </c>
      <c r="H230" s="879" t="s">
        <v>336</v>
      </c>
      <c r="I230" s="282" t="s">
        <v>151</v>
      </c>
      <c r="J230" s="221">
        <v>16</v>
      </c>
      <c r="K230" s="222" t="s">
        <v>153</v>
      </c>
      <c r="L230" s="157" t="s">
        <v>150</v>
      </c>
      <c r="M230" s="316" t="s">
        <v>320</v>
      </c>
      <c r="N230" s="193">
        <v>8.5500000000000007</v>
      </c>
      <c r="O230" s="82">
        <v>8.5500000000000007</v>
      </c>
      <c r="P230" s="82">
        <v>8.4</v>
      </c>
      <c r="Q230" s="82">
        <v>8.4</v>
      </c>
      <c r="R230" s="82">
        <v>9</v>
      </c>
      <c r="S230" s="82">
        <v>9</v>
      </c>
      <c r="T230" s="82">
        <v>9</v>
      </c>
      <c r="U230" s="82">
        <v>9</v>
      </c>
      <c r="V230" s="82">
        <v>9</v>
      </c>
      <c r="W230" s="82">
        <v>9</v>
      </c>
      <c r="X230" s="82">
        <v>9</v>
      </c>
      <c r="Y230" s="957">
        <v>9</v>
      </c>
      <c r="Z230" s="195">
        <v>1.1299999999999999</v>
      </c>
      <c r="AA230" s="379">
        <v>1.1299999999999999</v>
      </c>
      <c r="AB230" s="379">
        <v>0.98</v>
      </c>
      <c r="AC230" s="379">
        <v>0</v>
      </c>
      <c r="AD230" s="379">
        <v>1.08</v>
      </c>
      <c r="AE230" s="379">
        <v>1.08</v>
      </c>
      <c r="AF230" s="379">
        <v>1.08</v>
      </c>
      <c r="AG230" s="379">
        <v>1.08</v>
      </c>
      <c r="AH230" s="379">
        <v>1.08</v>
      </c>
      <c r="AI230" s="379">
        <v>1.08</v>
      </c>
      <c r="AJ230" s="379">
        <v>1.08</v>
      </c>
      <c r="AK230" s="379">
        <v>1.08</v>
      </c>
      <c r="AL230" s="515">
        <v>40</v>
      </c>
      <c r="AM230" s="519">
        <f t="shared" si="193"/>
        <v>45.199999999999996</v>
      </c>
      <c r="AN230" s="583">
        <v>40</v>
      </c>
      <c r="AO230" s="496">
        <f t="shared" si="194"/>
        <v>45.199999999999996</v>
      </c>
      <c r="AP230" s="583">
        <v>0</v>
      </c>
      <c r="AQ230" s="622">
        <f t="shared" si="195"/>
        <v>0</v>
      </c>
      <c r="AR230" s="511">
        <v>0</v>
      </c>
      <c r="AS230" s="775">
        <f t="shared" si="196"/>
        <v>0</v>
      </c>
      <c r="AT230" s="994">
        <v>36.299999999999997</v>
      </c>
      <c r="AU230" s="494">
        <f t="shared" si="197"/>
        <v>39.204000000000001</v>
      </c>
      <c r="AV230" s="154">
        <v>0</v>
      </c>
      <c r="AW230" s="390">
        <f t="shared" si="198"/>
        <v>0</v>
      </c>
      <c r="AX230" s="116">
        <v>0</v>
      </c>
      <c r="AY230" s="389">
        <f t="shared" si="199"/>
        <v>0</v>
      </c>
      <c r="AZ230" s="154">
        <v>0</v>
      </c>
      <c r="BA230" s="389">
        <f t="shared" si="200"/>
        <v>0</v>
      </c>
      <c r="BB230" s="155">
        <v>104.47635908142</v>
      </c>
      <c r="BC230" s="391">
        <f t="shared" si="201"/>
        <v>112.83446780793361</v>
      </c>
      <c r="BD230" s="116">
        <v>88.384133611690999</v>
      </c>
      <c r="BE230" s="389">
        <f t="shared" si="202"/>
        <v>95.454864300626284</v>
      </c>
      <c r="BF230" s="154">
        <v>84.861394572025105</v>
      </c>
      <c r="BG230" s="389">
        <f t="shared" si="203"/>
        <v>91.650306137787126</v>
      </c>
      <c r="BH230" s="155">
        <v>131.515590814196</v>
      </c>
      <c r="BI230" s="392">
        <f t="shared" si="204"/>
        <v>142.03683807933169</v>
      </c>
      <c r="BJ230" s="177" t="s">
        <v>573</v>
      </c>
      <c r="BK230" s="78"/>
      <c r="BL230" s="78" t="s">
        <v>92</v>
      </c>
      <c r="BM230" s="9" t="s">
        <v>423</v>
      </c>
    </row>
    <row r="231" spans="1:65" ht="16.399999999999999" customHeight="1">
      <c r="A231" s="197" t="s">
        <v>383</v>
      </c>
      <c r="B231" s="9" t="s">
        <v>186</v>
      </c>
      <c r="C231" s="9" t="s">
        <v>30</v>
      </c>
      <c r="D231" s="997"/>
      <c r="E231" s="999"/>
      <c r="F231" s="1006"/>
      <c r="G231" s="643">
        <v>2026</v>
      </c>
      <c r="H231" s="880" t="s">
        <v>336</v>
      </c>
      <c r="I231" s="644" t="s">
        <v>151</v>
      </c>
      <c r="J231" s="645">
        <v>16</v>
      </c>
      <c r="K231" s="646" t="s">
        <v>153</v>
      </c>
      <c r="L231" s="625" t="s">
        <v>719</v>
      </c>
      <c r="M231" s="608" t="s">
        <v>325</v>
      </c>
      <c r="N231" s="193">
        <v>8.5500000000000007</v>
      </c>
      <c r="O231" s="82">
        <v>8.5500000000000007</v>
      </c>
      <c r="P231" s="82">
        <v>8.4</v>
      </c>
      <c r="Q231" s="82">
        <v>8.4</v>
      </c>
      <c r="R231" s="82">
        <v>9</v>
      </c>
      <c r="S231" s="82">
        <v>9</v>
      </c>
      <c r="T231" s="82">
        <v>9</v>
      </c>
      <c r="U231" s="82">
        <v>9</v>
      </c>
      <c r="V231" s="82">
        <v>9</v>
      </c>
      <c r="W231" s="82">
        <v>9</v>
      </c>
      <c r="X231" s="82">
        <v>9</v>
      </c>
      <c r="Y231" s="957">
        <v>9</v>
      </c>
      <c r="Z231" s="195">
        <v>1.1299999999999999</v>
      </c>
      <c r="AA231" s="379">
        <v>1.1299999999999999</v>
      </c>
      <c r="AB231" s="379">
        <v>0.98</v>
      </c>
      <c r="AC231" s="379">
        <v>0</v>
      </c>
      <c r="AD231" s="379">
        <v>1.08</v>
      </c>
      <c r="AE231" s="379">
        <v>1.08</v>
      </c>
      <c r="AF231" s="379">
        <v>1.08</v>
      </c>
      <c r="AG231" s="379">
        <v>1.08</v>
      </c>
      <c r="AH231" s="379">
        <v>1.08</v>
      </c>
      <c r="AI231" s="379">
        <v>1.08</v>
      </c>
      <c r="AJ231" s="379">
        <v>1.08</v>
      </c>
      <c r="AK231" s="379">
        <v>1.08</v>
      </c>
      <c r="AL231" s="515">
        <v>0</v>
      </c>
      <c r="AM231" s="519">
        <f t="shared" si="193"/>
        <v>0</v>
      </c>
      <c r="AN231" s="583">
        <v>0</v>
      </c>
      <c r="AO231" s="496">
        <f t="shared" si="194"/>
        <v>0</v>
      </c>
      <c r="AP231" s="583">
        <v>0</v>
      </c>
      <c r="AQ231" s="622">
        <f t="shared" si="195"/>
        <v>0</v>
      </c>
      <c r="AR231" s="511">
        <v>160</v>
      </c>
      <c r="AS231" s="775">
        <f t="shared" si="196"/>
        <v>0</v>
      </c>
      <c r="AT231" s="994">
        <f>170+108.89</f>
        <v>278.89</v>
      </c>
      <c r="AU231" s="494">
        <f t="shared" si="197"/>
        <v>301.20120000000003</v>
      </c>
      <c r="AV231" s="154">
        <v>1131</v>
      </c>
      <c r="AW231" s="390">
        <f t="shared" si="198"/>
        <v>1221.48</v>
      </c>
      <c r="AX231" s="116">
        <v>1890</v>
      </c>
      <c r="AY231" s="389">
        <f t="shared" si="199"/>
        <v>2041.2</v>
      </c>
      <c r="AZ231" s="154">
        <v>976</v>
      </c>
      <c r="BA231" s="389">
        <f t="shared" si="200"/>
        <v>1054.0800000000002</v>
      </c>
      <c r="BB231" s="155">
        <v>0</v>
      </c>
      <c r="BC231" s="391">
        <f t="shared" si="201"/>
        <v>0</v>
      </c>
      <c r="BD231" s="116">
        <v>0</v>
      </c>
      <c r="BE231" s="389">
        <f t="shared" si="202"/>
        <v>0</v>
      </c>
      <c r="BF231" s="154">
        <v>0</v>
      </c>
      <c r="BG231" s="389">
        <f t="shared" si="203"/>
        <v>0</v>
      </c>
      <c r="BH231" s="155">
        <v>0</v>
      </c>
      <c r="BI231" s="392">
        <f t="shared" si="204"/>
        <v>0</v>
      </c>
      <c r="BJ231" s="479" t="s">
        <v>513</v>
      </c>
      <c r="BK231" s="78"/>
      <c r="BL231" s="78" t="s">
        <v>92</v>
      </c>
      <c r="BM231" s="9" t="s">
        <v>423</v>
      </c>
    </row>
    <row r="232" spans="1:65" ht="16.399999999999999" customHeight="1">
      <c r="A232" s="197" t="s">
        <v>383</v>
      </c>
      <c r="B232" s="9" t="s">
        <v>186</v>
      </c>
      <c r="C232" s="9" t="s">
        <v>30</v>
      </c>
      <c r="D232" s="997"/>
      <c r="E232" s="999"/>
      <c r="F232" s="1006"/>
      <c r="G232" s="412">
        <v>2025</v>
      </c>
      <c r="H232" s="879" t="s">
        <v>401</v>
      </c>
      <c r="I232" s="284" t="s">
        <v>151</v>
      </c>
      <c r="J232" s="233">
        <v>14</v>
      </c>
      <c r="K232" s="180" t="s">
        <v>267</v>
      </c>
      <c r="L232" s="157" t="s">
        <v>150</v>
      </c>
      <c r="M232" s="316" t="s">
        <v>394</v>
      </c>
      <c r="N232" s="172">
        <v>10.75</v>
      </c>
      <c r="O232" s="6">
        <v>10.75</v>
      </c>
      <c r="P232" s="6">
        <v>10.75</v>
      </c>
      <c r="Q232" s="6">
        <v>10.75</v>
      </c>
      <c r="R232" s="6">
        <v>11.45</v>
      </c>
      <c r="S232" s="6">
        <v>11.45</v>
      </c>
      <c r="T232" s="6">
        <v>11.45</v>
      </c>
      <c r="U232" s="6">
        <v>11.45</v>
      </c>
      <c r="V232" s="6">
        <v>11.45</v>
      </c>
      <c r="W232" s="6">
        <v>11.45</v>
      </c>
      <c r="X232" s="6">
        <v>11.45</v>
      </c>
      <c r="Y232" s="700">
        <v>11.45</v>
      </c>
      <c r="Z232" s="195">
        <v>2.2599999999999998</v>
      </c>
      <c r="AA232" s="340">
        <v>2.2599999999999998</v>
      </c>
      <c r="AB232" s="340">
        <v>2.2599999999999998</v>
      </c>
      <c r="AC232" s="341">
        <v>0</v>
      </c>
      <c r="AD232" s="340">
        <v>2.5499999999999998</v>
      </c>
      <c r="AE232" s="341">
        <v>2.5499999999999998</v>
      </c>
      <c r="AF232" s="340">
        <v>2.5499999999999998</v>
      </c>
      <c r="AG232" s="341">
        <v>2.5499999999999998</v>
      </c>
      <c r="AH232" s="340">
        <v>2.5499999999999998</v>
      </c>
      <c r="AI232" s="341">
        <v>2.5499999999999998</v>
      </c>
      <c r="AJ232" s="340">
        <v>2.5499999999999998</v>
      </c>
      <c r="AK232" s="719">
        <v>2.5499999999999998</v>
      </c>
      <c r="AL232" s="534">
        <v>1732</v>
      </c>
      <c r="AM232" s="496">
        <f t="shared" si="193"/>
        <v>3914.3199999999997</v>
      </c>
      <c r="AN232" s="584">
        <v>2088</v>
      </c>
      <c r="AO232" s="494">
        <f t="shared" si="194"/>
        <v>4718.8799999999992</v>
      </c>
      <c r="AP232" s="585">
        <v>917</v>
      </c>
      <c r="AQ232" s="621">
        <f t="shared" si="195"/>
        <v>2072.4199999999996</v>
      </c>
      <c r="AR232" s="495">
        <v>1760</v>
      </c>
      <c r="AS232" s="777">
        <f t="shared" si="196"/>
        <v>0</v>
      </c>
      <c r="AT232" s="585">
        <v>646</v>
      </c>
      <c r="AU232" s="496">
        <f t="shared" si="197"/>
        <v>1647.3</v>
      </c>
      <c r="AV232" s="232">
        <v>171</v>
      </c>
      <c r="AW232" s="355">
        <f t="shared" si="198"/>
        <v>436.04999999999995</v>
      </c>
      <c r="AX232" s="150">
        <v>286</v>
      </c>
      <c r="AY232" s="127">
        <f t="shared" si="199"/>
        <v>729.3</v>
      </c>
      <c r="AZ232" s="232">
        <v>337</v>
      </c>
      <c r="BA232" s="127">
        <f t="shared" si="200"/>
        <v>859.34999999999991</v>
      </c>
      <c r="BB232" s="234">
        <v>520.37461153100901</v>
      </c>
      <c r="BC232" s="356">
        <f t="shared" si="201"/>
        <v>1326.9552594040729</v>
      </c>
      <c r="BD232" s="150">
        <v>800.949728569184</v>
      </c>
      <c r="BE232" s="127">
        <f t="shared" si="202"/>
        <v>2042.4218078514191</v>
      </c>
      <c r="BF232" s="232">
        <v>730.07781319276</v>
      </c>
      <c r="BG232" s="127">
        <f t="shared" si="203"/>
        <v>1861.6984236415378</v>
      </c>
      <c r="BH232" s="234">
        <v>627.16790867356701</v>
      </c>
      <c r="BI232" s="329">
        <f t="shared" si="204"/>
        <v>1599.2781671175958</v>
      </c>
      <c r="BJ232" s="177" t="s">
        <v>402</v>
      </c>
      <c r="BK232" s="78"/>
      <c r="BL232" s="78" t="s">
        <v>92</v>
      </c>
      <c r="BM232" s="9" t="s">
        <v>310</v>
      </c>
    </row>
    <row r="233" spans="1:65" ht="16.399999999999999" customHeight="1">
      <c r="A233" s="197" t="s">
        <v>383</v>
      </c>
      <c r="B233" s="9" t="s">
        <v>186</v>
      </c>
      <c r="C233" s="9" t="s">
        <v>30</v>
      </c>
      <c r="D233" s="997"/>
      <c r="E233" s="999"/>
      <c r="F233" s="1006"/>
      <c r="G233" s="412">
        <v>2025</v>
      </c>
      <c r="H233" s="881" t="s">
        <v>266</v>
      </c>
      <c r="I233" s="285" t="s">
        <v>151</v>
      </c>
      <c r="J233" s="75">
        <v>14</v>
      </c>
      <c r="K233" s="207" t="s">
        <v>153</v>
      </c>
      <c r="L233" s="181" t="s">
        <v>150</v>
      </c>
      <c r="M233" s="316" t="s">
        <v>320</v>
      </c>
      <c r="N233" s="173">
        <v>7.7</v>
      </c>
      <c r="O233" s="84">
        <v>7.7</v>
      </c>
      <c r="P233" s="182">
        <v>7.7</v>
      </c>
      <c r="Q233" s="84">
        <v>7.7</v>
      </c>
      <c r="R233" s="182">
        <v>8.4</v>
      </c>
      <c r="S233" s="84">
        <v>8.4</v>
      </c>
      <c r="T233" s="182">
        <v>8.4</v>
      </c>
      <c r="U233" s="84">
        <v>8.4</v>
      </c>
      <c r="V233" s="182">
        <v>8.4</v>
      </c>
      <c r="W233" s="84">
        <v>8.4</v>
      </c>
      <c r="X233" s="182">
        <v>8.4</v>
      </c>
      <c r="Y233" s="947">
        <v>8.4</v>
      </c>
      <c r="Z233" s="195">
        <v>0.75</v>
      </c>
      <c r="AA233" s="377">
        <v>0.75</v>
      </c>
      <c r="AB233" s="377">
        <v>0.75</v>
      </c>
      <c r="AC233" s="377">
        <v>0</v>
      </c>
      <c r="AD233" s="377">
        <v>1.04</v>
      </c>
      <c r="AE233" s="377">
        <v>1.04</v>
      </c>
      <c r="AF233" s="377">
        <v>1.04</v>
      </c>
      <c r="AG233" s="377">
        <v>1.04</v>
      </c>
      <c r="AH233" s="377">
        <v>1.04</v>
      </c>
      <c r="AI233" s="377">
        <v>1.04</v>
      </c>
      <c r="AJ233" s="377">
        <v>1.04</v>
      </c>
      <c r="AK233" s="701">
        <v>1.04</v>
      </c>
      <c r="AL233" s="503">
        <v>15717</v>
      </c>
      <c r="AM233" s="519">
        <f t="shared" si="193"/>
        <v>11787.75</v>
      </c>
      <c r="AN233" s="553">
        <v>10803</v>
      </c>
      <c r="AO233" s="496">
        <f t="shared" si="194"/>
        <v>8102.25</v>
      </c>
      <c r="AP233" s="555">
        <v>2507</v>
      </c>
      <c r="AQ233" s="620">
        <f t="shared" si="195"/>
        <v>1880.25</v>
      </c>
      <c r="AR233" s="495">
        <v>8122</v>
      </c>
      <c r="AS233" s="777">
        <f t="shared" si="196"/>
        <v>0</v>
      </c>
      <c r="AT233" s="555">
        <v>7347</v>
      </c>
      <c r="AU233" s="494">
        <f t="shared" si="197"/>
        <v>7640.88</v>
      </c>
      <c r="AV233" s="149">
        <v>0</v>
      </c>
      <c r="AW233" s="390">
        <f t="shared" si="198"/>
        <v>0</v>
      </c>
      <c r="AX233" s="150">
        <v>0</v>
      </c>
      <c r="AY233" s="389">
        <f t="shared" si="199"/>
        <v>0</v>
      </c>
      <c r="AZ233" s="149">
        <v>0</v>
      </c>
      <c r="BA233" s="389">
        <f t="shared" si="200"/>
        <v>0</v>
      </c>
      <c r="BB233" s="151">
        <v>4207.1453884689899</v>
      </c>
      <c r="BC233" s="391">
        <f t="shared" si="201"/>
        <v>4375.4312040077493</v>
      </c>
      <c r="BD233" s="150">
        <v>6475.5502714308204</v>
      </c>
      <c r="BE233" s="389">
        <f t="shared" si="202"/>
        <v>6734.5722822880534</v>
      </c>
      <c r="BF233" s="149">
        <v>5902.5621868072403</v>
      </c>
      <c r="BG233" s="389">
        <f t="shared" si="203"/>
        <v>6138.6646742795301</v>
      </c>
      <c r="BH233" s="151">
        <v>5070.5520913264299</v>
      </c>
      <c r="BI233" s="392">
        <f t="shared" si="204"/>
        <v>5273.3741749794872</v>
      </c>
      <c r="BJ233" s="245" t="s">
        <v>574</v>
      </c>
      <c r="BK233" s="78"/>
      <c r="BL233" s="78" t="s">
        <v>92</v>
      </c>
      <c r="BM233" s="9" t="s">
        <v>424</v>
      </c>
    </row>
    <row r="234" spans="1:65" ht="17.25" customHeight="1">
      <c r="A234" s="197" t="s">
        <v>383</v>
      </c>
      <c r="B234" s="9" t="s">
        <v>186</v>
      </c>
      <c r="C234" s="9" t="s">
        <v>30</v>
      </c>
      <c r="D234" s="997"/>
      <c r="E234" s="999"/>
      <c r="F234" s="1006"/>
      <c r="G234" s="414">
        <v>2025</v>
      </c>
      <c r="H234" s="879" t="s">
        <v>255</v>
      </c>
      <c r="I234" s="284" t="s">
        <v>151</v>
      </c>
      <c r="J234" s="233">
        <v>14</v>
      </c>
      <c r="K234" s="229" t="s">
        <v>250</v>
      </c>
      <c r="L234" s="157" t="s">
        <v>150</v>
      </c>
      <c r="M234" s="167" t="s">
        <v>323</v>
      </c>
      <c r="N234" s="193">
        <v>9.4</v>
      </c>
      <c r="O234" s="82">
        <v>9.4</v>
      </c>
      <c r="P234" s="82">
        <v>9.1999999999999993</v>
      </c>
      <c r="Q234" s="82">
        <v>9.1999999999999993</v>
      </c>
      <c r="R234" s="82">
        <v>9.6</v>
      </c>
      <c r="S234" s="82">
        <v>9.6</v>
      </c>
      <c r="T234" s="82">
        <v>9.6</v>
      </c>
      <c r="U234" s="82">
        <v>9.6</v>
      </c>
      <c r="V234" s="82">
        <v>9.6</v>
      </c>
      <c r="W234" s="82">
        <v>9.6</v>
      </c>
      <c r="X234" s="82">
        <v>9.6</v>
      </c>
      <c r="Y234" s="957">
        <v>9.6</v>
      </c>
      <c r="Z234" s="195">
        <v>1.65</v>
      </c>
      <c r="AA234" s="379">
        <v>1.65</v>
      </c>
      <c r="AB234" s="380">
        <v>1.53</v>
      </c>
      <c r="AC234" s="380">
        <v>0</v>
      </c>
      <c r="AD234" s="380">
        <v>1.52</v>
      </c>
      <c r="AE234" s="380">
        <v>1.52</v>
      </c>
      <c r="AF234" s="380">
        <v>1.52</v>
      </c>
      <c r="AG234" s="380">
        <v>1.52</v>
      </c>
      <c r="AH234" s="380">
        <v>1.52</v>
      </c>
      <c r="AI234" s="380">
        <v>1.52</v>
      </c>
      <c r="AJ234" s="380">
        <v>1.52</v>
      </c>
      <c r="AK234" s="715">
        <v>1.52</v>
      </c>
      <c r="AL234" s="505">
        <v>215</v>
      </c>
      <c r="AM234" s="496">
        <f t="shared" si="193"/>
        <v>354.75</v>
      </c>
      <c r="AN234" s="585">
        <v>200</v>
      </c>
      <c r="AO234" s="494">
        <f t="shared" si="194"/>
        <v>330</v>
      </c>
      <c r="AP234" s="585">
        <v>200</v>
      </c>
      <c r="AQ234" s="621">
        <f t="shared" si="195"/>
        <v>306</v>
      </c>
      <c r="AR234" s="511">
        <v>652</v>
      </c>
      <c r="AS234" s="775">
        <f t="shared" si="196"/>
        <v>0</v>
      </c>
      <c r="AT234" s="583">
        <v>999</v>
      </c>
      <c r="AU234" s="496">
        <f t="shared" si="197"/>
        <v>1518.48</v>
      </c>
      <c r="AV234" s="154">
        <v>303</v>
      </c>
      <c r="AW234" s="355">
        <f t="shared" si="198"/>
        <v>460.56</v>
      </c>
      <c r="AX234" s="116">
        <v>386</v>
      </c>
      <c r="AY234" s="127">
        <f t="shared" si="199"/>
        <v>586.72</v>
      </c>
      <c r="AZ234" s="154">
        <v>396</v>
      </c>
      <c r="BA234" s="127">
        <f t="shared" si="200"/>
        <v>601.91999999999996</v>
      </c>
      <c r="BB234" s="155">
        <v>768.69264309739901</v>
      </c>
      <c r="BC234" s="356">
        <f t="shared" si="201"/>
        <v>1168.4128175080466</v>
      </c>
      <c r="BD234" s="116">
        <v>765.35011474602004</v>
      </c>
      <c r="BE234" s="127">
        <f t="shared" si="202"/>
        <v>1163.3321744139505</v>
      </c>
      <c r="BF234" s="154">
        <v>1148.4138048521099</v>
      </c>
      <c r="BG234" s="127">
        <f t="shared" si="203"/>
        <v>1745.5889833752071</v>
      </c>
      <c r="BH234" s="154">
        <v>1065.74850530718</v>
      </c>
      <c r="BI234" s="329">
        <f t="shared" si="204"/>
        <v>1619.9377280669137</v>
      </c>
      <c r="BJ234" s="177" t="s">
        <v>575</v>
      </c>
      <c r="BK234" s="78"/>
      <c r="BL234" s="78" t="s">
        <v>92</v>
      </c>
      <c r="BM234" s="9" t="s">
        <v>425</v>
      </c>
    </row>
    <row r="235" spans="1:65" ht="17.25" customHeight="1">
      <c r="A235" s="197" t="s">
        <v>383</v>
      </c>
      <c r="B235" s="9" t="s">
        <v>186</v>
      </c>
      <c r="C235" s="9" t="s">
        <v>30</v>
      </c>
      <c r="D235" s="997"/>
      <c r="E235" s="999"/>
      <c r="F235" s="1006"/>
      <c r="G235" s="414">
        <v>2025</v>
      </c>
      <c r="H235" s="879" t="s">
        <v>255</v>
      </c>
      <c r="I235" s="284" t="s">
        <v>393</v>
      </c>
      <c r="J235" s="233">
        <v>14</v>
      </c>
      <c r="K235" s="229" t="s">
        <v>250</v>
      </c>
      <c r="L235" s="157" t="s">
        <v>150</v>
      </c>
      <c r="M235" s="167" t="s">
        <v>323</v>
      </c>
      <c r="N235" s="173">
        <v>4.7</v>
      </c>
      <c r="O235" s="84">
        <v>4.7</v>
      </c>
      <c r="P235" s="84">
        <v>4.7</v>
      </c>
      <c r="Q235" s="84">
        <v>4.7</v>
      </c>
      <c r="R235" s="84">
        <v>5.3</v>
      </c>
      <c r="S235" s="84">
        <v>5.3</v>
      </c>
      <c r="T235" s="84">
        <v>5.3</v>
      </c>
      <c r="U235" s="84">
        <v>5.3</v>
      </c>
      <c r="V235" s="84">
        <v>5.3</v>
      </c>
      <c r="W235" s="84">
        <v>5.3</v>
      </c>
      <c r="X235" s="84">
        <v>5.3</v>
      </c>
      <c r="Y235" s="947">
        <v>5.3</v>
      </c>
      <c r="Z235" s="225">
        <v>0.54</v>
      </c>
      <c r="AA235" s="377">
        <v>0.54</v>
      </c>
      <c r="AB235" s="377">
        <v>0.54</v>
      </c>
      <c r="AC235" s="377">
        <v>0</v>
      </c>
      <c r="AD235" s="377">
        <v>0.73</v>
      </c>
      <c r="AE235" s="377">
        <v>0.73</v>
      </c>
      <c r="AF235" s="377">
        <v>0.73</v>
      </c>
      <c r="AG235" s="377">
        <v>0.73</v>
      </c>
      <c r="AH235" s="377">
        <v>0.73</v>
      </c>
      <c r="AI235" s="377">
        <v>0.73</v>
      </c>
      <c r="AJ235" s="377">
        <v>0.73</v>
      </c>
      <c r="AK235" s="701">
        <v>0.73</v>
      </c>
      <c r="AL235" s="505">
        <v>800</v>
      </c>
      <c r="AM235" s="519">
        <f t="shared" si="193"/>
        <v>432</v>
      </c>
      <c r="AN235" s="585">
        <v>200</v>
      </c>
      <c r="AO235" s="496">
        <f t="shared" si="194"/>
        <v>108</v>
      </c>
      <c r="AP235" s="585">
        <v>600</v>
      </c>
      <c r="AQ235" s="622">
        <f t="shared" si="195"/>
        <v>324</v>
      </c>
      <c r="AR235" s="511">
        <v>480</v>
      </c>
      <c r="AS235" s="777">
        <f t="shared" si="196"/>
        <v>0</v>
      </c>
      <c r="AT235" s="583">
        <v>640</v>
      </c>
      <c r="AU235" s="494">
        <f t="shared" si="197"/>
        <v>467.2</v>
      </c>
      <c r="AV235" s="154">
        <v>244</v>
      </c>
      <c r="AW235" s="390">
        <f t="shared" si="198"/>
        <v>178.12</v>
      </c>
      <c r="AX235" s="116">
        <v>312</v>
      </c>
      <c r="AY235" s="389">
        <f t="shared" si="199"/>
        <v>227.76</v>
      </c>
      <c r="AZ235" s="154">
        <v>315</v>
      </c>
      <c r="BA235" s="389">
        <f t="shared" si="200"/>
        <v>229.95</v>
      </c>
      <c r="BB235" s="155">
        <v>0</v>
      </c>
      <c r="BC235" s="356">
        <f t="shared" si="201"/>
        <v>0</v>
      </c>
      <c r="BD235" s="116">
        <v>0</v>
      </c>
      <c r="BE235" s="389">
        <f t="shared" si="202"/>
        <v>0</v>
      </c>
      <c r="BF235" s="154">
        <v>0</v>
      </c>
      <c r="BG235" s="389">
        <f t="shared" si="203"/>
        <v>0</v>
      </c>
      <c r="BH235" s="154">
        <v>0</v>
      </c>
      <c r="BI235" s="392">
        <f t="shared" si="204"/>
        <v>0</v>
      </c>
      <c r="BJ235" s="177" t="s">
        <v>576</v>
      </c>
      <c r="BK235" s="78"/>
      <c r="BL235" s="78" t="s">
        <v>92</v>
      </c>
      <c r="BM235" s="9" t="s">
        <v>495</v>
      </c>
    </row>
    <row r="236" spans="1:65" ht="17.5" customHeight="1">
      <c r="A236" s="197" t="s">
        <v>383</v>
      </c>
      <c r="B236" s="9" t="s">
        <v>186</v>
      </c>
      <c r="C236" s="9" t="s">
        <v>30</v>
      </c>
      <c r="D236" s="997"/>
      <c r="E236" s="999"/>
      <c r="F236" s="1006"/>
      <c r="G236" s="414">
        <v>2025</v>
      </c>
      <c r="H236" s="879" t="s">
        <v>255</v>
      </c>
      <c r="I236" s="284" t="s">
        <v>151</v>
      </c>
      <c r="J236" s="233">
        <v>14</v>
      </c>
      <c r="K236" s="324" t="s">
        <v>329</v>
      </c>
      <c r="L236" s="157" t="s">
        <v>150</v>
      </c>
      <c r="M236" s="167" t="s">
        <v>323</v>
      </c>
      <c r="N236" s="172">
        <v>9.4</v>
      </c>
      <c r="O236" s="6">
        <v>9.4</v>
      </c>
      <c r="P236" s="6">
        <v>9.1999999999999993</v>
      </c>
      <c r="Q236" s="82">
        <v>9.1999999999999993</v>
      </c>
      <c r="R236" s="82">
        <v>9.6</v>
      </c>
      <c r="S236" s="82">
        <v>9.6</v>
      </c>
      <c r="T236" s="82">
        <v>9.6</v>
      </c>
      <c r="U236" s="82">
        <v>9.6</v>
      </c>
      <c r="V236" s="82">
        <v>9.6</v>
      </c>
      <c r="W236" s="82">
        <v>9.6</v>
      </c>
      <c r="X236" s="82">
        <v>9.6</v>
      </c>
      <c r="Y236" s="957">
        <v>9.6</v>
      </c>
      <c r="Z236" s="195">
        <v>1.65</v>
      </c>
      <c r="AA236" s="379">
        <v>1.65</v>
      </c>
      <c r="AB236" s="380">
        <v>1.53</v>
      </c>
      <c r="AC236" s="380">
        <v>0</v>
      </c>
      <c r="AD236" s="380">
        <v>1.52</v>
      </c>
      <c r="AE236" s="380">
        <v>1.52</v>
      </c>
      <c r="AF236" s="380">
        <v>1.52</v>
      </c>
      <c r="AG236" s="380">
        <v>1.52</v>
      </c>
      <c r="AH236" s="380">
        <v>1.52</v>
      </c>
      <c r="AI236" s="380">
        <v>1.52</v>
      </c>
      <c r="AJ236" s="380">
        <v>1.52</v>
      </c>
      <c r="AK236" s="715">
        <v>1.52</v>
      </c>
      <c r="AL236" s="505">
        <v>400</v>
      </c>
      <c r="AM236" s="496">
        <f t="shared" si="193"/>
        <v>660</v>
      </c>
      <c r="AN236" s="585">
        <v>40</v>
      </c>
      <c r="AO236" s="494">
        <f t="shared" si="194"/>
        <v>66</v>
      </c>
      <c r="AP236" s="585">
        <v>40</v>
      </c>
      <c r="AQ236" s="621">
        <f t="shared" si="195"/>
        <v>61.2</v>
      </c>
      <c r="AR236" s="511">
        <v>340</v>
      </c>
      <c r="AS236" s="777">
        <f t="shared" si="196"/>
        <v>0</v>
      </c>
      <c r="AT236" s="583">
        <v>0</v>
      </c>
      <c r="AU236" s="494">
        <f t="shared" si="197"/>
        <v>0</v>
      </c>
      <c r="AV236" s="154">
        <v>68</v>
      </c>
      <c r="AW236" s="355">
        <f t="shared" si="198"/>
        <v>103.36</v>
      </c>
      <c r="AX236" s="116">
        <v>113</v>
      </c>
      <c r="AY236" s="127">
        <f t="shared" si="199"/>
        <v>171.76</v>
      </c>
      <c r="AZ236" s="154">
        <v>107</v>
      </c>
      <c r="BA236" s="127">
        <f t="shared" si="200"/>
        <v>162.64000000000001</v>
      </c>
      <c r="BB236" s="155">
        <v>424.66480270544002</v>
      </c>
      <c r="BC236" s="391">
        <f t="shared" si="201"/>
        <v>645.49050011226882</v>
      </c>
      <c r="BD236" s="116">
        <v>422.818220517329</v>
      </c>
      <c r="BE236" s="127">
        <f t="shared" si="202"/>
        <v>642.68369518634006</v>
      </c>
      <c r="BF236" s="154">
        <v>634.44203120847396</v>
      </c>
      <c r="BG236" s="127">
        <f t="shared" si="203"/>
        <v>964.35188743688047</v>
      </c>
      <c r="BH236" s="154">
        <v>588.77352710990704</v>
      </c>
      <c r="BI236" s="329">
        <f t="shared" si="204"/>
        <v>894.9357612070587</v>
      </c>
      <c r="BJ236" s="177" t="s">
        <v>577</v>
      </c>
      <c r="BK236" s="78"/>
      <c r="BL236" s="78" t="s">
        <v>92</v>
      </c>
      <c r="BM236" s="9" t="s">
        <v>426</v>
      </c>
    </row>
    <row r="237" spans="1:65" ht="17.5" customHeight="1">
      <c r="A237" s="197" t="s">
        <v>383</v>
      </c>
      <c r="B237" s="9" t="s">
        <v>186</v>
      </c>
      <c r="C237" s="9" t="s">
        <v>30</v>
      </c>
      <c r="D237" s="997"/>
      <c r="E237" s="999"/>
      <c r="F237" s="1006"/>
      <c r="G237" s="414">
        <v>2025</v>
      </c>
      <c r="H237" s="879" t="s">
        <v>255</v>
      </c>
      <c r="I237" s="284" t="s">
        <v>151</v>
      </c>
      <c r="J237" s="233">
        <v>14</v>
      </c>
      <c r="K237" s="180" t="s">
        <v>153</v>
      </c>
      <c r="L237" s="157" t="s">
        <v>150</v>
      </c>
      <c r="M237" s="167" t="s">
        <v>323</v>
      </c>
      <c r="N237" s="193">
        <v>7.95</v>
      </c>
      <c r="O237" s="82">
        <v>7.95</v>
      </c>
      <c r="P237" s="82">
        <v>7.85</v>
      </c>
      <c r="Q237" s="82">
        <v>7.85</v>
      </c>
      <c r="R237" s="82">
        <v>8.1999999999999993</v>
      </c>
      <c r="S237" s="82">
        <v>8.1999999999999993</v>
      </c>
      <c r="T237" s="82">
        <v>8.1999999999999993</v>
      </c>
      <c r="U237" s="82">
        <v>8.1999999999999993</v>
      </c>
      <c r="V237" s="82">
        <v>8.1999999999999993</v>
      </c>
      <c r="W237" s="82">
        <v>8.1999999999999993</v>
      </c>
      <c r="X237" s="82">
        <v>8.1999999999999993</v>
      </c>
      <c r="Y237" s="957">
        <v>8.1999999999999993</v>
      </c>
      <c r="Z237" s="195">
        <v>1</v>
      </c>
      <c r="AA237" s="379">
        <v>1</v>
      </c>
      <c r="AB237" s="379">
        <v>0.97</v>
      </c>
      <c r="AC237" s="379">
        <v>0</v>
      </c>
      <c r="AD237" s="379">
        <v>0.91</v>
      </c>
      <c r="AE237" s="379">
        <v>0.91</v>
      </c>
      <c r="AF237" s="379">
        <v>0.91</v>
      </c>
      <c r="AG237" s="379">
        <v>0.91</v>
      </c>
      <c r="AH237" s="379">
        <v>0.91</v>
      </c>
      <c r="AI237" s="379">
        <v>0.91</v>
      </c>
      <c r="AJ237" s="379">
        <v>0.91</v>
      </c>
      <c r="AK237" s="959">
        <v>0.91</v>
      </c>
      <c r="AL237" s="505">
        <v>5160</v>
      </c>
      <c r="AM237" s="519">
        <f t="shared" ref="AM237" si="205">Z237*AL237</f>
        <v>5160</v>
      </c>
      <c r="AN237" s="585">
        <v>4950</v>
      </c>
      <c r="AO237" s="496">
        <f t="shared" ref="AO237" si="206">AA237*AN237</f>
        <v>4950</v>
      </c>
      <c r="AP237" s="585">
        <v>1120</v>
      </c>
      <c r="AQ237" s="620">
        <f t="shared" ref="AQ237" si="207">AB237*AP237</f>
        <v>1086.3999999999999</v>
      </c>
      <c r="AR237" s="511">
        <v>4680</v>
      </c>
      <c r="AS237" s="775">
        <f t="shared" ref="AS237" si="208">AC237*AR237</f>
        <v>0</v>
      </c>
      <c r="AT237" s="583">
        <v>2200</v>
      </c>
      <c r="AU237" s="496">
        <f t="shared" ref="AU237" si="209">AD237*AT237</f>
        <v>2002</v>
      </c>
      <c r="AV237" s="154">
        <v>1556</v>
      </c>
      <c r="AW237" s="355">
        <f t="shared" ref="AW237" si="210">AE237*AV237</f>
        <v>1415.96</v>
      </c>
      <c r="AX237" s="116">
        <v>2068</v>
      </c>
      <c r="AY237" s="389">
        <f t="shared" ref="AY237" si="211">AF237*AX237</f>
        <v>1881.88</v>
      </c>
      <c r="AZ237" s="154">
        <v>2421</v>
      </c>
      <c r="BA237" s="389">
        <f t="shared" ref="BA237" si="212">AG237*AZ237</f>
        <v>2203.11</v>
      </c>
      <c r="BB237" s="155">
        <v>11355.2913387305</v>
      </c>
      <c r="BC237" s="356">
        <f t="shared" ref="BC237" si="213">AH237*BB237</f>
        <v>10333.315118244755</v>
      </c>
      <c r="BD237" s="116">
        <v>11305.9147984725</v>
      </c>
      <c r="BE237" s="389">
        <f t="shared" ref="BE237" si="214">AI237*BD237</f>
        <v>10288.382466609975</v>
      </c>
      <c r="BF237" s="435">
        <v>16964.613163161601</v>
      </c>
      <c r="BG237" s="389">
        <f t="shared" ref="BG237" si="215">AJ237*BF237</f>
        <v>15437.797978477058</v>
      </c>
      <c r="BH237" s="435">
        <v>15743.4637631184</v>
      </c>
      <c r="BI237" s="392">
        <f t="shared" ref="BI237" si="216">AK237*BH237</f>
        <v>14326.552024437744</v>
      </c>
      <c r="BJ237" s="177" t="s">
        <v>578</v>
      </c>
      <c r="BK237" s="78"/>
      <c r="BL237" s="78" t="s">
        <v>92</v>
      </c>
      <c r="BM237" s="9" t="s">
        <v>311</v>
      </c>
    </row>
    <row r="238" spans="1:65" ht="17" customHeight="1">
      <c r="A238" s="197" t="s">
        <v>383</v>
      </c>
      <c r="B238" s="9" t="s">
        <v>186</v>
      </c>
      <c r="C238" s="9" t="s">
        <v>30</v>
      </c>
      <c r="D238" s="997"/>
      <c r="E238" s="999"/>
      <c r="F238" s="1006"/>
      <c r="G238" s="734">
        <v>2026</v>
      </c>
      <c r="H238" s="960" t="s">
        <v>255</v>
      </c>
      <c r="I238" s="894" t="s">
        <v>151</v>
      </c>
      <c r="J238" s="895">
        <v>14</v>
      </c>
      <c r="K238" s="730" t="s">
        <v>453</v>
      </c>
      <c r="L238" s="896" t="s">
        <v>150</v>
      </c>
      <c r="M238" s="961" t="s">
        <v>323</v>
      </c>
      <c r="N238" s="193">
        <v>8.4</v>
      </c>
      <c r="O238" s="82">
        <v>8.4</v>
      </c>
      <c r="P238" s="82">
        <v>8.4</v>
      </c>
      <c r="Q238" s="82">
        <v>8.4</v>
      </c>
      <c r="R238" s="82">
        <v>8.8000000000000007</v>
      </c>
      <c r="S238" s="82">
        <v>8.8000000000000007</v>
      </c>
      <c r="T238" s="82">
        <v>8.8000000000000007</v>
      </c>
      <c r="U238" s="82">
        <v>8.8000000000000007</v>
      </c>
      <c r="V238" s="82">
        <v>8.8000000000000007</v>
      </c>
      <c r="W238" s="82">
        <v>8.8000000000000007</v>
      </c>
      <c r="X238" s="82">
        <v>8.8000000000000007</v>
      </c>
      <c r="Y238" s="82">
        <v>8.8000000000000007</v>
      </c>
      <c r="Z238" s="195">
        <v>1.05</v>
      </c>
      <c r="AA238" s="379">
        <v>1.05</v>
      </c>
      <c r="AB238" s="379">
        <v>1.05</v>
      </c>
      <c r="AC238" s="379">
        <v>0</v>
      </c>
      <c r="AD238" s="379">
        <v>1.04</v>
      </c>
      <c r="AE238" s="379">
        <v>1.04</v>
      </c>
      <c r="AF238" s="379">
        <v>1.04</v>
      </c>
      <c r="AG238" s="379">
        <v>1.04</v>
      </c>
      <c r="AH238" s="379">
        <v>1.04</v>
      </c>
      <c r="AI238" s="379">
        <v>1.04</v>
      </c>
      <c r="AJ238" s="379">
        <v>1.04</v>
      </c>
      <c r="AK238" s="379">
        <v>1.04</v>
      </c>
      <c r="AL238" s="505">
        <v>0</v>
      </c>
      <c r="AM238" s="519">
        <f t="shared" si="193"/>
        <v>0</v>
      </c>
      <c r="AN238" s="585">
        <v>0</v>
      </c>
      <c r="AO238" s="496">
        <f t="shared" si="194"/>
        <v>0</v>
      </c>
      <c r="AP238" s="585">
        <v>0</v>
      </c>
      <c r="AQ238" s="620">
        <f t="shared" si="195"/>
        <v>0</v>
      </c>
      <c r="AR238" s="511">
        <v>320</v>
      </c>
      <c r="AS238" s="775">
        <f t="shared" si="196"/>
        <v>0</v>
      </c>
      <c r="AT238" s="583">
        <v>2440</v>
      </c>
      <c r="AU238" s="496">
        <f t="shared" si="197"/>
        <v>2537.6</v>
      </c>
      <c r="AV238" s="154">
        <v>3880</v>
      </c>
      <c r="AW238" s="355">
        <f t="shared" si="198"/>
        <v>4035.2000000000003</v>
      </c>
      <c r="AX238" s="116">
        <v>132</v>
      </c>
      <c r="AY238" s="389">
        <f t="shared" si="199"/>
        <v>137.28</v>
      </c>
      <c r="AZ238" s="154">
        <v>509</v>
      </c>
      <c r="BA238" s="389">
        <f t="shared" si="200"/>
        <v>529.36</v>
      </c>
      <c r="BB238" s="155">
        <v>0</v>
      </c>
      <c r="BC238" s="356">
        <f t="shared" si="201"/>
        <v>0</v>
      </c>
      <c r="BD238" s="116">
        <v>0</v>
      </c>
      <c r="BE238" s="389">
        <f t="shared" si="202"/>
        <v>0</v>
      </c>
      <c r="BF238" s="435">
        <v>0</v>
      </c>
      <c r="BG238" s="389">
        <f t="shared" si="203"/>
        <v>0</v>
      </c>
      <c r="BH238" s="435">
        <v>0</v>
      </c>
      <c r="BI238" s="392">
        <f t="shared" si="204"/>
        <v>0</v>
      </c>
      <c r="BJ238" s="729" t="s">
        <v>635</v>
      </c>
      <c r="BK238" s="78"/>
      <c r="BL238" s="78" t="s">
        <v>92</v>
      </c>
      <c r="BM238" s="727" t="s">
        <v>636</v>
      </c>
    </row>
    <row r="239" spans="1:65" ht="17" customHeight="1" thickBot="1">
      <c r="A239" s="351" t="s">
        <v>383</v>
      </c>
      <c r="B239" s="10" t="s">
        <v>186</v>
      </c>
      <c r="C239" s="10" t="s">
        <v>30</v>
      </c>
      <c r="D239" s="998"/>
      <c r="E239" s="1000"/>
      <c r="F239" s="1007"/>
      <c r="G239" s="414">
        <v>2025</v>
      </c>
      <c r="H239" s="882" t="s">
        <v>255</v>
      </c>
      <c r="I239" s="283" t="s">
        <v>148</v>
      </c>
      <c r="J239" s="237">
        <v>14</v>
      </c>
      <c r="K239" s="183" t="s">
        <v>268</v>
      </c>
      <c r="L239" s="89" t="s">
        <v>150</v>
      </c>
      <c r="M239" s="103" t="s">
        <v>323</v>
      </c>
      <c r="N239" s="250">
        <v>4.7</v>
      </c>
      <c r="O239" s="83">
        <v>4.7</v>
      </c>
      <c r="P239" s="83">
        <v>4.7</v>
      </c>
      <c r="Q239" s="83">
        <v>4.7</v>
      </c>
      <c r="R239" s="83">
        <v>5.3</v>
      </c>
      <c r="S239" s="83">
        <v>5.3</v>
      </c>
      <c r="T239" s="83">
        <v>5.3</v>
      </c>
      <c r="U239" s="83">
        <v>5.3</v>
      </c>
      <c r="V239" s="83">
        <v>5.3</v>
      </c>
      <c r="W239" s="83">
        <v>5.3</v>
      </c>
      <c r="X239" s="83">
        <v>5.3</v>
      </c>
      <c r="Y239" s="948">
        <v>5.3</v>
      </c>
      <c r="Z239" s="253">
        <v>0.54</v>
      </c>
      <c r="AA239" s="342">
        <v>0.54</v>
      </c>
      <c r="AB239" s="342">
        <v>0.54</v>
      </c>
      <c r="AC239" s="342">
        <v>0</v>
      </c>
      <c r="AD239" s="377">
        <v>0.73</v>
      </c>
      <c r="AE239" s="377">
        <v>0.73</v>
      </c>
      <c r="AF239" s="377">
        <v>0.73</v>
      </c>
      <c r="AG239" s="377">
        <v>0.73</v>
      </c>
      <c r="AH239" s="377">
        <v>0.73</v>
      </c>
      <c r="AI239" s="377">
        <v>0.73</v>
      </c>
      <c r="AJ239" s="377">
        <v>0.73</v>
      </c>
      <c r="AK239" s="701">
        <v>0.73</v>
      </c>
      <c r="AL239" s="506">
        <v>680</v>
      </c>
      <c r="AM239" s="507">
        <f t="shared" si="193"/>
        <v>367.20000000000005</v>
      </c>
      <c r="AN239" s="586">
        <v>1249</v>
      </c>
      <c r="AO239" s="501">
        <f t="shared" si="194"/>
        <v>674.46</v>
      </c>
      <c r="AP239" s="586">
        <v>320</v>
      </c>
      <c r="AQ239" s="619">
        <f t="shared" si="195"/>
        <v>172.8</v>
      </c>
      <c r="AR239" s="500">
        <v>2200</v>
      </c>
      <c r="AS239" s="781">
        <f t="shared" si="196"/>
        <v>0</v>
      </c>
      <c r="AT239" s="586">
        <v>2080</v>
      </c>
      <c r="AU239" s="501">
        <f t="shared" si="197"/>
        <v>1518.3999999999999</v>
      </c>
      <c r="AV239" s="421">
        <v>782</v>
      </c>
      <c r="AW239" s="359">
        <f t="shared" si="198"/>
        <v>570.86</v>
      </c>
      <c r="AX239" s="130">
        <v>1321</v>
      </c>
      <c r="AY239" s="131">
        <f t="shared" si="199"/>
        <v>964.32999999999993</v>
      </c>
      <c r="AZ239" s="421">
        <v>1224</v>
      </c>
      <c r="BA239" s="138">
        <f t="shared" si="200"/>
        <v>893.52</v>
      </c>
      <c r="BB239" s="422">
        <v>0</v>
      </c>
      <c r="BC239" s="365">
        <f t="shared" si="201"/>
        <v>0</v>
      </c>
      <c r="BD239" s="130">
        <v>0</v>
      </c>
      <c r="BE239" s="138">
        <f t="shared" si="202"/>
        <v>0</v>
      </c>
      <c r="BF239" s="436">
        <v>0</v>
      </c>
      <c r="BG239" s="138">
        <f t="shared" si="203"/>
        <v>0</v>
      </c>
      <c r="BH239" s="436">
        <v>0</v>
      </c>
      <c r="BI239" s="464">
        <f t="shared" si="204"/>
        <v>0</v>
      </c>
      <c r="BJ239" s="177" t="s">
        <v>579</v>
      </c>
      <c r="BK239" s="78"/>
      <c r="BL239" s="78" t="s">
        <v>92</v>
      </c>
      <c r="BM239" s="9" t="s">
        <v>481</v>
      </c>
    </row>
    <row r="240" spans="1:65" ht="17" customHeight="1">
      <c r="A240" s="350" t="s">
        <v>383</v>
      </c>
      <c r="B240" s="22" t="s">
        <v>186</v>
      </c>
      <c r="C240" s="77" t="s">
        <v>30</v>
      </c>
      <c r="D240" s="1003" t="s">
        <v>229</v>
      </c>
      <c r="E240" s="1008" t="s">
        <v>146</v>
      </c>
      <c r="F240" s="1009" t="s">
        <v>58</v>
      </c>
      <c r="G240" s="227">
        <v>2024</v>
      </c>
      <c r="H240" s="838" t="s">
        <v>256</v>
      </c>
      <c r="I240" s="451" t="s">
        <v>151</v>
      </c>
      <c r="J240" s="452">
        <v>14</v>
      </c>
      <c r="K240" s="325" t="s">
        <v>258</v>
      </c>
      <c r="L240" s="228" t="s">
        <v>150</v>
      </c>
      <c r="M240" s="315" t="s">
        <v>394</v>
      </c>
      <c r="N240" s="6">
        <v>10.1</v>
      </c>
      <c r="O240" s="6">
        <v>10.1</v>
      </c>
      <c r="P240" s="6">
        <v>10.1</v>
      </c>
      <c r="Q240" s="6">
        <v>10.1</v>
      </c>
      <c r="R240" s="6">
        <v>10.1</v>
      </c>
      <c r="S240" s="6">
        <v>10.1</v>
      </c>
      <c r="T240" s="6">
        <v>10.1</v>
      </c>
      <c r="U240" s="6">
        <v>10.1</v>
      </c>
      <c r="V240" s="6">
        <v>10.1</v>
      </c>
      <c r="W240" s="6">
        <v>10.1</v>
      </c>
      <c r="X240" s="6">
        <v>10.1</v>
      </c>
      <c r="Y240" s="6">
        <v>10.1</v>
      </c>
      <c r="Z240" s="336">
        <v>2.2699999999999996</v>
      </c>
      <c r="AA240" s="381">
        <v>2.27</v>
      </c>
      <c r="AB240" s="381">
        <v>2.27</v>
      </c>
      <c r="AC240" s="381">
        <v>0</v>
      </c>
      <c r="AD240" s="381">
        <v>2.27</v>
      </c>
      <c r="AE240" s="381">
        <v>2.27</v>
      </c>
      <c r="AF240" s="381">
        <v>2.27</v>
      </c>
      <c r="AG240" s="381">
        <v>2.27</v>
      </c>
      <c r="AH240" s="381">
        <v>2.27</v>
      </c>
      <c r="AI240" s="381">
        <v>2.27</v>
      </c>
      <c r="AJ240" s="156">
        <v>2.27</v>
      </c>
      <c r="AK240" s="477">
        <v>2.27</v>
      </c>
      <c r="AL240" s="517">
        <v>3054</v>
      </c>
      <c r="AM240" s="520">
        <f t="shared" si="193"/>
        <v>6932.579999999999</v>
      </c>
      <c r="AN240" s="587">
        <v>4629</v>
      </c>
      <c r="AO240" s="492">
        <f t="shared" si="194"/>
        <v>10507.83</v>
      </c>
      <c r="AP240" s="587">
        <v>4539</v>
      </c>
      <c r="AQ240" s="660">
        <f t="shared" si="195"/>
        <v>10303.530000000001</v>
      </c>
      <c r="AR240" s="508">
        <v>2470</v>
      </c>
      <c r="AS240" s="774">
        <f t="shared" si="196"/>
        <v>0</v>
      </c>
      <c r="AT240" s="587">
        <v>2480</v>
      </c>
      <c r="AU240" s="492">
        <f t="shared" si="197"/>
        <v>5629.6</v>
      </c>
      <c r="AV240" s="454">
        <v>797</v>
      </c>
      <c r="AW240" s="424">
        <f t="shared" si="198"/>
        <v>1809.19</v>
      </c>
      <c r="AX240" s="465">
        <v>513</v>
      </c>
      <c r="AY240" s="423">
        <f t="shared" si="199"/>
        <v>1164.51</v>
      </c>
      <c r="AZ240" s="454">
        <v>108</v>
      </c>
      <c r="BA240" s="423">
        <f t="shared" si="200"/>
        <v>245.16</v>
      </c>
      <c r="BB240" s="454">
        <v>0</v>
      </c>
      <c r="BC240" s="426">
        <f t="shared" si="201"/>
        <v>0</v>
      </c>
      <c r="BD240" s="121">
        <v>0</v>
      </c>
      <c r="BE240" s="423">
        <f t="shared" si="202"/>
        <v>0</v>
      </c>
      <c r="BF240" s="454">
        <v>0</v>
      </c>
      <c r="BG240" s="423">
        <f t="shared" si="203"/>
        <v>0</v>
      </c>
      <c r="BH240" s="454">
        <v>0</v>
      </c>
      <c r="BI240" s="458">
        <f t="shared" si="204"/>
        <v>0</v>
      </c>
      <c r="BJ240" s="1" t="s">
        <v>403</v>
      </c>
      <c r="BK240" s="78"/>
      <c r="BL240" s="78" t="s">
        <v>92</v>
      </c>
      <c r="BM240" s="9" t="s">
        <v>404</v>
      </c>
    </row>
    <row r="241" spans="1:65">
      <c r="A241" s="197" t="s">
        <v>383</v>
      </c>
      <c r="B241" s="9" t="s">
        <v>186</v>
      </c>
      <c r="C241" s="78" t="s">
        <v>30</v>
      </c>
      <c r="D241" s="1004"/>
      <c r="E241" s="999"/>
      <c r="F241" s="1001"/>
      <c r="G241" s="417">
        <v>2024</v>
      </c>
      <c r="H241" s="849" t="s">
        <v>256</v>
      </c>
      <c r="I241" s="266" t="s">
        <v>151</v>
      </c>
      <c r="J241" s="147">
        <v>14</v>
      </c>
      <c r="K241" s="180" t="s">
        <v>259</v>
      </c>
      <c r="L241" s="180" t="s">
        <v>150</v>
      </c>
      <c r="M241" s="316" t="s">
        <v>394</v>
      </c>
      <c r="N241" s="6">
        <v>10.1</v>
      </c>
      <c r="O241" s="6">
        <v>10.1</v>
      </c>
      <c r="P241" s="6">
        <v>10.1</v>
      </c>
      <c r="Q241" s="6">
        <v>10.1</v>
      </c>
      <c r="R241" s="6">
        <v>10.1</v>
      </c>
      <c r="S241" s="6">
        <v>10.1</v>
      </c>
      <c r="T241" s="6">
        <v>10.1</v>
      </c>
      <c r="U241" s="6">
        <v>10.1</v>
      </c>
      <c r="V241" s="6">
        <v>10.1</v>
      </c>
      <c r="W241" s="6">
        <v>10.1</v>
      </c>
      <c r="X241" s="6">
        <v>10.1</v>
      </c>
      <c r="Y241" s="6">
        <v>10.1</v>
      </c>
      <c r="Z241" s="195">
        <v>2.2699999999999996</v>
      </c>
      <c r="AA241" s="340">
        <v>2.27</v>
      </c>
      <c r="AB241" s="340">
        <v>2.27</v>
      </c>
      <c r="AC241" s="341">
        <v>0</v>
      </c>
      <c r="AD241" s="340">
        <v>2.27</v>
      </c>
      <c r="AE241" s="341">
        <v>2.27</v>
      </c>
      <c r="AF241" s="340">
        <v>2.27</v>
      </c>
      <c r="AG241" s="341">
        <v>2.27</v>
      </c>
      <c r="AH241" s="340">
        <v>2.27</v>
      </c>
      <c r="AI241" s="341">
        <v>2.27</v>
      </c>
      <c r="AJ241" s="340">
        <v>2.27</v>
      </c>
      <c r="AK241" s="719">
        <v>2.27</v>
      </c>
      <c r="AL241" s="535">
        <v>1600</v>
      </c>
      <c r="AM241" s="496">
        <f t="shared" si="193"/>
        <v>3631.9999999999991</v>
      </c>
      <c r="AN241" s="588">
        <v>1913</v>
      </c>
      <c r="AO241" s="494">
        <f t="shared" si="194"/>
        <v>4342.51</v>
      </c>
      <c r="AP241" s="554">
        <v>3061</v>
      </c>
      <c r="AQ241" s="621">
        <f t="shared" si="195"/>
        <v>6948.47</v>
      </c>
      <c r="AR241" s="510">
        <v>800</v>
      </c>
      <c r="AS241" s="775">
        <f t="shared" si="196"/>
        <v>0</v>
      </c>
      <c r="AT241" s="554">
        <v>1240</v>
      </c>
      <c r="AU241" s="494">
        <f t="shared" si="197"/>
        <v>2814.8</v>
      </c>
      <c r="AV241" s="58">
        <v>367</v>
      </c>
      <c r="AW241" s="355">
        <f t="shared" si="198"/>
        <v>833.09</v>
      </c>
      <c r="AX241" s="439">
        <v>161</v>
      </c>
      <c r="AY241" s="127">
        <f t="shared" si="199"/>
        <v>365.47</v>
      </c>
      <c r="AZ241" s="58">
        <v>141</v>
      </c>
      <c r="BA241" s="127">
        <f t="shared" si="200"/>
        <v>320.07</v>
      </c>
      <c r="BB241" s="58">
        <v>0</v>
      </c>
      <c r="BC241" s="356">
        <f t="shared" si="201"/>
        <v>0</v>
      </c>
      <c r="BD241" s="123">
        <v>0</v>
      </c>
      <c r="BE241" s="127">
        <f t="shared" si="202"/>
        <v>0</v>
      </c>
      <c r="BF241" s="58">
        <v>0</v>
      </c>
      <c r="BG241" s="127">
        <f t="shared" si="203"/>
        <v>0</v>
      </c>
      <c r="BH241" s="58">
        <v>0</v>
      </c>
      <c r="BI241" s="329">
        <f t="shared" si="204"/>
        <v>0</v>
      </c>
      <c r="BJ241" s="453" t="s">
        <v>405</v>
      </c>
      <c r="BK241" s="78"/>
      <c r="BL241" s="78" t="s">
        <v>92</v>
      </c>
      <c r="BM241" s="9" t="s">
        <v>313</v>
      </c>
    </row>
    <row r="242" spans="1:65" s="333" customFormat="1">
      <c r="A242" s="197" t="s">
        <v>383</v>
      </c>
      <c r="B242" s="9" t="s">
        <v>186</v>
      </c>
      <c r="C242" s="1" t="s">
        <v>30</v>
      </c>
      <c r="D242" s="1004"/>
      <c r="E242" s="999"/>
      <c r="F242" s="1001"/>
      <c r="G242" s="417">
        <v>2024</v>
      </c>
      <c r="H242" s="849" t="s">
        <v>256</v>
      </c>
      <c r="I242" s="266" t="s">
        <v>151</v>
      </c>
      <c r="J242" s="147">
        <v>14</v>
      </c>
      <c r="K242" s="207" t="s">
        <v>153</v>
      </c>
      <c r="L242" s="180" t="s">
        <v>150</v>
      </c>
      <c r="M242" s="316" t="s">
        <v>320</v>
      </c>
      <c r="N242" s="6">
        <v>10.1</v>
      </c>
      <c r="O242" s="6">
        <v>10.1</v>
      </c>
      <c r="P242" s="6">
        <v>10.1</v>
      </c>
      <c r="Q242" s="6">
        <v>10.1</v>
      </c>
      <c r="R242" s="6">
        <v>10.1</v>
      </c>
      <c r="S242" s="6">
        <v>10.1</v>
      </c>
      <c r="T242" s="6">
        <v>10.1</v>
      </c>
      <c r="U242" s="6">
        <v>10.1</v>
      </c>
      <c r="V242" s="6">
        <v>10.1</v>
      </c>
      <c r="W242" s="6">
        <v>10.1</v>
      </c>
      <c r="X242" s="6">
        <v>10.1</v>
      </c>
      <c r="Y242" s="6">
        <v>10.1</v>
      </c>
      <c r="Z242" s="195">
        <v>2.2699999999999996</v>
      </c>
      <c r="AA242" s="340">
        <v>2.27</v>
      </c>
      <c r="AB242" s="340">
        <v>2.27</v>
      </c>
      <c r="AC242" s="341">
        <v>0</v>
      </c>
      <c r="AD242" s="340">
        <v>2.27</v>
      </c>
      <c r="AE242" s="341">
        <v>2.27</v>
      </c>
      <c r="AF242" s="340">
        <v>2.27</v>
      </c>
      <c r="AG242" s="341">
        <v>2.27</v>
      </c>
      <c r="AH242" s="340">
        <v>2.27</v>
      </c>
      <c r="AI242" s="341">
        <v>2.27</v>
      </c>
      <c r="AJ242" s="340">
        <v>2.27</v>
      </c>
      <c r="AK242" s="719">
        <v>2.27</v>
      </c>
      <c r="AL242" s="535">
        <v>0</v>
      </c>
      <c r="AM242" s="519">
        <f t="shared" si="193"/>
        <v>0</v>
      </c>
      <c r="AN242" s="588">
        <v>0</v>
      </c>
      <c r="AO242" s="496">
        <f t="shared" si="194"/>
        <v>0</v>
      </c>
      <c r="AP242" s="554">
        <v>0</v>
      </c>
      <c r="AQ242" s="620">
        <f t="shared" si="195"/>
        <v>0</v>
      </c>
      <c r="AR242" s="510">
        <v>40</v>
      </c>
      <c r="AS242" s="777">
        <f t="shared" si="196"/>
        <v>0</v>
      </c>
      <c r="AT242" s="554">
        <v>0</v>
      </c>
      <c r="AU242" s="494">
        <f t="shared" si="197"/>
        <v>0</v>
      </c>
      <c r="AV242" s="58">
        <v>0</v>
      </c>
      <c r="AW242" s="390">
        <f t="shared" si="198"/>
        <v>0</v>
      </c>
      <c r="AX242" s="439">
        <v>0</v>
      </c>
      <c r="AY242" s="389">
        <f t="shared" si="199"/>
        <v>0</v>
      </c>
      <c r="AZ242" s="58">
        <v>0</v>
      </c>
      <c r="BA242" s="389">
        <f t="shared" si="200"/>
        <v>0</v>
      </c>
      <c r="BB242" s="58">
        <v>0</v>
      </c>
      <c r="BC242" s="391">
        <f t="shared" si="201"/>
        <v>0</v>
      </c>
      <c r="BD242" s="123">
        <v>0</v>
      </c>
      <c r="BE242" s="389">
        <f t="shared" si="202"/>
        <v>0</v>
      </c>
      <c r="BF242" s="58">
        <v>0</v>
      </c>
      <c r="BG242" s="389">
        <f t="shared" si="203"/>
        <v>0</v>
      </c>
      <c r="BH242" s="58">
        <v>0</v>
      </c>
      <c r="BI242" s="392">
        <f t="shared" si="204"/>
        <v>0</v>
      </c>
      <c r="BJ242" s="453" t="s">
        <v>257</v>
      </c>
      <c r="BK242" s="78"/>
      <c r="BL242" s="78" t="s">
        <v>92</v>
      </c>
      <c r="BM242" s="9" t="s">
        <v>312</v>
      </c>
    </row>
    <row r="243" spans="1:65" s="333" customFormat="1">
      <c r="A243" s="197" t="s">
        <v>383</v>
      </c>
      <c r="B243" s="9" t="s">
        <v>186</v>
      </c>
      <c r="C243" s="78" t="s">
        <v>30</v>
      </c>
      <c r="D243" s="1004"/>
      <c r="E243" s="999"/>
      <c r="F243" s="1001"/>
      <c r="G243" s="417">
        <v>2026</v>
      </c>
      <c r="H243" s="849" t="s">
        <v>449</v>
      </c>
      <c r="I243" s="266" t="s">
        <v>151</v>
      </c>
      <c r="J243" s="147">
        <v>14</v>
      </c>
      <c r="K243" s="180" t="s">
        <v>446</v>
      </c>
      <c r="L243" s="180" t="s">
        <v>150</v>
      </c>
      <c r="M243" s="316" t="s">
        <v>400</v>
      </c>
      <c r="N243" s="6">
        <v>8.0299999999999994</v>
      </c>
      <c r="O243" s="6">
        <v>8.0299999999999994</v>
      </c>
      <c r="P243" s="6">
        <v>8.0299999999999994</v>
      </c>
      <c r="Q243" s="6">
        <v>8.0299999999999994</v>
      </c>
      <c r="R243" s="6">
        <v>8.6</v>
      </c>
      <c r="S243" s="6">
        <v>8.6</v>
      </c>
      <c r="T243" s="6">
        <v>8.6</v>
      </c>
      <c r="U243" s="6">
        <v>8.6</v>
      </c>
      <c r="V243" s="6">
        <v>8.6</v>
      </c>
      <c r="W243" s="6">
        <v>8.6</v>
      </c>
      <c r="X243" s="6">
        <v>8.6</v>
      </c>
      <c r="Y243" s="6">
        <v>8.6</v>
      </c>
      <c r="Z243" s="195">
        <v>0.67999999999999972</v>
      </c>
      <c r="AA243" s="2">
        <v>0.67999999999999972</v>
      </c>
      <c r="AB243" s="2">
        <v>0.67999999999999972</v>
      </c>
      <c r="AC243" s="2">
        <v>0</v>
      </c>
      <c r="AD243" s="2">
        <v>0.84</v>
      </c>
      <c r="AE243" s="2">
        <v>0.84</v>
      </c>
      <c r="AF243" s="2">
        <v>0.84</v>
      </c>
      <c r="AG243" s="2">
        <v>0.84</v>
      </c>
      <c r="AH243" s="2">
        <v>0.84</v>
      </c>
      <c r="AI243" s="2">
        <v>0.84</v>
      </c>
      <c r="AJ243" s="2">
        <v>0.84</v>
      </c>
      <c r="AK243" s="480">
        <v>0.84</v>
      </c>
      <c r="AL243" s="535">
        <v>0</v>
      </c>
      <c r="AM243" s="496">
        <f t="shared" si="193"/>
        <v>0</v>
      </c>
      <c r="AN243" s="588">
        <v>0</v>
      </c>
      <c r="AO243" s="494">
        <f t="shared" si="194"/>
        <v>0</v>
      </c>
      <c r="AP243" s="554">
        <v>0</v>
      </c>
      <c r="AQ243" s="621">
        <f t="shared" si="195"/>
        <v>0</v>
      </c>
      <c r="AR243" s="510">
        <v>0</v>
      </c>
      <c r="AS243" s="777">
        <f t="shared" si="196"/>
        <v>0</v>
      </c>
      <c r="AT243" s="554">
        <v>80</v>
      </c>
      <c r="AU243" s="496">
        <f t="shared" si="197"/>
        <v>67.2</v>
      </c>
      <c r="AV243" s="58">
        <v>627</v>
      </c>
      <c r="AW243" s="355">
        <f t="shared" si="198"/>
        <v>526.67999999999995</v>
      </c>
      <c r="AX243" s="439">
        <v>751</v>
      </c>
      <c r="AY243" s="127">
        <f t="shared" si="199"/>
        <v>630.84</v>
      </c>
      <c r="AZ243" s="58">
        <v>854</v>
      </c>
      <c r="BA243" s="127">
        <f t="shared" si="200"/>
        <v>717.36</v>
      </c>
      <c r="BB243" s="58">
        <v>383.647963626825</v>
      </c>
      <c r="BC243" s="356">
        <f t="shared" si="201"/>
        <v>322.26428944653298</v>
      </c>
      <c r="BD243" s="123">
        <v>538.50485267115505</v>
      </c>
      <c r="BE243" s="127">
        <f t="shared" si="202"/>
        <v>452.34407624377025</v>
      </c>
      <c r="BF243" s="58">
        <v>493.94111043105698</v>
      </c>
      <c r="BG243" s="127">
        <f t="shared" si="203"/>
        <v>414.91053276208783</v>
      </c>
      <c r="BH243" s="58">
        <v>466.40102124683</v>
      </c>
      <c r="BI243" s="329">
        <f t="shared" si="204"/>
        <v>391.77685784733717</v>
      </c>
      <c r="BJ243" s="194" t="s">
        <v>430</v>
      </c>
      <c r="BK243" s="78"/>
      <c r="BL243" s="78" t="s">
        <v>92</v>
      </c>
      <c r="BM243" s="9" t="s">
        <v>456</v>
      </c>
    </row>
    <row r="244" spans="1:65" s="333" customFormat="1">
      <c r="A244" s="197" t="s">
        <v>383</v>
      </c>
      <c r="B244" s="9" t="s">
        <v>186</v>
      </c>
      <c r="C244" s="78" t="s">
        <v>30</v>
      </c>
      <c r="D244" s="1004"/>
      <c r="E244" s="999"/>
      <c r="F244" s="1001"/>
      <c r="G244" s="417">
        <v>2026</v>
      </c>
      <c r="H244" s="849" t="s">
        <v>449</v>
      </c>
      <c r="I244" s="266" t="s">
        <v>151</v>
      </c>
      <c r="J244" s="147">
        <v>14</v>
      </c>
      <c r="K244" s="180" t="s">
        <v>452</v>
      </c>
      <c r="L244" s="180" t="s">
        <v>150</v>
      </c>
      <c r="M244" s="316" t="s">
        <v>400</v>
      </c>
      <c r="N244" s="6">
        <v>8.0299999999999994</v>
      </c>
      <c r="O244" s="6">
        <v>8.0299999999999994</v>
      </c>
      <c r="P244" s="6">
        <v>8.0299999999999994</v>
      </c>
      <c r="Q244" s="6">
        <v>8.0299999999999994</v>
      </c>
      <c r="R244" s="6">
        <v>8.6</v>
      </c>
      <c r="S244" s="6">
        <v>8.6</v>
      </c>
      <c r="T244" s="6">
        <v>8.6</v>
      </c>
      <c r="U244" s="6">
        <v>8.6</v>
      </c>
      <c r="V244" s="6">
        <v>8.6</v>
      </c>
      <c r="W244" s="6">
        <v>8.6</v>
      </c>
      <c r="X244" s="6">
        <v>8.6</v>
      </c>
      <c r="Y244" s="6">
        <v>8.6</v>
      </c>
      <c r="Z244" s="195">
        <v>0.67999999999999972</v>
      </c>
      <c r="AA244" s="2">
        <v>0.67999999999999972</v>
      </c>
      <c r="AB244" s="2">
        <v>0.67999999999999972</v>
      </c>
      <c r="AC244" s="2">
        <v>0</v>
      </c>
      <c r="AD244" s="2">
        <v>0.84</v>
      </c>
      <c r="AE244" s="2">
        <v>0.84</v>
      </c>
      <c r="AF244" s="2">
        <v>0.84</v>
      </c>
      <c r="AG244" s="2">
        <v>0.84</v>
      </c>
      <c r="AH244" s="2">
        <v>0.84</v>
      </c>
      <c r="AI244" s="2">
        <v>0.84</v>
      </c>
      <c r="AJ244" s="2">
        <v>0.84</v>
      </c>
      <c r="AK244" s="480">
        <v>0.84</v>
      </c>
      <c r="AL244" s="535">
        <v>0</v>
      </c>
      <c r="AM244" s="519">
        <f t="shared" si="193"/>
        <v>0</v>
      </c>
      <c r="AN244" s="588">
        <v>0</v>
      </c>
      <c r="AO244" s="496">
        <f t="shared" si="194"/>
        <v>0</v>
      </c>
      <c r="AP244" s="554">
        <v>1720</v>
      </c>
      <c r="AQ244" s="622">
        <f t="shared" si="195"/>
        <v>1169.5999999999995</v>
      </c>
      <c r="AR244" s="510">
        <v>3960</v>
      </c>
      <c r="AS244" s="775">
        <f t="shared" si="196"/>
        <v>0</v>
      </c>
      <c r="AT244" s="554">
        <v>5960</v>
      </c>
      <c r="AU244" s="494">
        <f t="shared" si="197"/>
        <v>5006.3999999999996</v>
      </c>
      <c r="AV244" s="58">
        <v>4359</v>
      </c>
      <c r="AW244" s="390">
        <f t="shared" si="198"/>
        <v>3661.56</v>
      </c>
      <c r="AX244" s="439">
        <v>4132</v>
      </c>
      <c r="AY244" s="389">
        <f t="shared" si="199"/>
        <v>3470.8799999999997</v>
      </c>
      <c r="AZ244" s="58">
        <v>4497</v>
      </c>
      <c r="BA244" s="389">
        <f t="shared" si="200"/>
        <v>3777.48</v>
      </c>
      <c r="BB244" s="58">
        <v>11993.070522170899</v>
      </c>
      <c r="BC244" s="391">
        <f t="shared" si="201"/>
        <v>10074.179238623556</v>
      </c>
      <c r="BD244" s="123">
        <v>12175.7496251874</v>
      </c>
      <c r="BE244" s="389">
        <f t="shared" si="202"/>
        <v>10227.629685157415</v>
      </c>
      <c r="BF244" s="58">
        <v>11284.0561662369</v>
      </c>
      <c r="BG244" s="389">
        <f t="shared" si="203"/>
        <v>9478.6071796389951</v>
      </c>
      <c r="BH244" s="58">
        <v>12225.777345247399</v>
      </c>
      <c r="BI244" s="392">
        <f t="shared" si="204"/>
        <v>10269.652970007815</v>
      </c>
      <c r="BJ244" s="194" t="s">
        <v>431</v>
      </c>
      <c r="BK244" s="78"/>
      <c r="BL244" s="78" t="s">
        <v>92</v>
      </c>
      <c r="BM244" s="9" t="s">
        <v>457</v>
      </c>
    </row>
    <row r="245" spans="1:65" s="333" customFormat="1">
      <c r="A245" s="197" t="s">
        <v>383</v>
      </c>
      <c r="B245" s="9" t="s">
        <v>186</v>
      </c>
      <c r="C245" s="78" t="s">
        <v>30</v>
      </c>
      <c r="D245" s="1004"/>
      <c r="E245" s="999"/>
      <c r="F245" s="1001"/>
      <c r="G245" s="417">
        <v>2026</v>
      </c>
      <c r="H245" s="849" t="s">
        <v>449</v>
      </c>
      <c r="I245" s="266" t="s">
        <v>151</v>
      </c>
      <c r="J245" s="147">
        <v>14</v>
      </c>
      <c r="K245" s="180" t="s">
        <v>453</v>
      </c>
      <c r="L245" s="180" t="s">
        <v>150</v>
      </c>
      <c r="M245" s="316" t="s">
        <v>400</v>
      </c>
      <c r="N245" s="6">
        <v>8.0299999999999994</v>
      </c>
      <c r="O245" s="6">
        <v>8.0299999999999994</v>
      </c>
      <c r="P245" s="6">
        <v>8.0299999999999994</v>
      </c>
      <c r="Q245" s="6">
        <v>8.0299999999999994</v>
      </c>
      <c r="R245" s="6">
        <v>8.6</v>
      </c>
      <c r="S245" s="6">
        <v>8.6</v>
      </c>
      <c r="T245" s="6">
        <v>8.6</v>
      </c>
      <c r="U245" s="6">
        <v>8.6</v>
      </c>
      <c r="V245" s="6">
        <v>8.6</v>
      </c>
      <c r="W245" s="6">
        <v>8.6</v>
      </c>
      <c r="X245" s="6">
        <v>8.6</v>
      </c>
      <c r="Y245" s="6">
        <v>8.6</v>
      </c>
      <c r="Z245" s="195">
        <v>0.67999999999999972</v>
      </c>
      <c r="AA245" s="2">
        <v>0.67999999999999972</v>
      </c>
      <c r="AB245" s="2">
        <v>0.67999999999999972</v>
      </c>
      <c r="AC245" s="2">
        <v>0</v>
      </c>
      <c r="AD245" s="2">
        <v>0.84</v>
      </c>
      <c r="AE245" s="2">
        <v>0.84</v>
      </c>
      <c r="AF245" s="2">
        <v>0.84</v>
      </c>
      <c r="AG245" s="2">
        <v>0.84</v>
      </c>
      <c r="AH245" s="2">
        <v>0.84</v>
      </c>
      <c r="AI245" s="2">
        <v>0.84</v>
      </c>
      <c r="AJ245" s="2">
        <v>0.84</v>
      </c>
      <c r="AK245" s="480">
        <v>0.84</v>
      </c>
      <c r="AL245" s="535">
        <v>0</v>
      </c>
      <c r="AM245" s="496">
        <f t="shared" si="193"/>
        <v>0</v>
      </c>
      <c r="AN245" s="588">
        <v>0</v>
      </c>
      <c r="AO245" s="494">
        <f t="shared" si="194"/>
        <v>0</v>
      </c>
      <c r="AP245" s="554">
        <v>0</v>
      </c>
      <c r="AQ245" s="621">
        <f t="shared" si="195"/>
        <v>0</v>
      </c>
      <c r="AR245" s="510">
        <v>4240</v>
      </c>
      <c r="AS245" s="777">
        <f t="shared" si="196"/>
        <v>0</v>
      </c>
      <c r="AT245" s="554">
        <v>1920</v>
      </c>
      <c r="AU245" s="496">
        <f t="shared" si="197"/>
        <v>1612.8</v>
      </c>
      <c r="AV245" s="58">
        <v>3009</v>
      </c>
      <c r="AW245" s="355">
        <f t="shared" si="198"/>
        <v>2527.56</v>
      </c>
      <c r="AX245" s="439">
        <v>4416</v>
      </c>
      <c r="AY245" s="127">
        <f t="shared" si="199"/>
        <v>3709.44</v>
      </c>
      <c r="AZ245" s="58">
        <v>4890</v>
      </c>
      <c r="BA245" s="127">
        <f t="shared" si="200"/>
        <v>4107.5999999999995</v>
      </c>
      <c r="BB245" s="58">
        <v>4311.8899034176102</v>
      </c>
      <c r="BC245" s="356">
        <f t="shared" si="201"/>
        <v>3621.9875188707924</v>
      </c>
      <c r="BD245" s="123">
        <v>5566.9315141462903</v>
      </c>
      <c r="BE245" s="127">
        <f t="shared" si="202"/>
        <v>4676.2224718828838</v>
      </c>
      <c r="BF245" s="58">
        <v>5138.6570896245103</v>
      </c>
      <c r="BG245" s="127">
        <f t="shared" si="203"/>
        <v>4316.4719552845881</v>
      </c>
      <c r="BH245" s="58">
        <v>5291.4641143583303</v>
      </c>
      <c r="BI245" s="329">
        <f t="shared" si="204"/>
        <v>4444.8298560609974</v>
      </c>
      <c r="BJ245" s="194" t="s">
        <v>432</v>
      </c>
      <c r="BK245" s="78"/>
      <c r="BL245" s="78" t="s">
        <v>92</v>
      </c>
      <c r="BM245" s="9" t="s">
        <v>458</v>
      </c>
    </row>
    <row r="246" spans="1:65" s="333" customFormat="1">
      <c r="A246" s="197" t="s">
        <v>383</v>
      </c>
      <c r="B246" s="9" t="s">
        <v>186</v>
      </c>
      <c r="C246" s="78" t="s">
        <v>30</v>
      </c>
      <c r="D246" s="1004"/>
      <c r="E246" s="999"/>
      <c r="F246" s="1001"/>
      <c r="G246" s="417">
        <v>2026</v>
      </c>
      <c r="H246" s="849" t="s">
        <v>449</v>
      </c>
      <c r="I246" s="266" t="s">
        <v>151</v>
      </c>
      <c r="J246" s="147">
        <v>14</v>
      </c>
      <c r="K246" s="180" t="s">
        <v>454</v>
      </c>
      <c r="L246" s="180" t="s">
        <v>150</v>
      </c>
      <c r="M246" s="316" t="s">
        <v>400</v>
      </c>
      <c r="N246" s="6">
        <v>8.0299999999999994</v>
      </c>
      <c r="O246" s="6">
        <v>8.0299999999999994</v>
      </c>
      <c r="P246" s="6">
        <v>8.0299999999999994</v>
      </c>
      <c r="Q246" s="6">
        <v>8.0299999999999994</v>
      </c>
      <c r="R246" s="6">
        <v>8.6</v>
      </c>
      <c r="S246" s="6">
        <v>8.6</v>
      </c>
      <c r="T246" s="6">
        <v>8.6</v>
      </c>
      <c r="U246" s="6">
        <v>8.6</v>
      </c>
      <c r="V246" s="6">
        <v>8.6</v>
      </c>
      <c r="W246" s="6">
        <v>8.6</v>
      </c>
      <c r="X246" s="6">
        <v>8.6</v>
      </c>
      <c r="Y246" s="6">
        <v>8.6</v>
      </c>
      <c r="Z246" s="195">
        <v>0.67999999999999972</v>
      </c>
      <c r="AA246" s="2">
        <v>0.67999999999999972</v>
      </c>
      <c r="AB246" s="2">
        <v>0.67999999999999972</v>
      </c>
      <c r="AC246" s="2">
        <v>0</v>
      </c>
      <c r="AD246" s="2">
        <v>0.84</v>
      </c>
      <c r="AE246" s="2">
        <v>0.84</v>
      </c>
      <c r="AF246" s="2">
        <v>0.84</v>
      </c>
      <c r="AG246" s="2">
        <v>0.84</v>
      </c>
      <c r="AH246" s="2">
        <v>0.84</v>
      </c>
      <c r="AI246" s="2">
        <v>0.84</v>
      </c>
      <c r="AJ246" s="2">
        <v>0.84</v>
      </c>
      <c r="AK246" s="480">
        <v>0.84</v>
      </c>
      <c r="AL246" s="535">
        <v>0</v>
      </c>
      <c r="AM246" s="519">
        <f t="shared" si="193"/>
        <v>0</v>
      </c>
      <c r="AN246" s="588">
        <v>0</v>
      </c>
      <c r="AO246" s="496">
        <f t="shared" si="194"/>
        <v>0</v>
      </c>
      <c r="AP246" s="554">
        <v>1840</v>
      </c>
      <c r="AQ246" s="620">
        <f t="shared" si="195"/>
        <v>1251.1999999999994</v>
      </c>
      <c r="AR246" s="510">
        <v>3920</v>
      </c>
      <c r="AS246" s="777">
        <f t="shared" si="196"/>
        <v>0</v>
      </c>
      <c r="AT246" s="554">
        <v>3480</v>
      </c>
      <c r="AU246" s="494">
        <f t="shared" si="197"/>
        <v>2923.2</v>
      </c>
      <c r="AV246" s="58">
        <v>4387</v>
      </c>
      <c r="AW246" s="355">
        <f t="shared" si="198"/>
        <v>3685.08</v>
      </c>
      <c r="AX246" s="439">
        <v>4639</v>
      </c>
      <c r="AY246" s="389">
        <f t="shared" si="199"/>
        <v>3896.7599999999998</v>
      </c>
      <c r="AZ246" s="58">
        <v>6094</v>
      </c>
      <c r="BA246" s="389">
        <f t="shared" si="200"/>
        <v>5118.96</v>
      </c>
      <c r="BB246" s="58">
        <v>11749.5802853147</v>
      </c>
      <c r="BC246" s="356">
        <f t="shared" si="201"/>
        <v>9869.647439664348</v>
      </c>
      <c r="BD246" s="123">
        <v>14812.1468531469</v>
      </c>
      <c r="BE246" s="389">
        <f t="shared" si="202"/>
        <v>12442.203356643395</v>
      </c>
      <c r="BF246" s="58">
        <v>13907.6457622378</v>
      </c>
      <c r="BG246" s="389">
        <f t="shared" si="203"/>
        <v>11682.422440279752</v>
      </c>
      <c r="BH246" s="58">
        <v>17486.424503496499</v>
      </c>
      <c r="BI246" s="392">
        <f t="shared" si="204"/>
        <v>14688.596582937058</v>
      </c>
      <c r="BJ246" s="194" t="s">
        <v>433</v>
      </c>
      <c r="BK246" s="78"/>
      <c r="BL246" s="78" t="s">
        <v>92</v>
      </c>
      <c r="BM246" s="9" t="s">
        <v>460</v>
      </c>
    </row>
    <row r="247" spans="1:65" s="333" customFormat="1">
      <c r="A247" s="197" t="s">
        <v>383</v>
      </c>
      <c r="B247" s="9" t="s">
        <v>186</v>
      </c>
      <c r="C247" s="78" t="s">
        <v>30</v>
      </c>
      <c r="D247" s="1004"/>
      <c r="E247" s="999"/>
      <c r="F247" s="1001"/>
      <c r="G247" s="417">
        <v>2026</v>
      </c>
      <c r="H247" s="849" t="s">
        <v>449</v>
      </c>
      <c r="I247" s="266" t="s">
        <v>151</v>
      </c>
      <c r="J247" s="147">
        <v>14</v>
      </c>
      <c r="K247" s="180" t="s">
        <v>455</v>
      </c>
      <c r="L247" s="180" t="s">
        <v>150</v>
      </c>
      <c r="M247" s="316" t="s">
        <v>400</v>
      </c>
      <c r="N247" s="6">
        <v>8.0299999999999994</v>
      </c>
      <c r="O247" s="6">
        <v>7.43</v>
      </c>
      <c r="P247" s="6">
        <v>7.43</v>
      </c>
      <c r="Q247" s="6">
        <v>7.43</v>
      </c>
      <c r="R247" s="6">
        <v>8</v>
      </c>
      <c r="S247" s="6">
        <v>8</v>
      </c>
      <c r="T247" s="6">
        <v>8</v>
      </c>
      <c r="U247" s="6">
        <v>8</v>
      </c>
      <c r="V247" s="6">
        <v>8</v>
      </c>
      <c r="W247" s="6">
        <v>8</v>
      </c>
      <c r="X247" s="6">
        <v>8</v>
      </c>
      <c r="Y247" s="6">
        <v>8</v>
      </c>
      <c r="Z247" s="195">
        <v>1.0799999999999992</v>
      </c>
      <c r="AA247" s="2">
        <v>0.48</v>
      </c>
      <c r="AB247" s="2">
        <v>0.48</v>
      </c>
      <c r="AC247" s="2">
        <v>0</v>
      </c>
      <c r="AD247" s="2">
        <v>0.64</v>
      </c>
      <c r="AE247" s="2">
        <v>0.64</v>
      </c>
      <c r="AF247" s="2">
        <v>0.64</v>
      </c>
      <c r="AG247" s="2">
        <v>0.64</v>
      </c>
      <c r="AH247" s="2">
        <v>0.64</v>
      </c>
      <c r="AI247" s="2">
        <v>0.64</v>
      </c>
      <c r="AJ247" s="2">
        <v>0.64</v>
      </c>
      <c r="AK247" s="2">
        <v>0.64</v>
      </c>
      <c r="AL247" s="535">
        <v>0</v>
      </c>
      <c r="AM247" s="496">
        <f t="shared" si="193"/>
        <v>0</v>
      </c>
      <c r="AN247" s="588">
        <v>0</v>
      </c>
      <c r="AO247" s="494">
        <f t="shared" si="194"/>
        <v>0</v>
      </c>
      <c r="AP247" s="554">
        <v>0</v>
      </c>
      <c r="AQ247" s="621">
        <f t="shared" si="195"/>
        <v>0</v>
      </c>
      <c r="AR247" s="510">
        <v>0</v>
      </c>
      <c r="AS247" s="775">
        <f t="shared" si="196"/>
        <v>0</v>
      </c>
      <c r="AT247" s="554">
        <v>0</v>
      </c>
      <c r="AU247" s="494">
        <f t="shared" si="197"/>
        <v>0</v>
      </c>
      <c r="AV247" s="58">
        <v>615</v>
      </c>
      <c r="AW247" s="390">
        <f t="shared" si="198"/>
        <v>393.6</v>
      </c>
      <c r="AX247" s="439">
        <v>400</v>
      </c>
      <c r="AY247" s="389">
        <f t="shared" si="199"/>
        <v>256</v>
      </c>
      <c r="AZ247" s="58">
        <v>125</v>
      </c>
      <c r="BA247" s="127">
        <f t="shared" si="200"/>
        <v>80</v>
      </c>
      <c r="BB247" s="58">
        <v>3950.37512546997</v>
      </c>
      <c r="BC247" s="391">
        <f t="shared" si="201"/>
        <v>2528.2400803007808</v>
      </c>
      <c r="BD247" s="123">
        <v>5544.9171548483</v>
      </c>
      <c r="BE247" s="127">
        <f t="shared" si="202"/>
        <v>3548.7469791029121</v>
      </c>
      <c r="BF247" s="58">
        <v>5086.0498714697897</v>
      </c>
      <c r="BG247" s="127">
        <f t="shared" si="203"/>
        <v>3255.0719177406654</v>
      </c>
      <c r="BH247" s="58">
        <v>4802.4730156509604</v>
      </c>
      <c r="BI247" s="329">
        <f t="shared" si="204"/>
        <v>3073.5827300166147</v>
      </c>
      <c r="BJ247" s="194" t="s">
        <v>434</v>
      </c>
      <c r="BK247" s="78"/>
      <c r="BL247" s="78" t="s">
        <v>92</v>
      </c>
      <c r="BM247" s="9" t="s">
        <v>459</v>
      </c>
    </row>
    <row r="248" spans="1:65" ht="15" thickBot="1">
      <c r="A248" s="351" t="s">
        <v>383</v>
      </c>
      <c r="B248" s="10" t="s">
        <v>186</v>
      </c>
      <c r="C248" s="79" t="s">
        <v>30</v>
      </c>
      <c r="D248" s="1005"/>
      <c r="E248" s="1000"/>
      <c r="F248" s="1002"/>
      <c r="G248" s="243">
        <v>2026</v>
      </c>
      <c r="H248" s="850" t="s">
        <v>451</v>
      </c>
      <c r="I248" s="267" t="s">
        <v>151</v>
      </c>
      <c r="J248" s="87">
        <v>17</v>
      </c>
      <c r="K248" s="89" t="s">
        <v>446</v>
      </c>
      <c r="L248" s="183" t="s">
        <v>150</v>
      </c>
      <c r="M248" s="317" t="s">
        <v>400</v>
      </c>
      <c r="N248" s="83">
        <v>8.31</v>
      </c>
      <c r="O248" s="83">
        <v>8.31</v>
      </c>
      <c r="P248" s="83">
        <v>8.31</v>
      </c>
      <c r="Q248" s="83">
        <v>8.31</v>
      </c>
      <c r="R248" s="83">
        <v>9.0500000000000007</v>
      </c>
      <c r="S248" s="83">
        <v>9.0500000000000007</v>
      </c>
      <c r="T248" s="83">
        <v>9.0500000000000007</v>
      </c>
      <c r="U248" s="83">
        <v>9.0500000000000007</v>
      </c>
      <c r="V248" s="83">
        <v>9.0500000000000007</v>
      </c>
      <c r="W248" s="83">
        <v>9.0500000000000007</v>
      </c>
      <c r="X248" s="83">
        <v>9.0500000000000007</v>
      </c>
      <c r="Y248" s="83">
        <v>9.0500000000000007</v>
      </c>
      <c r="Z248" s="253">
        <v>0.8100000000000005</v>
      </c>
      <c r="AA248" s="254">
        <v>0.8100000000000005</v>
      </c>
      <c r="AB248" s="254">
        <v>0.8100000000000005</v>
      </c>
      <c r="AC248" s="254">
        <v>0</v>
      </c>
      <c r="AD248" s="254">
        <v>1.05</v>
      </c>
      <c r="AE248" s="254">
        <v>1.05</v>
      </c>
      <c r="AF248" s="254">
        <v>1.05</v>
      </c>
      <c r="AG248" s="254">
        <v>1.05</v>
      </c>
      <c r="AH248" s="254">
        <v>1.05</v>
      </c>
      <c r="AI248" s="254">
        <v>1.05</v>
      </c>
      <c r="AJ248" s="254">
        <v>1.05</v>
      </c>
      <c r="AK248" s="481">
        <v>1.05</v>
      </c>
      <c r="AL248" s="536">
        <v>0</v>
      </c>
      <c r="AM248" s="501">
        <f t="shared" si="193"/>
        <v>0</v>
      </c>
      <c r="AN248" s="589">
        <v>0</v>
      </c>
      <c r="AO248" s="507">
        <f t="shared" si="194"/>
        <v>0</v>
      </c>
      <c r="AP248" s="561">
        <v>0</v>
      </c>
      <c r="AQ248" s="618">
        <f t="shared" si="195"/>
        <v>0</v>
      </c>
      <c r="AR248" s="513">
        <v>3430</v>
      </c>
      <c r="AS248" s="780">
        <f t="shared" si="196"/>
        <v>0</v>
      </c>
      <c r="AT248" s="564">
        <v>240</v>
      </c>
      <c r="AU248" s="507">
        <f t="shared" si="197"/>
        <v>252</v>
      </c>
      <c r="AV248" s="598">
        <v>706</v>
      </c>
      <c r="AW248" s="359">
        <f t="shared" si="198"/>
        <v>741.30000000000007</v>
      </c>
      <c r="AX248" s="601">
        <v>1274</v>
      </c>
      <c r="AY248" s="131">
        <f t="shared" si="199"/>
        <v>1337.7</v>
      </c>
      <c r="AZ248" s="69">
        <v>1884</v>
      </c>
      <c r="BA248" s="131">
        <f t="shared" si="200"/>
        <v>1978.2</v>
      </c>
      <c r="BB248" s="598">
        <v>7994.1719999999996</v>
      </c>
      <c r="BC248" s="361">
        <f t="shared" si="201"/>
        <v>8393.8806000000004</v>
      </c>
      <c r="BD248" s="137">
        <v>8932</v>
      </c>
      <c r="BE248" s="131">
        <f t="shared" si="202"/>
        <v>9378.6</v>
      </c>
      <c r="BF248" s="69">
        <v>8441.2000000000007</v>
      </c>
      <c r="BG248" s="131">
        <f t="shared" si="203"/>
        <v>8863.260000000002</v>
      </c>
      <c r="BH248" s="598">
        <v>11336.64</v>
      </c>
      <c r="BI248" s="460">
        <f t="shared" si="204"/>
        <v>11903.472</v>
      </c>
      <c r="BJ248" s="194" t="s">
        <v>437</v>
      </c>
      <c r="BK248" s="78"/>
      <c r="BL248" s="78" t="s">
        <v>92</v>
      </c>
      <c r="BM248" s="9" t="s">
        <v>462</v>
      </c>
    </row>
    <row r="249" spans="1:65">
      <c r="A249" s="350" t="s">
        <v>383</v>
      </c>
      <c r="B249" s="22" t="s">
        <v>186</v>
      </c>
      <c r="C249" s="22" t="s">
        <v>30</v>
      </c>
      <c r="D249" s="997" t="s">
        <v>397</v>
      </c>
      <c r="E249" s="999" t="s">
        <v>226</v>
      </c>
      <c r="F249" s="1001" t="s">
        <v>406</v>
      </c>
      <c r="G249" s="204">
        <v>2024</v>
      </c>
      <c r="H249" s="883" t="s">
        <v>507</v>
      </c>
      <c r="I249" s="285" t="s">
        <v>151</v>
      </c>
      <c r="J249" s="75">
        <v>14</v>
      </c>
      <c r="K249" s="324" t="s">
        <v>258</v>
      </c>
      <c r="L249" s="181" t="s">
        <v>150</v>
      </c>
      <c r="M249" s="161" t="s">
        <v>323</v>
      </c>
      <c r="N249" s="84">
        <v>9.75</v>
      </c>
      <c r="O249" s="84">
        <v>9.75</v>
      </c>
      <c r="P249" s="182">
        <v>9.75</v>
      </c>
      <c r="Q249" s="84">
        <v>9.75</v>
      </c>
      <c r="R249" s="182">
        <v>9.75</v>
      </c>
      <c r="S249" s="84">
        <v>9.75</v>
      </c>
      <c r="T249" s="182">
        <v>9.75</v>
      </c>
      <c r="U249" s="84">
        <v>9.75</v>
      </c>
      <c r="V249" s="182">
        <v>9.75</v>
      </c>
      <c r="W249" s="84">
        <v>9.75</v>
      </c>
      <c r="X249" s="182">
        <v>9.75</v>
      </c>
      <c r="Y249" s="84">
        <v>9.75</v>
      </c>
      <c r="Z249" s="336">
        <v>1.92</v>
      </c>
      <c r="AA249" s="95">
        <v>1.92</v>
      </c>
      <c r="AB249" s="95">
        <v>1.92</v>
      </c>
      <c r="AC249" s="91">
        <v>0</v>
      </c>
      <c r="AD249" s="95">
        <v>1.92</v>
      </c>
      <c r="AE249" s="91">
        <v>1.92</v>
      </c>
      <c r="AF249" s="95">
        <v>1.92</v>
      </c>
      <c r="AG249" s="91">
        <v>1.92</v>
      </c>
      <c r="AH249" s="95">
        <v>1.92</v>
      </c>
      <c r="AI249" s="91">
        <v>1.92</v>
      </c>
      <c r="AJ249" s="95">
        <v>1.92</v>
      </c>
      <c r="AK249" s="717">
        <v>1.92</v>
      </c>
      <c r="AL249" s="502">
        <v>16</v>
      </c>
      <c r="AM249" s="492">
        <f t="shared" si="193"/>
        <v>30.72</v>
      </c>
      <c r="AN249" s="552">
        <v>0</v>
      </c>
      <c r="AO249" s="492">
        <f t="shared" si="194"/>
        <v>0</v>
      </c>
      <c r="AP249" s="663">
        <v>0</v>
      </c>
      <c r="AQ249" s="651">
        <f t="shared" si="195"/>
        <v>0</v>
      </c>
      <c r="AR249" s="798">
        <v>0</v>
      </c>
      <c r="AS249" s="774">
        <f t="shared" si="196"/>
        <v>0</v>
      </c>
      <c r="AT249" s="663">
        <v>0</v>
      </c>
      <c r="AU249" s="492">
        <f t="shared" si="197"/>
        <v>0</v>
      </c>
      <c r="AV249" s="466">
        <v>0</v>
      </c>
      <c r="AW249" s="424">
        <f t="shared" si="198"/>
        <v>0</v>
      </c>
      <c r="AX249" s="467">
        <v>0</v>
      </c>
      <c r="AY249" s="423">
        <f t="shared" si="199"/>
        <v>0</v>
      </c>
      <c r="AZ249" s="466">
        <v>0</v>
      </c>
      <c r="BA249" s="423">
        <f t="shared" si="200"/>
        <v>0</v>
      </c>
      <c r="BB249" s="468">
        <v>0</v>
      </c>
      <c r="BC249" s="426">
        <f t="shared" si="201"/>
        <v>0</v>
      </c>
      <c r="BD249" s="467">
        <v>0</v>
      </c>
      <c r="BE249" s="423">
        <f t="shared" si="202"/>
        <v>0</v>
      </c>
      <c r="BF249" s="466">
        <v>0</v>
      </c>
      <c r="BG249" s="423">
        <f t="shared" si="203"/>
        <v>0</v>
      </c>
      <c r="BH249" s="468">
        <v>0</v>
      </c>
      <c r="BI249" s="458">
        <f t="shared" si="204"/>
        <v>0</v>
      </c>
      <c r="BJ249" s="245" t="s">
        <v>261</v>
      </c>
      <c r="BK249" s="78"/>
      <c r="BL249" s="78" t="s">
        <v>92</v>
      </c>
      <c r="BM249" s="9" t="s">
        <v>315</v>
      </c>
    </row>
    <row r="250" spans="1:65">
      <c r="A250" s="197" t="s">
        <v>383</v>
      </c>
      <c r="B250" s="9" t="s">
        <v>186</v>
      </c>
      <c r="C250" s="9" t="s">
        <v>30</v>
      </c>
      <c r="D250" s="997"/>
      <c r="E250" s="999"/>
      <c r="F250" s="1001"/>
      <c r="G250" s="205">
        <v>2025</v>
      </c>
      <c r="H250" s="883" t="s">
        <v>260</v>
      </c>
      <c r="I250" s="279" t="s">
        <v>151</v>
      </c>
      <c r="J250" s="63">
        <v>14</v>
      </c>
      <c r="K250" s="62" t="s">
        <v>153</v>
      </c>
      <c r="L250" s="74" t="s">
        <v>150</v>
      </c>
      <c r="M250" s="167" t="s">
        <v>323</v>
      </c>
      <c r="N250" s="81">
        <v>9.75</v>
      </c>
      <c r="O250" s="81">
        <v>9.75</v>
      </c>
      <c r="P250" s="81">
        <v>9.75</v>
      </c>
      <c r="Q250" s="81">
        <v>9.75</v>
      </c>
      <c r="R250" s="81">
        <v>9.75</v>
      </c>
      <c r="S250" s="81">
        <v>9.75</v>
      </c>
      <c r="T250" s="81">
        <v>9.75</v>
      </c>
      <c r="U250" s="81">
        <v>9.75</v>
      </c>
      <c r="V250" s="81">
        <v>9.75</v>
      </c>
      <c r="W250" s="81">
        <v>9.75</v>
      </c>
      <c r="X250" s="81">
        <v>9.75</v>
      </c>
      <c r="Y250" s="81">
        <v>9.75</v>
      </c>
      <c r="Z250" s="195">
        <v>1.92</v>
      </c>
      <c r="AA250" s="377">
        <v>1.92</v>
      </c>
      <c r="AB250" s="377">
        <v>1.92</v>
      </c>
      <c r="AC250" s="378">
        <v>0</v>
      </c>
      <c r="AD250" s="377">
        <v>1.92</v>
      </c>
      <c r="AE250" s="378">
        <v>1.92</v>
      </c>
      <c r="AF250" s="377">
        <v>1.92</v>
      </c>
      <c r="AG250" s="378">
        <v>1.92</v>
      </c>
      <c r="AH250" s="377">
        <v>1.92</v>
      </c>
      <c r="AI250" s="378">
        <v>1.92</v>
      </c>
      <c r="AJ250" s="377">
        <v>1.92</v>
      </c>
      <c r="AK250" s="714">
        <v>1.92</v>
      </c>
      <c r="AL250" s="518">
        <v>2000</v>
      </c>
      <c r="AM250" s="519">
        <f t="shared" ref="AM250" si="217">Z250*AL250</f>
        <v>3840</v>
      </c>
      <c r="AN250" s="590">
        <v>720</v>
      </c>
      <c r="AO250" s="496">
        <f t="shared" ref="AO250" si="218">AA250*AN250</f>
        <v>1382.3999999999999</v>
      </c>
      <c r="AP250" s="590">
        <v>1280</v>
      </c>
      <c r="AQ250" s="622">
        <f t="shared" ref="AQ250" si="219">AB250*AP250</f>
        <v>2457.6</v>
      </c>
      <c r="AR250" s="510">
        <v>1960</v>
      </c>
      <c r="AS250" s="777">
        <f t="shared" ref="AS250" si="220">AC250*AR250</f>
        <v>0</v>
      </c>
      <c r="AT250" s="590">
        <v>5600</v>
      </c>
      <c r="AU250" s="494">
        <f t="shared" ref="AU250" si="221">AD250*AT250</f>
        <v>10752</v>
      </c>
      <c r="AV250" s="64">
        <v>7636</v>
      </c>
      <c r="AW250" s="390">
        <f t="shared" ref="AW250" si="222">AE250*AV250</f>
        <v>14661.119999999999</v>
      </c>
      <c r="AX250" s="123">
        <v>2472</v>
      </c>
      <c r="AY250" s="389">
        <f t="shared" ref="AY250" si="223">AF250*AX250</f>
        <v>4746.24</v>
      </c>
      <c r="AZ250" s="64">
        <v>1547</v>
      </c>
      <c r="BA250" s="389">
        <f t="shared" ref="BA250" si="224">AG250*AZ250</f>
        <v>2970.24</v>
      </c>
      <c r="BB250" s="145">
        <v>0</v>
      </c>
      <c r="BC250" s="391">
        <f t="shared" ref="BC250" si="225">AH250*BB250</f>
        <v>0</v>
      </c>
      <c r="BD250" s="123">
        <v>0</v>
      </c>
      <c r="BE250" s="389">
        <f t="shared" ref="BE250" si="226">AI250*BD250</f>
        <v>0</v>
      </c>
      <c r="BF250" s="64">
        <v>0</v>
      </c>
      <c r="BG250" s="389">
        <f t="shared" ref="BG250" si="227">AJ250*BF250</f>
        <v>0</v>
      </c>
      <c r="BH250" s="145">
        <v>0</v>
      </c>
      <c r="BI250" s="392">
        <f t="shared" ref="BI250" si="228">AK250*BH250</f>
        <v>0</v>
      </c>
      <c r="BJ250" s="248" t="s">
        <v>580</v>
      </c>
      <c r="BK250" s="78" t="s">
        <v>219</v>
      </c>
      <c r="BL250" s="78" t="s">
        <v>92</v>
      </c>
      <c r="BM250" s="9" t="s">
        <v>314</v>
      </c>
    </row>
    <row r="251" spans="1:65" ht="16.399999999999999" customHeight="1">
      <c r="A251" s="197" t="s">
        <v>383</v>
      </c>
      <c r="B251" s="9" t="s">
        <v>186</v>
      </c>
      <c r="C251" s="9" t="s">
        <v>30</v>
      </c>
      <c r="D251" s="997"/>
      <c r="E251" s="999"/>
      <c r="F251" s="1001"/>
      <c r="G251" s="731">
        <v>2026</v>
      </c>
      <c r="H251" s="962" t="s">
        <v>262</v>
      </c>
      <c r="I251" s="963" t="s">
        <v>151</v>
      </c>
      <c r="J251" s="964">
        <v>14</v>
      </c>
      <c r="K251" s="735" t="s">
        <v>153</v>
      </c>
      <c r="L251" s="965" t="s">
        <v>150</v>
      </c>
      <c r="M251" s="961" t="s">
        <v>323</v>
      </c>
      <c r="N251" s="81">
        <v>9.0500000000000007</v>
      </c>
      <c r="O251" s="81">
        <v>9.0500000000000007</v>
      </c>
      <c r="P251" s="81">
        <v>7.9</v>
      </c>
      <c r="Q251" s="81">
        <v>7.9</v>
      </c>
      <c r="R251" s="81">
        <v>8.3000000000000007</v>
      </c>
      <c r="S251" s="81">
        <v>8.3000000000000007</v>
      </c>
      <c r="T251" s="81">
        <v>8.3000000000000007</v>
      </c>
      <c r="U251" s="81">
        <v>8.3000000000000007</v>
      </c>
      <c r="V251" s="81">
        <v>8.3000000000000007</v>
      </c>
      <c r="W251" s="81">
        <v>8.3000000000000007</v>
      </c>
      <c r="X251" s="81">
        <v>8.3000000000000007</v>
      </c>
      <c r="Y251" s="81">
        <v>8.3000000000000007</v>
      </c>
      <c r="Z251" s="195">
        <v>2.1000000000000005</v>
      </c>
      <c r="AA251" s="96">
        <v>2.1</v>
      </c>
      <c r="AB251" s="96">
        <v>1.02</v>
      </c>
      <c r="AC251" s="378">
        <v>0</v>
      </c>
      <c r="AD251" s="96">
        <v>1.01</v>
      </c>
      <c r="AE251" s="96">
        <v>1.01</v>
      </c>
      <c r="AF251" s="96">
        <v>1.01</v>
      </c>
      <c r="AG251" s="96">
        <v>1.01</v>
      </c>
      <c r="AH251" s="96">
        <v>1.01</v>
      </c>
      <c r="AI251" s="96">
        <v>1.01</v>
      </c>
      <c r="AJ251" s="96">
        <v>1.01</v>
      </c>
      <c r="AK251" s="718">
        <v>1.01</v>
      </c>
      <c r="AL251" s="518">
        <v>0</v>
      </c>
      <c r="AM251" s="519">
        <f t="shared" si="193"/>
        <v>0</v>
      </c>
      <c r="AN251" s="590">
        <v>0</v>
      </c>
      <c r="AO251" s="496">
        <f t="shared" si="194"/>
        <v>0</v>
      </c>
      <c r="AP251" s="590">
        <v>0</v>
      </c>
      <c r="AQ251" s="622">
        <f t="shared" si="195"/>
        <v>0</v>
      </c>
      <c r="AR251" s="510">
        <v>1440</v>
      </c>
      <c r="AS251" s="777">
        <f t="shared" si="196"/>
        <v>0</v>
      </c>
      <c r="AT251" s="590">
        <v>4960</v>
      </c>
      <c r="AU251" s="494">
        <f t="shared" si="197"/>
        <v>5009.6000000000004</v>
      </c>
      <c r="AV251" s="64">
        <v>0</v>
      </c>
      <c r="AW251" s="390">
        <f t="shared" si="198"/>
        <v>0</v>
      </c>
      <c r="AX251" s="123">
        <v>384</v>
      </c>
      <c r="AY251" s="389">
        <f t="shared" si="199"/>
        <v>387.84000000000003</v>
      </c>
      <c r="AZ251" s="64">
        <v>1105</v>
      </c>
      <c r="BA251" s="389">
        <f t="shared" si="200"/>
        <v>1116.05</v>
      </c>
      <c r="BB251" s="145">
        <v>0</v>
      </c>
      <c r="BC251" s="391">
        <f t="shared" si="201"/>
        <v>0</v>
      </c>
      <c r="BD251" s="123">
        <v>0</v>
      </c>
      <c r="BE251" s="389">
        <f t="shared" si="202"/>
        <v>0</v>
      </c>
      <c r="BF251" s="64">
        <v>0</v>
      </c>
      <c r="BG251" s="389">
        <f t="shared" si="203"/>
        <v>0</v>
      </c>
      <c r="BH251" s="145">
        <v>0</v>
      </c>
      <c r="BI251" s="392">
        <f t="shared" si="204"/>
        <v>0</v>
      </c>
      <c r="BJ251" s="732" t="s">
        <v>637</v>
      </c>
      <c r="BK251" s="78"/>
      <c r="BL251" s="78" t="s">
        <v>92</v>
      </c>
      <c r="BM251" s="727" t="s">
        <v>638</v>
      </c>
    </row>
    <row r="252" spans="1:65" ht="17.25" customHeight="1">
      <c r="A252" s="197" t="s">
        <v>383</v>
      </c>
      <c r="B252" s="9" t="s">
        <v>186</v>
      </c>
      <c r="C252" s="9" t="s">
        <v>30</v>
      </c>
      <c r="D252" s="997"/>
      <c r="E252" s="999"/>
      <c r="F252" s="1001"/>
      <c r="G252" s="205">
        <v>2025</v>
      </c>
      <c r="H252" s="883" t="s">
        <v>262</v>
      </c>
      <c r="I252" s="279" t="s">
        <v>151</v>
      </c>
      <c r="J252" s="63">
        <v>14</v>
      </c>
      <c r="K252" s="74" t="s">
        <v>258</v>
      </c>
      <c r="L252" s="74" t="s">
        <v>150</v>
      </c>
      <c r="M252" s="167" t="s">
        <v>323</v>
      </c>
      <c r="N252" s="81">
        <v>9.75</v>
      </c>
      <c r="O252" s="81">
        <v>9.75</v>
      </c>
      <c r="P252" s="81">
        <v>8.5</v>
      </c>
      <c r="Q252" s="81">
        <v>8.5</v>
      </c>
      <c r="R252" s="81">
        <v>8.9</v>
      </c>
      <c r="S252" s="81">
        <v>8.9</v>
      </c>
      <c r="T252" s="81">
        <v>8.9</v>
      </c>
      <c r="U252" s="81">
        <v>8.9</v>
      </c>
      <c r="V252" s="81">
        <v>8.9</v>
      </c>
      <c r="W252" s="81">
        <v>8.9</v>
      </c>
      <c r="X252" s="81">
        <v>8.9</v>
      </c>
      <c r="Y252" s="81">
        <v>8.9</v>
      </c>
      <c r="Z252" s="195">
        <v>2.4000000000000004</v>
      </c>
      <c r="AA252" s="96">
        <v>2.4</v>
      </c>
      <c r="AB252" s="96">
        <v>1.23</v>
      </c>
      <c r="AC252" s="378">
        <v>0</v>
      </c>
      <c r="AD252" s="96">
        <v>1.22</v>
      </c>
      <c r="AE252" s="96">
        <v>1.22</v>
      </c>
      <c r="AF252" s="96">
        <v>1.22</v>
      </c>
      <c r="AG252" s="96">
        <v>1.22</v>
      </c>
      <c r="AH252" s="96">
        <v>1.22</v>
      </c>
      <c r="AI252" s="96">
        <v>1.22</v>
      </c>
      <c r="AJ252" s="96">
        <v>1.22</v>
      </c>
      <c r="AK252" s="718">
        <v>1.22</v>
      </c>
      <c r="AL252" s="518">
        <v>1480</v>
      </c>
      <c r="AM252" s="496">
        <f t="shared" si="193"/>
        <v>3552.0000000000005</v>
      </c>
      <c r="AN252" s="590">
        <v>2240</v>
      </c>
      <c r="AO252" s="494">
        <f t="shared" si="194"/>
        <v>5376</v>
      </c>
      <c r="AP252" s="590">
        <v>2598</v>
      </c>
      <c r="AQ252" s="621">
        <f t="shared" si="195"/>
        <v>3195.54</v>
      </c>
      <c r="AR252" s="510">
        <v>6920</v>
      </c>
      <c r="AS252" s="775">
        <f t="shared" si="196"/>
        <v>0</v>
      </c>
      <c r="AT252" s="590">
        <v>6520</v>
      </c>
      <c r="AU252" s="496">
        <f t="shared" si="197"/>
        <v>7954.4</v>
      </c>
      <c r="AV252" s="64">
        <v>11620</v>
      </c>
      <c r="AW252" s="355">
        <f t="shared" si="198"/>
        <v>14176.4</v>
      </c>
      <c r="AX252" s="123">
        <v>10798</v>
      </c>
      <c r="AY252" s="127">
        <f t="shared" si="199"/>
        <v>13173.56</v>
      </c>
      <c r="AZ252" s="64">
        <v>4240</v>
      </c>
      <c r="BA252" s="127">
        <f t="shared" si="200"/>
        <v>5172.8</v>
      </c>
      <c r="BB252" s="145">
        <v>222.23051039444499</v>
      </c>
      <c r="BC252" s="356">
        <f t="shared" si="201"/>
        <v>271.12122268122289</v>
      </c>
      <c r="BD252" s="123">
        <v>0</v>
      </c>
      <c r="BE252" s="127">
        <f t="shared" si="202"/>
        <v>0</v>
      </c>
      <c r="BF252" s="64">
        <v>0</v>
      </c>
      <c r="BG252" s="127">
        <f t="shared" si="203"/>
        <v>0</v>
      </c>
      <c r="BH252" s="145">
        <v>0</v>
      </c>
      <c r="BI252" s="329">
        <f t="shared" si="204"/>
        <v>0</v>
      </c>
      <c r="BJ252" s="248" t="s">
        <v>263</v>
      </c>
      <c r="BK252" s="78" t="s">
        <v>253</v>
      </c>
      <c r="BL252" s="78" t="s">
        <v>92</v>
      </c>
      <c r="BM252" s="9" t="s">
        <v>317</v>
      </c>
    </row>
    <row r="253" spans="1:65">
      <c r="A253" s="197" t="s">
        <v>383</v>
      </c>
      <c r="B253" s="9" t="s">
        <v>186</v>
      </c>
      <c r="C253" s="9" t="s">
        <v>30</v>
      </c>
      <c r="D253" s="997"/>
      <c r="E253" s="999"/>
      <c r="F253" s="1001"/>
      <c r="G253" s="205">
        <v>2025</v>
      </c>
      <c r="H253" s="883" t="s">
        <v>262</v>
      </c>
      <c r="I253" s="279" t="s">
        <v>151</v>
      </c>
      <c r="J253" s="63">
        <v>14</v>
      </c>
      <c r="K253" s="74" t="s">
        <v>259</v>
      </c>
      <c r="L253" s="74" t="s">
        <v>150</v>
      </c>
      <c r="M253" s="167" t="s">
        <v>323</v>
      </c>
      <c r="N253" s="81">
        <v>9.75</v>
      </c>
      <c r="O253" s="81">
        <v>9.75</v>
      </c>
      <c r="P253" s="81">
        <v>8.5</v>
      </c>
      <c r="Q253" s="81">
        <v>8.5</v>
      </c>
      <c r="R253" s="81">
        <v>8.9</v>
      </c>
      <c r="S253" s="81">
        <v>8.9</v>
      </c>
      <c r="T253" s="81">
        <v>8.9</v>
      </c>
      <c r="U253" s="81">
        <v>8.9</v>
      </c>
      <c r="V253" s="81">
        <v>8.9</v>
      </c>
      <c r="W253" s="81">
        <v>8.9</v>
      </c>
      <c r="X253" s="81">
        <v>8.9</v>
      </c>
      <c r="Y253" s="81">
        <v>8.9</v>
      </c>
      <c r="Z253" s="195">
        <v>2.4000000000000004</v>
      </c>
      <c r="AA253" s="96">
        <v>2.4</v>
      </c>
      <c r="AB253" s="96">
        <v>1.23</v>
      </c>
      <c r="AC253" s="378">
        <v>0</v>
      </c>
      <c r="AD253" s="96">
        <v>1.22</v>
      </c>
      <c r="AE253" s="96">
        <v>1.22</v>
      </c>
      <c r="AF253" s="96">
        <v>1.22</v>
      </c>
      <c r="AG253" s="96">
        <v>1.22</v>
      </c>
      <c r="AH253" s="96">
        <v>1.22</v>
      </c>
      <c r="AI253" s="96">
        <v>1.22</v>
      </c>
      <c r="AJ253" s="96">
        <v>1.22</v>
      </c>
      <c r="AK253" s="718">
        <v>1.22</v>
      </c>
      <c r="AL253" s="518">
        <v>7880</v>
      </c>
      <c r="AM253" s="519">
        <f t="shared" si="193"/>
        <v>18912.000000000004</v>
      </c>
      <c r="AN253" s="590">
        <v>640</v>
      </c>
      <c r="AO253" s="496">
        <f t="shared" si="194"/>
        <v>1536</v>
      </c>
      <c r="AP253" s="590">
        <v>1440</v>
      </c>
      <c r="AQ253" s="620">
        <f t="shared" si="195"/>
        <v>1771.2</v>
      </c>
      <c r="AR253" s="510">
        <v>4360</v>
      </c>
      <c r="AS253" s="777">
        <f t="shared" si="196"/>
        <v>0</v>
      </c>
      <c r="AT253" s="590">
        <v>9080</v>
      </c>
      <c r="AU253" s="494">
        <f t="shared" si="197"/>
        <v>11077.6</v>
      </c>
      <c r="AV253" s="64">
        <v>15064</v>
      </c>
      <c r="AW253" s="355">
        <f t="shared" si="198"/>
        <v>18378.079999999998</v>
      </c>
      <c r="AX253" s="123">
        <v>15731</v>
      </c>
      <c r="AY253" s="389">
        <f t="shared" si="199"/>
        <v>19191.82</v>
      </c>
      <c r="AZ253" s="64">
        <v>5227</v>
      </c>
      <c r="BA253" s="389">
        <f t="shared" si="200"/>
        <v>6376.94</v>
      </c>
      <c r="BB253" s="145">
        <v>593.36943807858199</v>
      </c>
      <c r="BC253" s="391">
        <f t="shared" si="201"/>
        <v>723.91071445586999</v>
      </c>
      <c r="BD253" s="123">
        <v>0</v>
      </c>
      <c r="BE253" s="389">
        <f t="shared" si="202"/>
        <v>0</v>
      </c>
      <c r="BF253" s="64">
        <v>0</v>
      </c>
      <c r="BG253" s="389">
        <f t="shared" si="203"/>
        <v>0</v>
      </c>
      <c r="BH253" s="145">
        <v>0</v>
      </c>
      <c r="BI253" s="392">
        <f t="shared" si="204"/>
        <v>0</v>
      </c>
      <c r="BJ253" s="248" t="s">
        <v>264</v>
      </c>
      <c r="BK253" s="78" t="s">
        <v>253</v>
      </c>
      <c r="BL253" s="78" t="s">
        <v>92</v>
      </c>
      <c r="BM253" s="9" t="s">
        <v>318</v>
      </c>
    </row>
    <row r="254" spans="1:65">
      <c r="A254" s="197" t="s">
        <v>383</v>
      </c>
      <c r="B254" s="9" t="s">
        <v>186</v>
      </c>
      <c r="C254" s="9" t="s">
        <v>30</v>
      </c>
      <c r="D254" s="997"/>
      <c r="E254" s="999"/>
      <c r="F254" s="1001"/>
      <c r="G254" s="205">
        <v>2025</v>
      </c>
      <c r="H254" s="883" t="s">
        <v>262</v>
      </c>
      <c r="I254" s="279" t="s">
        <v>151</v>
      </c>
      <c r="J254" s="63">
        <v>14</v>
      </c>
      <c r="K254" s="62" t="s">
        <v>153</v>
      </c>
      <c r="L254" s="74" t="s">
        <v>150</v>
      </c>
      <c r="M254" s="167" t="s">
        <v>323</v>
      </c>
      <c r="N254" s="81">
        <v>9.0500000000000007</v>
      </c>
      <c r="O254" s="81">
        <v>9.0500000000000007</v>
      </c>
      <c r="P254" s="81">
        <v>7.9</v>
      </c>
      <c r="Q254" s="81">
        <v>7.9</v>
      </c>
      <c r="R254" s="81">
        <v>8.3000000000000007</v>
      </c>
      <c r="S254" s="81">
        <v>8.3000000000000007</v>
      </c>
      <c r="T254" s="81">
        <v>8.3000000000000007</v>
      </c>
      <c r="U254" s="81">
        <v>8.3000000000000007</v>
      </c>
      <c r="V254" s="81">
        <v>8.3000000000000007</v>
      </c>
      <c r="W254" s="81">
        <v>8.3000000000000007</v>
      </c>
      <c r="X254" s="81">
        <v>8.3000000000000007</v>
      </c>
      <c r="Y254" s="81">
        <v>8.3000000000000007</v>
      </c>
      <c r="Z254" s="195">
        <v>2.1000000000000005</v>
      </c>
      <c r="AA254" s="96">
        <v>2.1</v>
      </c>
      <c r="AB254" s="96">
        <v>1.02</v>
      </c>
      <c r="AC254" s="378">
        <v>0</v>
      </c>
      <c r="AD254" s="96">
        <v>1.01</v>
      </c>
      <c r="AE254" s="96">
        <v>1.01</v>
      </c>
      <c r="AF254" s="96">
        <v>1.01</v>
      </c>
      <c r="AG254" s="96">
        <v>1.01</v>
      </c>
      <c r="AH254" s="96">
        <v>1.01</v>
      </c>
      <c r="AI254" s="96">
        <v>1.01</v>
      </c>
      <c r="AJ254" s="96">
        <v>1.01</v>
      </c>
      <c r="AK254" s="718">
        <v>1.01</v>
      </c>
      <c r="AL254" s="518">
        <v>4192</v>
      </c>
      <c r="AM254" s="496">
        <f t="shared" si="193"/>
        <v>8803.2000000000025</v>
      </c>
      <c r="AN254" s="590">
        <v>8240</v>
      </c>
      <c r="AO254" s="494">
        <f t="shared" si="194"/>
        <v>17304</v>
      </c>
      <c r="AP254" s="590">
        <v>2880</v>
      </c>
      <c r="AQ254" s="621">
        <f t="shared" si="195"/>
        <v>2937.6</v>
      </c>
      <c r="AR254" s="510">
        <v>5000</v>
      </c>
      <c r="AS254" s="777">
        <f t="shared" si="196"/>
        <v>0</v>
      </c>
      <c r="AT254" s="590">
        <v>6565</v>
      </c>
      <c r="AU254" s="496">
        <f t="shared" si="197"/>
        <v>6630.65</v>
      </c>
      <c r="AV254" s="64">
        <v>2285</v>
      </c>
      <c r="AW254" s="390">
        <f t="shared" si="198"/>
        <v>2307.85</v>
      </c>
      <c r="AX254" s="123">
        <v>157</v>
      </c>
      <c r="AY254" s="389">
        <f t="shared" si="199"/>
        <v>158.57</v>
      </c>
      <c r="AZ254" s="64">
        <v>7</v>
      </c>
      <c r="BA254" s="127">
        <f t="shared" si="200"/>
        <v>7.07</v>
      </c>
      <c r="BB254" s="145">
        <v>2119.8040515269699</v>
      </c>
      <c r="BC254" s="356">
        <f t="shared" si="201"/>
        <v>2141.0020920422398</v>
      </c>
      <c r="BD254" s="123">
        <v>0</v>
      </c>
      <c r="BE254" s="127">
        <f t="shared" si="202"/>
        <v>0</v>
      </c>
      <c r="BF254" s="64">
        <v>0</v>
      </c>
      <c r="BG254" s="127">
        <f t="shared" si="203"/>
        <v>0</v>
      </c>
      <c r="BH254" s="145">
        <v>0</v>
      </c>
      <c r="BI254" s="329">
        <f t="shared" si="204"/>
        <v>0</v>
      </c>
      <c r="BJ254" s="248" t="s">
        <v>581</v>
      </c>
      <c r="BK254" s="78" t="s">
        <v>253</v>
      </c>
      <c r="BL254" s="78" t="s">
        <v>92</v>
      </c>
      <c r="BM254" s="9" t="s">
        <v>316</v>
      </c>
    </row>
    <row r="255" spans="1:65">
      <c r="A255" s="197" t="s">
        <v>383</v>
      </c>
      <c r="B255" s="9" t="s">
        <v>186</v>
      </c>
      <c r="C255" s="9" t="s">
        <v>30</v>
      </c>
      <c r="D255" s="997"/>
      <c r="E255" s="999"/>
      <c r="F255" s="1001"/>
      <c r="G255" s="936">
        <v>2025</v>
      </c>
      <c r="H255" s="937" t="s">
        <v>269</v>
      </c>
      <c r="I255" s="938" t="s">
        <v>151</v>
      </c>
      <c r="J255" s="939">
        <v>14</v>
      </c>
      <c r="K255" s="940" t="s">
        <v>153</v>
      </c>
      <c r="L255" s="941" t="s">
        <v>150</v>
      </c>
      <c r="M255" s="942" t="s">
        <v>324</v>
      </c>
      <c r="N255" s="82">
        <v>7.95</v>
      </c>
      <c r="O255" s="82">
        <v>7.95</v>
      </c>
      <c r="P255" s="82">
        <v>7.85</v>
      </c>
      <c r="Q255" s="82">
        <v>7.85</v>
      </c>
      <c r="R255" s="82">
        <v>8.1999999999999993</v>
      </c>
      <c r="S255" s="82">
        <v>8.1999999999999993</v>
      </c>
      <c r="T255" s="82">
        <v>8.1999999999999993</v>
      </c>
      <c r="U255" s="82">
        <v>8.1999999999999993</v>
      </c>
      <c r="V255" s="82">
        <v>8.1999999999999993</v>
      </c>
      <c r="W255" s="82">
        <v>8.1999999999999993</v>
      </c>
      <c r="X255" s="82">
        <v>8.1999999999999993</v>
      </c>
      <c r="Y255" s="82">
        <v>8.1999999999999993</v>
      </c>
      <c r="Z255" s="195">
        <v>1</v>
      </c>
      <c r="AA255" s="379">
        <v>1</v>
      </c>
      <c r="AB255" s="379">
        <v>0.9</v>
      </c>
      <c r="AC255" s="378">
        <v>0</v>
      </c>
      <c r="AD255" s="379">
        <v>0.84</v>
      </c>
      <c r="AE255" s="379">
        <v>0.84</v>
      </c>
      <c r="AF255" s="379">
        <v>0.84</v>
      </c>
      <c r="AG255" s="379">
        <v>0.84</v>
      </c>
      <c r="AH255" s="379">
        <v>0.84</v>
      </c>
      <c r="AI255" s="379">
        <v>0.84</v>
      </c>
      <c r="AJ255" s="379">
        <v>0.84</v>
      </c>
      <c r="AK255" s="959">
        <v>0.84</v>
      </c>
      <c r="AL255" s="923">
        <v>2928</v>
      </c>
      <c r="AM255" s="924">
        <f t="shared" ref="AM255:AM256" si="229">Z255*AL255</f>
        <v>2928</v>
      </c>
      <c r="AN255" s="925">
        <v>699</v>
      </c>
      <c r="AO255" s="528">
        <f t="shared" ref="AO255:AO256" si="230">AA255*AN255</f>
        <v>699</v>
      </c>
      <c r="AP255" s="925">
        <v>655</v>
      </c>
      <c r="AQ255" s="926">
        <f t="shared" ref="AQ255:AQ256" si="231">AB255*AP255</f>
        <v>589.5</v>
      </c>
      <c r="AR255" s="927">
        <v>7195</v>
      </c>
      <c r="AS255" s="928">
        <f t="shared" ref="AS255:AS256" si="232">AC255*AR255</f>
        <v>0</v>
      </c>
      <c r="AT255" s="929">
        <v>10963</v>
      </c>
      <c r="AU255" s="578">
        <f t="shared" ref="AU255:AU256" si="233">AD255*AT255</f>
        <v>9208.92</v>
      </c>
      <c r="AV255" s="930">
        <v>0</v>
      </c>
      <c r="AW255" s="905">
        <f t="shared" ref="AW255:AW256" si="234">AE255*AV255</f>
        <v>0</v>
      </c>
      <c r="AX255" s="931">
        <v>0</v>
      </c>
      <c r="AY255" s="907">
        <f t="shared" ref="AY255:AY256" si="235">AF255*AX255</f>
        <v>0</v>
      </c>
      <c r="AZ255" s="930">
        <v>0</v>
      </c>
      <c r="BA255" s="907">
        <f t="shared" ref="BA255:BA256" si="236">AG255*AZ255</f>
        <v>0</v>
      </c>
      <c r="BB255" s="932">
        <v>31360.333670749202</v>
      </c>
      <c r="BC255" s="487">
        <f t="shared" ref="BC255:BC256" si="237">AH255*BB255</f>
        <v>26342.680283429327</v>
      </c>
      <c r="BD255" s="931">
        <v>38446.864526378697</v>
      </c>
      <c r="BE255" s="907">
        <f t="shared" ref="BE255:BE256" si="238">AI255*BD255</f>
        <v>32295.366202158104</v>
      </c>
      <c r="BF255" s="930">
        <v>45959.462274423684</v>
      </c>
      <c r="BG255" s="907">
        <f t="shared" ref="BG255:BG256" si="239">AJ255*BF255</f>
        <v>38605.948310515894</v>
      </c>
      <c r="BH255" s="933">
        <v>40963.451640140484</v>
      </c>
      <c r="BI255" s="934">
        <f t="shared" ref="BI255:BI256" si="240">AK255*BH255</f>
        <v>34409.299377718002</v>
      </c>
      <c r="BJ255" s="177" t="s">
        <v>669</v>
      </c>
      <c r="BK255" s="78"/>
      <c r="BL255" s="78" t="s">
        <v>92</v>
      </c>
      <c r="BM255" s="9" t="s">
        <v>668</v>
      </c>
    </row>
    <row r="256" spans="1:65">
      <c r="A256" s="197" t="s">
        <v>383</v>
      </c>
      <c r="B256" s="9" t="s">
        <v>186</v>
      </c>
      <c r="C256" s="9" t="s">
        <v>30</v>
      </c>
      <c r="D256" s="997"/>
      <c r="E256" s="999"/>
      <c r="F256" s="1001"/>
      <c r="G256" s="733">
        <v>2026</v>
      </c>
      <c r="H256" s="885" t="s">
        <v>659</v>
      </c>
      <c r="I256" s="894" t="s">
        <v>151</v>
      </c>
      <c r="J256" s="895">
        <v>14</v>
      </c>
      <c r="K256" s="730" t="s">
        <v>662</v>
      </c>
      <c r="L256" s="896" t="s">
        <v>150</v>
      </c>
      <c r="M256" s="897" t="s">
        <v>324</v>
      </c>
      <c r="N256" s="82">
        <v>9.4</v>
      </c>
      <c r="O256" s="82">
        <v>9.4</v>
      </c>
      <c r="P256" s="82">
        <v>9.4</v>
      </c>
      <c r="Q256" s="82">
        <v>9.4</v>
      </c>
      <c r="R256" s="82">
        <v>9.6</v>
      </c>
      <c r="S256" s="82">
        <v>9.6</v>
      </c>
      <c r="T256" s="82">
        <v>9.6</v>
      </c>
      <c r="U256" s="82">
        <v>9.6</v>
      </c>
      <c r="V256" s="82">
        <v>9.6</v>
      </c>
      <c r="W256" s="82">
        <v>9.6</v>
      </c>
      <c r="X256" s="82">
        <v>9.6</v>
      </c>
      <c r="Y256" s="82">
        <v>9.6</v>
      </c>
      <c r="Z256" s="195">
        <v>1.65</v>
      </c>
      <c r="AA256" s="379">
        <v>1.65</v>
      </c>
      <c r="AB256" s="379">
        <v>1.65</v>
      </c>
      <c r="AC256" s="378">
        <v>0</v>
      </c>
      <c r="AD256" s="379">
        <v>1.44</v>
      </c>
      <c r="AE256" s="379">
        <v>1.44</v>
      </c>
      <c r="AF256" s="379">
        <v>1.44</v>
      </c>
      <c r="AG256" s="379">
        <v>1.44</v>
      </c>
      <c r="AH256" s="379">
        <v>1.44</v>
      </c>
      <c r="AI256" s="379">
        <v>1.44</v>
      </c>
      <c r="AJ256" s="379">
        <v>1.44</v>
      </c>
      <c r="AK256" s="379">
        <v>1.44</v>
      </c>
      <c r="AL256" s="505">
        <v>0</v>
      </c>
      <c r="AM256" s="519">
        <f t="shared" si="229"/>
        <v>0</v>
      </c>
      <c r="AN256" s="585">
        <v>0</v>
      </c>
      <c r="AO256" s="496">
        <f t="shared" si="230"/>
        <v>0</v>
      </c>
      <c r="AP256" s="585">
        <v>0</v>
      </c>
      <c r="AQ256" s="622">
        <f t="shared" si="231"/>
        <v>0</v>
      </c>
      <c r="AR256" s="511">
        <v>1000</v>
      </c>
      <c r="AS256" s="775">
        <f t="shared" si="232"/>
        <v>0</v>
      </c>
      <c r="AT256" s="583">
        <v>1240</v>
      </c>
      <c r="AU256" s="494">
        <f t="shared" si="233"/>
        <v>1785.6</v>
      </c>
      <c r="AV256" s="154">
        <v>919</v>
      </c>
      <c r="AW256" s="390">
        <f t="shared" si="234"/>
        <v>1323.36</v>
      </c>
      <c r="AX256" s="116">
        <v>938</v>
      </c>
      <c r="AY256" s="389">
        <f t="shared" si="235"/>
        <v>1350.72</v>
      </c>
      <c r="AZ256" s="154">
        <v>947</v>
      </c>
      <c r="BA256" s="389">
        <f t="shared" si="236"/>
        <v>1363.6799999999998</v>
      </c>
      <c r="BB256" s="155">
        <v>0</v>
      </c>
      <c r="BC256" s="356">
        <f t="shared" si="237"/>
        <v>0</v>
      </c>
      <c r="BD256" s="116">
        <v>0</v>
      </c>
      <c r="BE256" s="389">
        <f t="shared" si="238"/>
        <v>0</v>
      </c>
      <c r="BF256" s="154">
        <v>0</v>
      </c>
      <c r="BG256" s="389">
        <f t="shared" si="239"/>
        <v>0</v>
      </c>
      <c r="BH256" s="435">
        <v>0</v>
      </c>
      <c r="BI256" s="392">
        <f t="shared" si="240"/>
        <v>0</v>
      </c>
      <c r="BJ256" s="729" t="s">
        <v>660</v>
      </c>
      <c r="BK256" s="78"/>
      <c r="BL256" s="78" t="s">
        <v>92</v>
      </c>
      <c r="BM256" s="727" t="s">
        <v>661</v>
      </c>
    </row>
    <row r="257" spans="1:65">
      <c r="A257" s="197" t="s">
        <v>383</v>
      </c>
      <c r="B257" s="9" t="s">
        <v>186</v>
      </c>
      <c r="C257" s="9" t="s">
        <v>30</v>
      </c>
      <c r="D257" s="997"/>
      <c r="E257" s="999"/>
      <c r="F257" s="1001"/>
      <c r="G257" s="733">
        <v>2026</v>
      </c>
      <c r="H257" s="885" t="s">
        <v>659</v>
      </c>
      <c r="I257" s="894" t="s">
        <v>151</v>
      </c>
      <c r="J257" s="895">
        <v>14</v>
      </c>
      <c r="K257" s="730" t="s">
        <v>663</v>
      </c>
      <c r="L257" s="896" t="s">
        <v>150</v>
      </c>
      <c r="M257" s="897" t="s">
        <v>324</v>
      </c>
      <c r="N257" s="82">
        <v>8.4</v>
      </c>
      <c r="O257" s="82">
        <v>8.4</v>
      </c>
      <c r="P257" s="82">
        <v>8.4</v>
      </c>
      <c r="Q257" s="82">
        <v>8.4</v>
      </c>
      <c r="R257" s="82">
        <v>8.8000000000000007</v>
      </c>
      <c r="S257" s="82">
        <v>8.8000000000000007</v>
      </c>
      <c r="T257" s="82">
        <v>8.8000000000000007</v>
      </c>
      <c r="U257" s="82">
        <v>8.8000000000000007</v>
      </c>
      <c r="V257" s="82">
        <v>8.8000000000000007</v>
      </c>
      <c r="W257" s="82">
        <v>8.8000000000000007</v>
      </c>
      <c r="X257" s="82">
        <v>8.8000000000000007</v>
      </c>
      <c r="Y257" s="82">
        <v>8.8000000000000007</v>
      </c>
      <c r="Z257" s="195">
        <v>1.05</v>
      </c>
      <c r="AA257" s="379">
        <v>1.05</v>
      </c>
      <c r="AB257" s="379">
        <v>1.05</v>
      </c>
      <c r="AC257" s="378">
        <v>0</v>
      </c>
      <c r="AD257" s="379">
        <v>1.04</v>
      </c>
      <c r="AE257" s="379">
        <v>1.04</v>
      </c>
      <c r="AF257" s="379">
        <v>1.04</v>
      </c>
      <c r="AG257" s="379">
        <v>1.04</v>
      </c>
      <c r="AH257" s="379">
        <v>1.04</v>
      </c>
      <c r="AI257" s="379">
        <v>1.04</v>
      </c>
      <c r="AJ257" s="379">
        <v>1.04</v>
      </c>
      <c r="AK257" s="379">
        <v>1.04</v>
      </c>
      <c r="AL257" s="505">
        <v>0</v>
      </c>
      <c r="AM257" s="519">
        <f t="shared" si="193"/>
        <v>0</v>
      </c>
      <c r="AN257" s="585">
        <v>0</v>
      </c>
      <c r="AO257" s="496">
        <f t="shared" si="194"/>
        <v>0</v>
      </c>
      <c r="AP257" s="585">
        <v>0</v>
      </c>
      <c r="AQ257" s="622">
        <f t="shared" si="195"/>
        <v>0</v>
      </c>
      <c r="AR257" s="511">
        <v>560</v>
      </c>
      <c r="AS257" s="775">
        <f t="shared" si="196"/>
        <v>0</v>
      </c>
      <c r="AT257" s="583">
        <v>120</v>
      </c>
      <c r="AU257" s="494">
        <f t="shared" si="197"/>
        <v>124.80000000000001</v>
      </c>
      <c r="AV257" s="154">
        <v>355</v>
      </c>
      <c r="AW257" s="390">
        <f t="shared" si="198"/>
        <v>369.2</v>
      </c>
      <c r="AX257" s="116">
        <v>461</v>
      </c>
      <c r="AY257" s="389">
        <f t="shared" si="199"/>
        <v>479.44</v>
      </c>
      <c r="AZ257" s="154">
        <v>446</v>
      </c>
      <c r="BA257" s="389">
        <f t="shared" si="200"/>
        <v>463.84000000000003</v>
      </c>
      <c r="BB257" s="155">
        <v>0</v>
      </c>
      <c r="BC257" s="356">
        <f t="shared" si="201"/>
        <v>0</v>
      </c>
      <c r="BD257" s="116">
        <v>0</v>
      </c>
      <c r="BE257" s="389">
        <f t="shared" si="202"/>
        <v>0</v>
      </c>
      <c r="BF257" s="154">
        <v>0</v>
      </c>
      <c r="BG257" s="389">
        <f t="shared" si="203"/>
        <v>0</v>
      </c>
      <c r="BH257" s="435">
        <v>0</v>
      </c>
      <c r="BI257" s="392">
        <f t="shared" si="204"/>
        <v>0</v>
      </c>
      <c r="BJ257" s="729" t="s">
        <v>664</v>
      </c>
      <c r="BK257" s="78"/>
      <c r="BL257" s="78" t="s">
        <v>92</v>
      </c>
      <c r="BM257" s="727" t="s">
        <v>661</v>
      </c>
    </row>
    <row r="258" spans="1:65">
      <c r="A258" s="197" t="s">
        <v>383</v>
      </c>
      <c r="B258" s="9" t="s">
        <v>186</v>
      </c>
      <c r="C258" s="9" t="s">
        <v>30</v>
      </c>
      <c r="D258" s="997"/>
      <c r="E258" s="999"/>
      <c r="F258" s="1001"/>
      <c r="G258" s="231">
        <v>2025</v>
      </c>
      <c r="H258" s="886" t="s">
        <v>269</v>
      </c>
      <c r="I258" s="284" t="s">
        <v>148</v>
      </c>
      <c r="J258" s="233">
        <v>14</v>
      </c>
      <c r="K258" s="180" t="s">
        <v>268</v>
      </c>
      <c r="L258" s="157" t="s">
        <v>150</v>
      </c>
      <c r="M258" s="161" t="s">
        <v>324</v>
      </c>
      <c r="N258" s="172">
        <v>4.7</v>
      </c>
      <c r="O258" s="6">
        <v>4.7</v>
      </c>
      <c r="P258" s="6">
        <v>4.7</v>
      </c>
      <c r="Q258" s="6">
        <v>4.7</v>
      </c>
      <c r="R258" s="6">
        <v>5.3</v>
      </c>
      <c r="S258" s="6">
        <v>5.3</v>
      </c>
      <c r="T258" s="6">
        <v>5.3</v>
      </c>
      <c r="U258" s="6">
        <v>5.3</v>
      </c>
      <c r="V258" s="6">
        <v>5.3</v>
      </c>
      <c r="W258" s="6">
        <v>5.3</v>
      </c>
      <c r="X258" s="6">
        <v>5.3</v>
      </c>
      <c r="Y258" s="6">
        <v>5.3</v>
      </c>
      <c r="Z258" s="195">
        <v>0.54</v>
      </c>
      <c r="AA258" s="340">
        <v>0.54</v>
      </c>
      <c r="AB258" s="340">
        <v>0.54</v>
      </c>
      <c r="AC258" s="378">
        <v>0</v>
      </c>
      <c r="AD258" s="340">
        <v>0.73</v>
      </c>
      <c r="AE258" s="340">
        <v>0.73</v>
      </c>
      <c r="AF258" s="340">
        <v>0.73</v>
      </c>
      <c r="AG258" s="340">
        <v>0.73</v>
      </c>
      <c r="AH258" s="340">
        <v>0.73</v>
      </c>
      <c r="AI258" s="340">
        <v>0.73</v>
      </c>
      <c r="AJ258" s="340">
        <v>0.73</v>
      </c>
      <c r="AK258" s="480">
        <v>0.73</v>
      </c>
      <c r="AL258" s="505">
        <v>220</v>
      </c>
      <c r="AM258" s="512">
        <f t="shared" ref="AM258" si="241">Z258*AL258</f>
        <v>118.80000000000001</v>
      </c>
      <c r="AN258" s="585">
        <v>0</v>
      </c>
      <c r="AO258" s="519">
        <f t="shared" ref="AO258" si="242">AA258*AN258</f>
        <v>0</v>
      </c>
      <c r="AP258" s="585">
        <v>0</v>
      </c>
      <c r="AQ258" s="649">
        <f t="shared" ref="AQ258" si="243">AB258*AP258</f>
        <v>0</v>
      </c>
      <c r="AR258" s="495">
        <v>0</v>
      </c>
      <c r="AS258" s="782">
        <f t="shared" ref="AS258" si="244">AC258*AR258</f>
        <v>0</v>
      </c>
      <c r="AT258" s="585">
        <v>0</v>
      </c>
      <c r="AU258" s="519">
        <f t="shared" ref="AU258" si="245">AD258*AT258</f>
        <v>0</v>
      </c>
      <c r="AV258" s="232">
        <v>0</v>
      </c>
      <c r="AW258" s="362">
        <f t="shared" ref="AW258" si="246">AE258*AV258</f>
        <v>0</v>
      </c>
      <c r="AX258" s="150">
        <v>0</v>
      </c>
      <c r="AY258" s="117">
        <f t="shared" ref="AY258" si="247">AF258*AX258</f>
        <v>0</v>
      </c>
      <c r="AZ258" s="232">
        <v>0</v>
      </c>
      <c r="BA258" s="117">
        <f t="shared" ref="BA258" si="248">AG258*AZ258</f>
        <v>0</v>
      </c>
      <c r="BB258" s="234">
        <v>6598.3093490417896</v>
      </c>
      <c r="BC258" s="438">
        <f t="shared" ref="BC258" si="249">AH258*BB258</f>
        <v>4816.7658248005064</v>
      </c>
      <c r="BD258" s="150">
        <v>7532.9461178567099</v>
      </c>
      <c r="BE258" s="117">
        <f t="shared" ref="BE258" si="250">AI258*BD258</f>
        <v>5499.0506660353976</v>
      </c>
      <c r="BF258" s="232">
        <v>7834.0198714407798</v>
      </c>
      <c r="BG258" s="117">
        <f t="shared" ref="BG258" si="251">AJ258*BF258</f>
        <v>5718.8345061517693</v>
      </c>
      <c r="BH258" s="435">
        <v>9621.9446161719407</v>
      </c>
      <c r="BI258" s="459">
        <f t="shared" ref="BI258" si="252">AK258*BH258</f>
        <v>7024.0195698055168</v>
      </c>
      <c r="BJ258" s="177" t="s">
        <v>582</v>
      </c>
      <c r="BK258" s="78"/>
      <c r="BL258" s="78" t="s">
        <v>92</v>
      </c>
      <c r="BM258" s="9" t="s">
        <v>319</v>
      </c>
    </row>
    <row r="259" spans="1:65">
      <c r="A259" s="197" t="s">
        <v>383</v>
      </c>
      <c r="B259" s="9" t="s">
        <v>186</v>
      </c>
      <c r="C259" s="9" t="s">
        <v>30</v>
      </c>
      <c r="D259" s="997"/>
      <c r="E259" s="999"/>
      <c r="F259" s="1001"/>
      <c r="G259" s="733">
        <v>2026</v>
      </c>
      <c r="H259" s="966" t="s">
        <v>269</v>
      </c>
      <c r="I259" s="894" t="s">
        <v>671</v>
      </c>
      <c r="J259" s="895">
        <v>14</v>
      </c>
      <c r="K259" s="730" t="s">
        <v>670</v>
      </c>
      <c r="L259" s="896" t="s">
        <v>150</v>
      </c>
      <c r="M259" s="897" t="s">
        <v>324</v>
      </c>
      <c r="N259" s="82">
        <v>8.4</v>
      </c>
      <c r="O259" s="82">
        <v>8.4</v>
      </c>
      <c r="P259" s="82">
        <v>8.4</v>
      </c>
      <c r="Q259" s="82">
        <v>8.4</v>
      </c>
      <c r="R259" s="82">
        <v>8.8000000000000007</v>
      </c>
      <c r="S259" s="82">
        <v>8.8000000000000007</v>
      </c>
      <c r="T259" s="82">
        <v>8.8000000000000007</v>
      </c>
      <c r="U259" s="82">
        <v>8.8000000000000007</v>
      </c>
      <c r="V259" s="82">
        <v>8.8000000000000007</v>
      </c>
      <c r="W259" s="82">
        <v>8.8000000000000007</v>
      </c>
      <c r="X259" s="82">
        <v>8.8000000000000007</v>
      </c>
      <c r="Y259" s="82">
        <v>8.8000000000000007</v>
      </c>
      <c r="Z259" s="195">
        <v>1.05</v>
      </c>
      <c r="AA259" s="379">
        <v>1.05</v>
      </c>
      <c r="AB259" s="379">
        <v>1.05</v>
      </c>
      <c r="AC259" s="378">
        <v>0</v>
      </c>
      <c r="AD259" s="379">
        <v>1.04</v>
      </c>
      <c r="AE259" s="379">
        <v>1.04</v>
      </c>
      <c r="AF259" s="379">
        <v>1.04</v>
      </c>
      <c r="AG259" s="379">
        <v>1.04</v>
      </c>
      <c r="AH259" s="379">
        <v>1.04</v>
      </c>
      <c r="AI259" s="379">
        <v>1.04</v>
      </c>
      <c r="AJ259" s="379">
        <v>1.04</v>
      </c>
      <c r="AK259" s="379">
        <v>1.04</v>
      </c>
      <c r="AL259" s="505">
        <v>0</v>
      </c>
      <c r="AM259" s="512">
        <f t="shared" si="193"/>
        <v>0</v>
      </c>
      <c r="AN259" s="585">
        <v>0</v>
      </c>
      <c r="AO259" s="519">
        <f t="shared" si="194"/>
        <v>0</v>
      </c>
      <c r="AP259" s="585">
        <v>0</v>
      </c>
      <c r="AQ259" s="649">
        <f t="shared" si="195"/>
        <v>0</v>
      </c>
      <c r="AR259" s="495">
        <v>400</v>
      </c>
      <c r="AS259" s="782">
        <f t="shared" si="196"/>
        <v>0</v>
      </c>
      <c r="AT259" s="585">
        <v>1600</v>
      </c>
      <c r="AU259" s="519">
        <f t="shared" si="197"/>
        <v>1664</v>
      </c>
      <c r="AV259" s="232">
        <v>186</v>
      </c>
      <c r="AW259" s="362">
        <f t="shared" si="198"/>
        <v>193.44</v>
      </c>
      <c r="AX259" s="150">
        <v>383</v>
      </c>
      <c r="AY259" s="117">
        <f t="shared" si="199"/>
        <v>398.32</v>
      </c>
      <c r="AZ259" s="232">
        <v>296</v>
      </c>
      <c r="BA259" s="117">
        <f t="shared" si="200"/>
        <v>307.84000000000003</v>
      </c>
      <c r="BB259" s="234">
        <v>0</v>
      </c>
      <c r="BC259" s="438">
        <f t="shared" si="201"/>
        <v>0</v>
      </c>
      <c r="BD259" s="150">
        <v>0</v>
      </c>
      <c r="BE259" s="117">
        <f t="shared" si="202"/>
        <v>0</v>
      </c>
      <c r="BF259" s="232">
        <v>0</v>
      </c>
      <c r="BG259" s="117">
        <f t="shared" si="203"/>
        <v>0</v>
      </c>
      <c r="BH259" s="435">
        <v>0</v>
      </c>
      <c r="BI259" s="459">
        <f t="shared" si="204"/>
        <v>0</v>
      </c>
      <c r="BJ259" s="729" t="s">
        <v>672</v>
      </c>
      <c r="BK259" s="78"/>
      <c r="BL259" s="78" t="s">
        <v>92</v>
      </c>
      <c r="BM259" s="9" t="s">
        <v>319</v>
      </c>
    </row>
    <row r="260" spans="1:65" s="333" customFormat="1">
      <c r="A260" s="197" t="s">
        <v>383</v>
      </c>
      <c r="B260" s="9" t="s">
        <v>186</v>
      </c>
      <c r="C260" s="9" t="s">
        <v>30</v>
      </c>
      <c r="D260" s="997"/>
      <c r="E260" s="999"/>
      <c r="F260" s="1001"/>
      <c r="G260" s="626">
        <v>2026</v>
      </c>
      <c r="H260" s="884" t="s">
        <v>450</v>
      </c>
      <c r="I260" s="627" t="s">
        <v>151</v>
      </c>
      <c r="J260" s="628">
        <v>16</v>
      </c>
      <c r="K260" s="629" t="s">
        <v>593</v>
      </c>
      <c r="L260" s="625" t="s">
        <v>150</v>
      </c>
      <c r="M260" s="630" t="s">
        <v>323</v>
      </c>
      <c r="N260" s="6">
        <v>8.31</v>
      </c>
      <c r="O260" s="6">
        <v>8.31</v>
      </c>
      <c r="P260" s="6">
        <v>8.31</v>
      </c>
      <c r="Q260" s="6">
        <v>8.31</v>
      </c>
      <c r="R260" s="6">
        <v>9.0500000000000007</v>
      </c>
      <c r="S260" s="6">
        <v>9.0500000000000007</v>
      </c>
      <c r="T260" s="6">
        <v>9.0500000000000007</v>
      </c>
      <c r="U260" s="6">
        <v>9.0500000000000007</v>
      </c>
      <c r="V260" s="6">
        <v>9.0500000000000007</v>
      </c>
      <c r="W260" s="6">
        <v>9.0500000000000007</v>
      </c>
      <c r="X260" s="6">
        <v>9.0500000000000007</v>
      </c>
      <c r="Y260" s="6">
        <v>9.0500000000000007</v>
      </c>
      <c r="Z260" s="195">
        <v>0.81</v>
      </c>
      <c r="AA260" s="2">
        <v>0.81</v>
      </c>
      <c r="AB260" s="2">
        <v>0.81</v>
      </c>
      <c r="AC260" s="378">
        <v>0</v>
      </c>
      <c r="AD260" s="2">
        <v>1.05</v>
      </c>
      <c r="AE260" s="2">
        <v>1.05</v>
      </c>
      <c r="AF260" s="2">
        <v>1.05</v>
      </c>
      <c r="AG260" s="2">
        <v>1.05</v>
      </c>
      <c r="AH260" s="2">
        <v>1.05</v>
      </c>
      <c r="AI260" s="2">
        <v>1.05</v>
      </c>
      <c r="AJ260" s="2">
        <v>1.05</v>
      </c>
      <c r="AK260" s="480">
        <v>1.05</v>
      </c>
      <c r="AL260" s="505">
        <v>0</v>
      </c>
      <c r="AM260" s="512">
        <f t="shared" si="193"/>
        <v>0</v>
      </c>
      <c r="AN260" s="585">
        <v>0</v>
      </c>
      <c r="AO260" s="496">
        <f t="shared" si="194"/>
        <v>0</v>
      </c>
      <c r="AP260" s="585">
        <v>2800</v>
      </c>
      <c r="AQ260" s="649">
        <f t="shared" si="195"/>
        <v>2268</v>
      </c>
      <c r="AR260" s="495">
        <v>6080</v>
      </c>
      <c r="AS260" s="777">
        <f t="shared" si="196"/>
        <v>0</v>
      </c>
      <c r="AT260" s="585">
        <v>10320</v>
      </c>
      <c r="AU260" s="496">
        <f t="shared" si="197"/>
        <v>10836</v>
      </c>
      <c r="AV260" s="232">
        <v>6405</v>
      </c>
      <c r="AW260" s="390">
        <f t="shared" si="198"/>
        <v>6725.25</v>
      </c>
      <c r="AX260" s="150">
        <v>3613</v>
      </c>
      <c r="AY260" s="389">
        <f t="shared" si="199"/>
        <v>3793.65</v>
      </c>
      <c r="AZ260" s="232">
        <v>4223</v>
      </c>
      <c r="BA260" s="389">
        <f t="shared" si="200"/>
        <v>4434.1500000000005</v>
      </c>
      <c r="BB260" s="234">
        <v>0</v>
      </c>
      <c r="BC260" s="391">
        <f t="shared" si="201"/>
        <v>0</v>
      </c>
      <c r="BD260" s="150">
        <v>0</v>
      </c>
      <c r="BE260" s="389">
        <f t="shared" si="202"/>
        <v>0</v>
      </c>
      <c r="BF260" s="232">
        <v>0</v>
      </c>
      <c r="BG260" s="389">
        <f t="shared" si="203"/>
        <v>0</v>
      </c>
      <c r="BH260" s="435">
        <v>0</v>
      </c>
      <c r="BI260" s="392">
        <f t="shared" si="204"/>
        <v>0</v>
      </c>
      <c r="BJ260" s="479" t="s">
        <v>596</v>
      </c>
      <c r="BK260" s="334"/>
      <c r="BL260" s="331" t="s">
        <v>92</v>
      </c>
      <c r="BM260" s="331" t="s">
        <v>597</v>
      </c>
    </row>
    <row r="261" spans="1:65">
      <c r="A261" s="197" t="s">
        <v>383</v>
      </c>
      <c r="B261" s="9" t="s">
        <v>186</v>
      </c>
      <c r="C261" s="78" t="s">
        <v>30</v>
      </c>
      <c r="D261" s="997"/>
      <c r="E261" s="999"/>
      <c r="F261" s="1001"/>
      <c r="G261" s="641">
        <v>2026</v>
      </c>
      <c r="H261" s="887" t="s">
        <v>450</v>
      </c>
      <c r="I261" s="623" t="s">
        <v>151</v>
      </c>
      <c r="J261" s="605">
        <v>16</v>
      </c>
      <c r="K261" s="625" t="s">
        <v>453</v>
      </c>
      <c r="L261" s="629" t="s">
        <v>150</v>
      </c>
      <c r="M261" s="608" t="s">
        <v>400</v>
      </c>
      <c r="N261" s="6">
        <v>8.31</v>
      </c>
      <c r="O261" s="6">
        <v>8.31</v>
      </c>
      <c r="P261" s="6">
        <v>8.31</v>
      </c>
      <c r="Q261" s="6">
        <v>8.31</v>
      </c>
      <c r="R261" s="6">
        <v>9.0500000000000007</v>
      </c>
      <c r="S261" s="6">
        <v>9.0500000000000007</v>
      </c>
      <c r="T261" s="6">
        <v>9.0500000000000007</v>
      </c>
      <c r="U261" s="6">
        <v>9.0500000000000007</v>
      </c>
      <c r="V261" s="6">
        <v>9.0500000000000007</v>
      </c>
      <c r="W261" s="6">
        <v>9.0500000000000007</v>
      </c>
      <c r="X261" s="6">
        <v>9.0500000000000007</v>
      </c>
      <c r="Y261" s="6">
        <v>9.0500000000000007</v>
      </c>
      <c r="Z261" s="195">
        <v>0.81</v>
      </c>
      <c r="AA261" s="2">
        <v>0.81</v>
      </c>
      <c r="AB261" s="2">
        <v>0.81</v>
      </c>
      <c r="AC261" s="378">
        <v>0</v>
      </c>
      <c r="AD261" s="2">
        <v>1.05</v>
      </c>
      <c r="AE261" s="2">
        <v>1.05</v>
      </c>
      <c r="AF261" s="2">
        <v>1.05</v>
      </c>
      <c r="AG261" s="2">
        <v>1.05</v>
      </c>
      <c r="AH261" s="2">
        <v>1.05</v>
      </c>
      <c r="AI261" s="2">
        <v>1.05</v>
      </c>
      <c r="AJ261" s="2">
        <v>1.05</v>
      </c>
      <c r="AK261" s="480">
        <v>1.05</v>
      </c>
      <c r="AL261" s="535">
        <v>0</v>
      </c>
      <c r="AM261" s="496">
        <f t="shared" si="193"/>
        <v>0</v>
      </c>
      <c r="AN261" s="588">
        <v>0</v>
      </c>
      <c r="AO261" s="494">
        <f t="shared" si="194"/>
        <v>0</v>
      </c>
      <c r="AP261" s="558">
        <v>0</v>
      </c>
      <c r="AQ261" s="621">
        <f t="shared" si="195"/>
        <v>0</v>
      </c>
      <c r="AR261" s="510">
        <v>440</v>
      </c>
      <c r="AS261" s="777">
        <f t="shared" si="196"/>
        <v>0</v>
      </c>
      <c r="AT261" s="554">
        <v>550</v>
      </c>
      <c r="AU261" s="494">
        <f t="shared" si="197"/>
        <v>577.5</v>
      </c>
      <c r="AV261" s="59">
        <v>776</v>
      </c>
      <c r="AW261" s="355">
        <f t="shared" si="198"/>
        <v>814.80000000000007</v>
      </c>
      <c r="AX261" s="439">
        <v>940</v>
      </c>
      <c r="AY261" s="127">
        <f t="shared" si="199"/>
        <v>987</v>
      </c>
      <c r="AZ261" s="58">
        <v>981</v>
      </c>
      <c r="BA261" s="127">
        <f t="shared" si="200"/>
        <v>1030.05</v>
      </c>
      <c r="BB261" s="59">
        <v>935.50877343155901</v>
      </c>
      <c r="BC261" s="391">
        <f t="shared" si="201"/>
        <v>982.28421210313695</v>
      </c>
      <c r="BD261" s="123">
        <v>954.03686203711698</v>
      </c>
      <c r="BE261" s="127">
        <f t="shared" si="202"/>
        <v>1001.7387051389728</v>
      </c>
      <c r="BF261" s="58">
        <v>926.53058082094003</v>
      </c>
      <c r="BG261" s="127">
        <f t="shared" si="203"/>
        <v>972.85710986198706</v>
      </c>
      <c r="BH261" s="59">
        <v>1306.25515058933</v>
      </c>
      <c r="BI261" s="329">
        <f t="shared" si="204"/>
        <v>1371.5679081187966</v>
      </c>
      <c r="BJ261" s="642" t="s">
        <v>436</v>
      </c>
      <c r="BK261" s="334"/>
      <c r="BL261" s="334" t="s">
        <v>92</v>
      </c>
      <c r="BM261" s="331" t="s">
        <v>461</v>
      </c>
    </row>
    <row r="262" spans="1:65" ht="15" thickBot="1">
      <c r="A262" s="351" t="s">
        <v>383</v>
      </c>
      <c r="B262" s="10" t="s">
        <v>186</v>
      </c>
      <c r="C262" s="10" t="s">
        <v>30</v>
      </c>
      <c r="D262" s="998"/>
      <c r="E262" s="1000"/>
      <c r="F262" s="1002"/>
      <c r="G262" s="631">
        <v>2026</v>
      </c>
      <c r="H262" s="888" t="s">
        <v>450</v>
      </c>
      <c r="I262" s="632" t="s">
        <v>594</v>
      </c>
      <c r="J262" s="633">
        <v>16</v>
      </c>
      <c r="K262" s="634" t="s">
        <v>452</v>
      </c>
      <c r="L262" s="635" t="s">
        <v>150</v>
      </c>
      <c r="M262" s="636" t="s">
        <v>323</v>
      </c>
      <c r="N262" s="250">
        <v>8.31</v>
      </c>
      <c r="O262" s="83">
        <v>8.31</v>
      </c>
      <c r="P262" s="83">
        <v>8.31</v>
      </c>
      <c r="Q262" s="83">
        <v>8.31</v>
      </c>
      <c r="R262" s="83">
        <v>9.0500000000000007</v>
      </c>
      <c r="S262" s="83">
        <v>9.0500000000000007</v>
      </c>
      <c r="T262" s="83">
        <v>9.0500000000000007</v>
      </c>
      <c r="U262" s="83">
        <v>9.0500000000000007</v>
      </c>
      <c r="V262" s="83">
        <v>9.0500000000000007</v>
      </c>
      <c r="W262" s="83">
        <v>9.0500000000000007</v>
      </c>
      <c r="X262" s="83">
        <v>9.0500000000000007</v>
      </c>
      <c r="Y262" s="83">
        <v>9.0500000000000007</v>
      </c>
      <c r="Z262" s="253">
        <v>0.81</v>
      </c>
      <c r="AA262" s="254">
        <v>0.81</v>
      </c>
      <c r="AB262" s="254">
        <v>0.81</v>
      </c>
      <c r="AC262" s="343">
        <v>0</v>
      </c>
      <c r="AD262" s="254">
        <v>1.05</v>
      </c>
      <c r="AE262" s="254">
        <v>1.05</v>
      </c>
      <c r="AF262" s="254">
        <v>1.05</v>
      </c>
      <c r="AG262" s="254">
        <v>1.05</v>
      </c>
      <c r="AH262" s="254">
        <v>1.05</v>
      </c>
      <c r="AI262" s="254">
        <v>1.05</v>
      </c>
      <c r="AJ262" s="254">
        <v>1.05</v>
      </c>
      <c r="AK262" s="481">
        <v>1.05</v>
      </c>
      <c r="AL262" s="506">
        <v>0</v>
      </c>
      <c r="AM262" s="507">
        <f t="shared" si="193"/>
        <v>0</v>
      </c>
      <c r="AN262" s="586">
        <v>0</v>
      </c>
      <c r="AO262" s="501">
        <f t="shared" si="194"/>
        <v>0</v>
      </c>
      <c r="AP262" s="586">
        <v>4600</v>
      </c>
      <c r="AQ262" s="619">
        <f t="shared" si="195"/>
        <v>3726.0000000000005</v>
      </c>
      <c r="AR262" s="500">
        <v>3380</v>
      </c>
      <c r="AS262" s="781">
        <f t="shared" si="196"/>
        <v>0</v>
      </c>
      <c r="AT262" s="586">
        <v>14873</v>
      </c>
      <c r="AU262" s="501">
        <f t="shared" si="197"/>
        <v>15616.650000000001</v>
      </c>
      <c r="AV262" s="421">
        <v>10626</v>
      </c>
      <c r="AW262" s="360">
        <f t="shared" si="198"/>
        <v>11157.300000000001</v>
      </c>
      <c r="AX262" s="130">
        <v>4921</v>
      </c>
      <c r="AY262" s="138">
        <f t="shared" si="199"/>
        <v>5167.05</v>
      </c>
      <c r="AZ262" s="421">
        <v>5318</v>
      </c>
      <c r="BA262" s="138">
        <f t="shared" si="200"/>
        <v>5583.9000000000005</v>
      </c>
      <c r="BB262" s="422">
        <v>0</v>
      </c>
      <c r="BC262" s="365">
        <f t="shared" si="201"/>
        <v>0</v>
      </c>
      <c r="BD262" s="130">
        <v>0</v>
      </c>
      <c r="BE262" s="138">
        <f t="shared" si="202"/>
        <v>0</v>
      </c>
      <c r="BF262" s="421">
        <v>0</v>
      </c>
      <c r="BG262" s="138">
        <f t="shared" si="203"/>
        <v>0</v>
      </c>
      <c r="BH262" s="436">
        <v>0</v>
      </c>
      <c r="BI262" s="464">
        <f t="shared" si="204"/>
        <v>0</v>
      </c>
      <c r="BJ262" s="637" t="s">
        <v>435</v>
      </c>
      <c r="BK262" s="638"/>
      <c r="BL262" s="638" t="s">
        <v>92</v>
      </c>
      <c r="BM262" s="639" t="s">
        <v>595</v>
      </c>
    </row>
    <row r="263" spans="1:65">
      <c r="Y263" s="6"/>
    </row>
    <row r="264" spans="1:65">
      <c r="Y264" s="6"/>
    </row>
    <row r="265" spans="1:65">
      <c r="Y265" s="6"/>
    </row>
    <row r="266" spans="1:65">
      <c r="Y266" s="6"/>
    </row>
    <row r="267" spans="1:65">
      <c r="Y267" s="6"/>
    </row>
    <row r="268" spans="1:65">
      <c r="Y268" s="6"/>
    </row>
    <row r="269" spans="1:65">
      <c r="Y269" s="6"/>
    </row>
    <row r="270" spans="1:65">
      <c r="Y270" s="6"/>
    </row>
    <row r="271" spans="1:65">
      <c r="Y271" s="6"/>
    </row>
    <row r="272" spans="1:65">
      <c r="Y272" s="6"/>
    </row>
    <row r="273" spans="25:25">
      <c r="Y273" s="6"/>
    </row>
    <row r="274" spans="25:25">
      <c r="Y274" s="6"/>
    </row>
    <row r="275" spans="25:25">
      <c r="Y275" s="6"/>
    </row>
    <row r="276" spans="25:25">
      <c r="Y276" s="6"/>
    </row>
    <row r="277" spans="25:25">
      <c r="Y277" s="6"/>
    </row>
    <row r="278" spans="25:25">
      <c r="Y278" s="6"/>
    </row>
    <row r="279" spans="25:25">
      <c r="Y279" s="6"/>
    </row>
    <row r="280" spans="25:25">
      <c r="Y280" s="6"/>
    </row>
    <row r="281" spans="25:25">
      <c r="Y281" s="6"/>
    </row>
    <row r="282" spans="25:25">
      <c r="Y282" s="6"/>
    </row>
    <row r="283" spans="25:25">
      <c r="Y283" s="6"/>
    </row>
    <row r="284" spans="25:25">
      <c r="Y284" s="6"/>
    </row>
    <row r="285" spans="25:25">
      <c r="Y285" s="6"/>
    </row>
    <row r="286" spans="25:25">
      <c r="Y286" s="6"/>
    </row>
    <row r="287" spans="25:25">
      <c r="Y287" s="6"/>
    </row>
    <row r="288" spans="25:25">
      <c r="Y288" s="6"/>
    </row>
    <row r="289" spans="25:25">
      <c r="Y289" s="6"/>
    </row>
    <row r="290" spans="25:25">
      <c r="Y290" s="6"/>
    </row>
    <row r="291" spans="25:25">
      <c r="Y291" s="6"/>
    </row>
    <row r="292" spans="25:25">
      <c r="Y292" s="6"/>
    </row>
    <row r="293" spans="25:25">
      <c r="Y293" s="6"/>
    </row>
    <row r="294" spans="25:25">
      <c r="Y294" s="6"/>
    </row>
    <row r="295" spans="25:25">
      <c r="Y295" s="6"/>
    </row>
    <row r="296" spans="25:25">
      <c r="Y296" s="6"/>
    </row>
    <row r="297" spans="25:25">
      <c r="Y297" s="6"/>
    </row>
    <row r="298" spans="25:25">
      <c r="Y298" s="6"/>
    </row>
    <row r="299" spans="25:25">
      <c r="Y299" s="6"/>
    </row>
    <row r="300" spans="25:25">
      <c r="Y300" s="6"/>
    </row>
    <row r="301" spans="25:25">
      <c r="Y301" s="6"/>
    </row>
    <row r="302" spans="25:25">
      <c r="Y302" s="6"/>
    </row>
    <row r="303" spans="25:25">
      <c r="Y303" s="6"/>
    </row>
    <row r="304" spans="25:25">
      <c r="Y304" s="6"/>
    </row>
    <row r="305" spans="25:25">
      <c r="Y305" s="6"/>
    </row>
    <row r="306" spans="25:25">
      <c r="Y306" s="6"/>
    </row>
    <row r="307" spans="25:25">
      <c r="Y307" s="6"/>
    </row>
    <row r="308" spans="25:25">
      <c r="Y308" s="6"/>
    </row>
    <row r="309" spans="25:25">
      <c r="Y309" s="6"/>
    </row>
    <row r="310" spans="25:25">
      <c r="Y310" s="6"/>
    </row>
    <row r="311" spans="25:25">
      <c r="Y311" s="6"/>
    </row>
    <row r="312" spans="25:25">
      <c r="Y312" s="6"/>
    </row>
    <row r="313" spans="25:25">
      <c r="Y313" s="6"/>
    </row>
    <row r="314" spans="25:25">
      <c r="Y314" s="6"/>
    </row>
    <row r="315" spans="25:25">
      <c r="Y315" s="6"/>
    </row>
    <row r="316" spans="25:25">
      <c r="Y316" s="6"/>
    </row>
    <row r="317" spans="25:25">
      <c r="Y317" s="6"/>
    </row>
    <row r="318" spans="25:25">
      <c r="Y318" s="6"/>
    </row>
    <row r="319" spans="25:25">
      <c r="Y319" s="6"/>
    </row>
    <row r="320" spans="25:25">
      <c r="Y320" s="6"/>
    </row>
    <row r="321" spans="25:25">
      <c r="Y321" s="6"/>
    </row>
    <row r="322" spans="25:25">
      <c r="Y322" s="6"/>
    </row>
    <row r="323" spans="25:25">
      <c r="Y323" s="6"/>
    </row>
    <row r="324" spans="25:25">
      <c r="Y324" s="6"/>
    </row>
    <row r="325" spans="25:25">
      <c r="Y325" s="6"/>
    </row>
    <row r="326" spans="25:25">
      <c r="Y326" s="6"/>
    </row>
    <row r="327" spans="25:25">
      <c r="Y327" s="6"/>
    </row>
    <row r="328" spans="25:25">
      <c r="Y328" s="6"/>
    </row>
    <row r="329" spans="25:25">
      <c r="Y329" s="6"/>
    </row>
    <row r="330" spans="25:25">
      <c r="Y330" s="6"/>
    </row>
    <row r="331" spans="25:25">
      <c r="Y331" s="6"/>
    </row>
    <row r="332" spans="25:25">
      <c r="Y332" s="6"/>
    </row>
    <row r="333" spans="25:25">
      <c r="Y333" s="6"/>
    </row>
    <row r="334" spans="25:25">
      <c r="Y334" s="6"/>
    </row>
    <row r="335" spans="25:25">
      <c r="Y335" s="6"/>
    </row>
    <row r="336" spans="25:25">
      <c r="Y336" s="6"/>
    </row>
    <row r="337" spans="25:25">
      <c r="Y337" s="6"/>
    </row>
    <row r="338" spans="25:25">
      <c r="Y338" s="6"/>
    </row>
    <row r="339" spans="25:25">
      <c r="Y339" s="6"/>
    </row>
    <row r="340" spans="25:25">
      <c r="Y340" s="6"/>
    </row>
    <row r="341" spans="25:25">
      <c r="Y341" s="6"/>
    </row>
    <row r="342" spans="25:25">
      <c r="Y342" s="6"/>
    </row>
    <row r="343" spans="25:25">
      <c r="Y343" s="6"/>
    </row>
    <row r="344" spans="25:25">
      <c r="Y344" s="6"/>
    </row>
    <row r="345" spans="25:25">
      <c r="Y345" s="6"/>
    </row>
    <row r="346" spans="25:25">
      <c r="Y346" s="6"/>
    </row>
    <row r="347" spans="25:25">
      <c r="Y347" s="6"/>
    </row>
    <row r="348" spans="25:25">
      <c r="Y348" s="6"/>
    </row>
    <row r="349" spans="25:25">
      <c r="Y349" s="6"/>
    </row>
    <row r="350" spans="25:25">
      <c r="Y350" s="6"/>
    </row>
    <row r="351" spans="25:25">
      <c r="Y351" s="6"/>
    </row>
    <row r="352" spans="25:25">
      <c r="Y352" s="6"/>
    </row>
    <row r="353" spans="25:25">
      <c r="Y353" s="6"/>
    </row>
    <row r="354" spans="25:25">
      <c r="Y354" s="6"/>
    </row>
    <row r="355" spans="25:25">
      <c r="Y355" s="6"/>
    </row>
    <row r="356" spans="25:25">
      <c r="Y356" s="6"/>
    </row>
    <row r="357" spans="25:25">
      <c r="Y357" s="6"/>
    </row>
    <row r="358" spans="25:25">
      <c r="Y358" s="6"/>
    </row>
    <row r="359" spans="25:25">
      <c r="Y359" s="6"/>
    </row>
    <row r="360" spans="25:25">
      <c r="Y360" s="6"/>
    </row>
    <row r="361" spans="25:25">
      <c r="Y361" s="6"/>
    </row>
    <row r="362" spans="25:25">
      <c r="Y362" s="6"/>
    </row>
    <row r="363" spans="25:25">
      <c r="Y363" s="6"/>
    </row>
    <row r="364" spans="25:25">
      <c r="Y364" s="6"/>
    </row>
    <row r="365" spans="25:25">
      <c r="Y365" s="6"/>
    </row>
    <row r="366" spans="25:25">
      <c r="Y366" s="6"/>
    </row>
    <row r="367" spans="25:25">
      <c r="Y367" s="6"/>
    </row>
    <row r="368" spans="25:25">
      <c r="Y368" s="6"/>
    </row>
    <row r="369" spans="25:25">
      <c r="Y369" s="6"/>
    </row>
    <row r="370" spans="25:25">
      <c r="Y370" s="6"/>
    </row>
    <row r="371" spans="25:25">
      <c r="Y371" s="6"/>
    </row>
    <row r="372" spans="25:25">
      <c r="Y372" s="6"/>
    </row>
    <row r="373" spans="25:25">
      <c r="Y373" s="6"/>
    </row>
    <row r="374" spans="25:25">
      <c r="Y374" s="6"/>
    </row>
    <row r="375" spans="25:25">
      <c r="Y375" s="6"/>
    </row>
    <row r="376" spans="25:25">
      <c r="Y376" s="6"/>
    </row>
    <row r="377" spans="25:25">
      <c r="Y377" s="6"/>
    </row>
    <row r="378" spans="25:25">
      <c r="Y378" s="6"/>
    </row>
    <row r="379" spans="25:25">
      <c r="Y379" s="6"/>
    </row>
    <row r="380" spans="25:25">
      <c r="Y380" s="6"/>
    </row>
    <row r="381" spans="25:25">
      <c r="Y381" s="6"/>
    </row>
    <row r="382" spans="25:25">
      <c r="Y382" s="6"/>
    </row>
    <row r="383" spans="25:25">
      <c r="Y383" s="6"/>
    </row>
    <row r="384" spans="25:25">
      <c r="Y384" s="6"/>
    </row>
    <row r="385" spans="25:25">
      <c r="Y385" s="6"/>
    </row>
    <row r="386" spans="25:25">
      <c r="Y386" s="6"/>
    </row>
    <row r="387" spans="25:25">
      <c r="Y387" s="6"/>
    </row>
    <row r="388" spans="25:25">
      <c r="Y388" s="6"/>
    </row>
    <row r="389" spans="25:25">
      <c r="Y389" s="6"/>
    </row>
    <row r="390" spans="25:25">
      <c r="Y390" s="6"/>
    </row>
    <row r="391" spans="25:25">
      <c r="Y391" s="6"/>
    </row>
    <row r="392" spans="25:25">
      <c r="Y392" s="6"/>
    </row>
    <row r="393" spans="25:25">
      <c r="Y393" s="6"/>
    </row>
    <row r="394" spans="25:25">
      <c r="Y394" s="6"/>
    </row>
    <row r="395" spans="25:25">
      <c r="Y395" s="6"/>
    </row>
    <row r="396" spans="25:25">
      <c r="Y396" s="6"/>
    </row>
    <row r="397" spans="25:25">
      <c r="Y397" s="6"/>
    </row>
    <row r="398" spans="25:25">
      <c r="Y398" s="6"/>
    </row>
    <row r="399" spans="25:25">
      <c r="Y399" s="6"/>
    </row>
    <row r="400" spans="25:25">
      <c r="Y400" s="6"/>
    </row>
    <row r="401" spans="25:25">
      <c r="Y401" s="6"/>
    </row>
    <row r="402" spans="25:25">
      <c r="Y402" s="6"/>
    </row>
    <row r="403" spans="25:25">
      <c r="Y403" s="6"/>
    </row>
    <row r="404" spans="25:25">
      <c r="Y404" s="6"/>
    </row>
    <row r="405" spans="25:25">
      <c r="Y405" s="6"/>
    </row>
    <row r="406" spans="25:25">
      <c r="Y406" s="6"/>
    </row>
    <row r="407" spans="25:25">
      <c r="Y407" s="6"/>
    </row>
    <row r="408" spans="25:25">
      <c r="Y408" s="6"/>
    </row>
    <row r="409" spans="25:25">
      <c r="Y409" s="6"/>
    </row>
    <row r="410" spans="25:25">
      <c r="Y410" s="6"/>
    </row>
    <row r="411" spans="25:25">
      <c r="Y411" s="6"/>
    </row>
    <row r="412" spans="25:25">
      <c r="Y412" s="6"/>
    </row>
    <row r="413" spans="25:25">
      <c r="Y413" s="6"/>
    </row>
    <row r="414" spans="25:25">
      <c r="Y414" s="6"/>
    </row>
    <row r="415" spans="25:25">
      <c r="Y415" s="6"/>
    </row>
    <row r="416" spans="25:25">
      <c r="Y416" s="6"/>
    </row>
    <row r="417" spans="14:36">
      <c r="Y417" s="6"/>
    </row>
    <row r="418" spans="14:36">
      <c r="Y418" s="6"/>
    </row>
    <row r="419" spans="14:36">
      <c r="Y419" s="6"/>
    </row>
    <row r="420" spans="14:36">
      <c r="Y420" s="6"/>
    </row>
    <row r="421" spans="14:36">
      <c r="Y421" s="6"/>
    </row>
    <row r="422" spans="14:36">
      <c r="Y422" s="6"/>
    </row>
    <row r="423" spans="14:36">
      <c r="Y423" s="6"/>
    </row>
    <row r="424" spans="14:36">
      <c r="Y424" s="6"/>
    </row>
    <row r="425" spans="14:36">
      <c r="Y425" s="6"/>
    </row>
    <row r="426" spans="14:36">
      <c r="Y426" s="6"/>
    </row>
    <row r="427" spans="14:36">
      <c r="Y427" s="6"/>
    </row>
    <row r="428" spans="14:36">
      <c r="Y428" s="6"/>
    </row>
    <row r="429" spans="14:36">
      <c r="Y429" s="6"/>
    </row>
    <row r="430" spans="14:36">
      <c r="Y430" s="6"/>
    </row>
    <row r="432" spans="14:36">
      <c r="N432" s="728"/>
      <c r="O432" s="728"/>
      <c r="P432" s="728"/>
      <c r="Q432" s="728"/>
      <c r="R432" s="728"/>
      <c r="S432" s="728"/>
      <c r="T432" s="728"/>
      <c r="U432" s="728"/>
      <c r="V432" s="728"/>
      <c r="W432" s="728"/>
      <c r="X432" s="728"/>
      <c r="Z432" s="411"/>
      <c r="AA432" s="411"/>
      <c r="AB432" s="411"/>
      <c r="AC432" s="411"/>
      <c r="AD432" s="411"/>
      <c r="AE432" s="411"/>
      <c r="AF432" s="411"/>
      <c r="AG432" s="411"/>
      <c r="AH432" s="411"/>
      <c r="AI432" s="411"/>
      <c r="AJ432" s="411"/>
    </row>
    <row r="433" spans="14:36">
      <c r="N433" s="411"/>
      <c r="O433" s="411"/>
      <c r="P433" s="411"/>
      <c r="Q433" s="411"/>
      <c r="R433" s="411"/>
      <c r="S433" s="411"/>
      <c r="T433" s="411"/>
      <c r="U433" s="411"/>
      <c r="V433" s="411"/>
      <c r="W433" s="411"/>
      <c r="X433" s="411"/>
      <c r="Z433" s="411"/>
      <c r="AA433" s="411"/>
      <c r="AB433" s="411"/>
      <c r="AC433" s="411"/>
      <c r="AD433" s="411"/>
      <c r="AE433" s="411"/>
      <c r="AF433" s="411"/>
      <c r="AG433" s="411"/>
      <c r="AH433" s="411"/>
      <c r="AI433" s="411"/>
      <c r="AJ433" s="411"/>
    </row>
    <row r="434" spans="14:36">
      <c r="N434" s="411"/>
      <c r="O434" s="411"/>
      <c r="P434" s="411"/>
      <c r="Q434" s="411"/>
      <c r="R434" s="411"/>
      <c r="S434" s="411"/>
      <c r="T434" s="411"/>
      <c r="U434" s="411"/>
      <c r="V434" s="411"/>
      <c r="W434" s="411"/>
      <c r="X434" s="411"/>
      <c r="Z434" s="411"/>
      <c r="AA434" s="411"/>
      <c r="AB434" s="411"/>
      <c r="AC434" s="411"/>
      <c r="AD434" s="411"/>
      <c r="AE434" s="411"/>
      <c r="AF434" s="411"/>
      <c r="AG434" s="411"/>
    </row>
    <row r="1048475" spans="65:65">
      <c r="BM1048475" s="112"/>
    </row>
    <row r="1048476" spans="65:65">
      <c r="BM1048476" s="166"/>
    </row>
    <row r="1048477" spans="65:65">
      <c r="BM1048477" s="78"/>
    </row>
    <row r="1048478" spans="65:65">
      <c r="BM1048478" s="78"/>
    </row>
    <row r="1048479" spans="65:65">
      <c r="BM1048479" s="78"/>
    </row>
    <row r="1048480" spans="65:65">
      <c r="BM1048480" s="78"/>
    </row>
    <row r="1048481" spans="65:65">
      <c r="BM1048481" s="78"/>
    </row>
    <row r="1048482" spans="65:65">
      <c r="BM1048482" s="78"/>
    </row>
    <row r="1048483" spans="65:65">
      <c r="BM1048483" s="78"/>
    </row>
    <row r="1048484" spans="65:65">
      <c r="BM1048484" s="78"/>
    </row>
    <row r="1048485" spans="65:65">
      <c r="BM1048485" s="78"/>
    </row>
    <row r="1048486" spans="65:65">
      <c r="BM1048486" s="78"/>
    </row>
    <row r="1048487" spans="65:65">
      <c r="BM1048487" s="78"/>
    </row>
    <row r="1048488" spans="65:65">
      <c r="BM1048488" s="78"/>
    </row>
    <row r="1048489" spans="65:65">
      <c r="BM1048489" s="78"/>
    </row>
    <row r="1048490" spans="65:65">
      <c r="BM1048490" s="78"/>
    </row>
    <row r="1048491" spans="65:65">
      <c r="BM1048491" s="78"/>
    </row>
    <row r="1048492" spans="65:65">
      <c r="BM1048492" s="78"/>
    </row>
    <row r="1048493" spans="65:65">
      <c r="BM1048493" s="78"/>
    </row>
    <row r="1048494" spans="65:65">
      <c r="BM1048494" s="78"/>
    </row>
    <row r="1048495" spans="65:65">
      <c r="BM1048495" s="78"/>
    </row>
    <row r="1048496" spans="65:65">
      <c r="BM1048496" s="78"/>
    </row>
    <row r="1048497" spans="65:65">
      <c r="BM1048497" s="78"/>
    </row>
    <row r="1048498" spans="65:65">
      <c r="BM1048498" s="78"/>
    </row>
    <row r="1048499" spans="65:65">
      <c r="BM1048499" s="78"/>
    </row>
    <row r="1048500" spans="65:65">
      <c r="BM1048500" s="78"/>
    </row>
    <row r="1048501" spans="65:65">
      <c r="BM1048501" s="78"/>
    </row>
    <row r="1048502" spans="65:65">
      <c r="BM1048502" s="78"/>
    </row>
    <row r="1048503" spans="65:65">
      <c r="BM1048503" s="78"/>
    </row>
    <row r="1048504" spans="65:65">
      <c r="BM1048504" s="78"/>
    </row>
    <row r="1048505" spans="65:65">
      <c r="BM1048505" s="78"/>
    </row>
    <row r="1048506" spans="65:65">
      <c r="BM1048506" s="78"/>
    </row>
    <row r="1048507" spans="65:65">
      <c r="BM1048507" s="78"/>
    </row>
    <row r="1048508" spans="65:65">
      <c r="BM1048508" s="78"/>
    </row>
    <row r="1048509" spans="65:65">
      <c r="BM1048509" s="78"/>
    </row>
    <row r="1048510" spans="65:65">
      <c r="BM1048510" s="78"/>
    </row>
  </sheetData>
  <autoFilter ref="A2:BM429" xr:uid="{D321CC13-907D-49D6-BAD2-A187D010490E}"/>
  <mergeCells count="39">
    <mergeCell ref="D3:D11"/>
    <mergeCell ref="E3:E11"/>
    <mergeCell ref="F3:F11"/>
    <mergeCell ref="D34:D41"/>
    <mergeCell ref="E34:E41"/>
    <mergeCell ref="F34:F41"/>
    <mergeCell ref="D42:D47"/>
    <mergeCell ref="E42:E47"/>
    <mergeCell ref="F42:F47"/>
    <mergeCell ref="F12:F33"/>
    <mergeCell ref="E12:E33"/>
    <mergeCell ref="D12:D33"/>
    <mergeCell ref="D48:D50"/>
    <mergeCell ref="E48:E50"/>
    <mergeCell ref="F48:F50"/>
    <mergeCell ref="D51:D61"/>
    <mergeCell ref="E51:E61"/>
    <mergeCell ref="F51:F61"/>
    <mergeCell ref="D62:D143"/>
    <mergeCell ref="E62:E143"/>
    <mergeCell ref="F62:F143"/>
    <mergeCell ref="D144:D157"/>
    <mergeCell ref="E144:E157"/>
    <mergeCell ref="F144:F157"/>
    <mergeCell ref="D158:D215"/>
    <mergeCell ref="E158:E215"/>
    <mergeCell ref="F158:F215"/>
    <mergeCell ref="D216:D223"/>
    <mergeCell ref="E216:E223"/>
    <mergeCell ref="F216:F223"/>
    <mergeCell ref="D249:D262"/>
    <mergeCell ref="E249:E262"/>
    <mergeCell ref="F249:F262"/>
    <mergeCell ref="D240:D248"/>
    <mergeCell ref="D224:D239"/>
    <mergeCell ref="E224:E239"/>
    <mergeCell ref="F224:F239"/>
    <mergeCell ref="E240:E248"/>
    <mergeCell ref="F240:F248"/>
  </mergeCells>
  <phoneticPr fontId="4" type="noConversion"/>
  <conditionalFormatting sqref="G5">
    <cfRule type="duplicateValues" dxfId="123" priority="256"/>
  </conditionalFormatting>
  <conditionalFormatting sqref="G42">
    <cfRule type="duplicateValues" dxfId="122" priority="140"/>
    <cfRule type="duplicateValues" dxfId="121" priority="148"/>
    <cfRule type="duplicateValues" dxfId="120" priority="144"/>
    <cfRule type="duplicateValues" dxfId="119" priority="254"/>
  </conditionalFormatting>
  <conditionalFormatting sqref="G42:G43">
    <cfRule type="duplicateValues" dxfId="118" priority="146"/>
    <cfRule type="duplicateValues" dxfId="117" priority="143"/>
    <cfRule type="duplicateValues" dxfId="116" priority="198"/>
  </conditionalFormatting>
  <conditionalFormatting sqref="G42:G44 G46">
    <cfRule type="duplicateValues" dxfId="115" priority="327"/>
  </conditionalFormatting>
  <conditionalFormatting sqref="G43:G44">
    <cfRule type="duplicateValues" dxfId="114" priority="142"/>
    <cfRule type="duplicateValues" dxfId="113" priority="145"/>
    <cfRule type="duplicateValues" dxfId="112" priority="253"/>
  </conditionalFormatting>
  <conditionalFormatting sqref="G44">
    <cfRule type="duplicateValues" dxfId="111" priority="178"/>
    <cfRule type="duplicateValues" dxfId="110" priority="141"/>
  </conditionalFormatting>
  <conditionalFormatting sqref="G45">
    <cfRule type="duplicateValues" dxfId="109" priority="137"/>
  </conditionalFormatting>
  <conditionalFormatting sqref="G46">
    <cfRule type="duplicateValues" dxfId="108" priority="177"/>
  </conditionalFormatting>
  <conditionalFormatting sqref="G47">
    <cfRule type="duplicateValues" dxfId="107" priority="251"/>
  </conditionalFormatting>
  <conditionalFormatting sqref="G51 G58 G55:G56">
    <cfRule type="duplicateValues" dxfId="106" priority="255"/>
  </conditionalFormatting>
  <conditionalFormatting sqref="G51:G54">
    <cfRule type="duplicateValues" dxfId="105" priority="205"/>
  </conditionalFormatting>
  <conditionalFormatting sqref="G53:G55">
    <cfRule type="duplicateValues" dxfId="104" priority="197"/>
  </conditionalFormatting>
  <conditionalFormatting sqref="G233">
    <cfRule type="duplicateValues" dxfId="103" priority="174"/>
  </conditionalFormatting>
  <conditionalFormatting sqref="G248">
    <cfRule type="duplicateValues" dxfId="102" priority="213"/>
  </conditionalFormatting>
  <conditionalFormatting sqref="G249">
    <cfRule type="duplicateValues" dxfId="101" priority="212"/>
  </conditionalFormatting>
  <conditionalFormatting sqref="BJ3">
    <cfRule type="duplicateValues" dxfId="100" priority="115"/>
    <cfRule type="duplicateValues" dxfId="99" priority="114"/>
    <cfRule type="duplicateValues" dxfId="98" priority="62"/>
  </conditionalFormatting>
  <conditionalFormatting sqref="BJ6">
    <cfRule type="duplicateValues" dxfId="97" priority="61"/>
    <cfRule type="duplicateValues" dxfId="96" priority="60"/>
  </conditionalFormatting>
  <conditionalFormatting sqref="BJ7:BJ8">
    <cfRule type="duplicateValues" dxfId="95" priority="116"/>
  </conditionalFormatting>
  <conditionalFormatting sqref="BJ9">
    <cfRule type="duplicateValues" dxfId="94" priority="59"/>
    <cfRule type="duplicateValues" dxfId="93" priority="58"/>
  </conditionalFormatting>
  <conditionalFormatting sqref="BJ12">
    <cfRule type="duplicateValues" dxfId="92" priority="112"/>
    <cfRule type="duplicateValues" dxfId="91" priority="113"/>
  </conditionalFormatting>
  <conditionalFormatting sqref="BJ12:BJ13">
    <cfRule type="duplicateValues" dxfId="90" priority="56"/>
  </conditionalFormatting>
  <conditionalFormatting sqref="BJ13">
    <cfRule type="duplicateValues" dxfId="89" priority="111"/>
    <cfRule type="duplicateValues" dxfId="88" priority="110"/>
  </conditionalFormatting>
  <conditionalFormatting sqref="BJ14">
    <cfRule type="duplicateValues" dxfId="87" priority="42"/>
    <cfRule type="duplicateValues" dxfId="86" priority="41"/>
    <cfRule type="duplicateValues" dxfId="85" priority="108"/>
    <cfRule type="duplicateValues" dxfId="84" priority="109"/>
  </conditionalFormatting>
  <conditionalFormatting sqref="BJ14:BJ16">
    <cfRule type="duplicateValues" dxfId="83" priority="117"/>
  </conditionalFormatting>
  <conditionalFormatting sqref="BJ14:BJ20">
    <cfRule type="duplicateValues" dxfId="82" priority="107"/>
  </conditionalFormatting>
  <conditionalFormatting sqref="BJ15">
    <cfRule type="duplicateValues" dxfId="81" priority="43"/>
  </conditionalFormatting>
  <conditionalFormatting sqref="BJ16">
    <cfRule type="duplicateValues" dxfId="80" priority="53"/>
    <cfRule type="duplicateValues" dxfId="79" priority="54"/>
  </conditionalFormatting>
  <conditionalFormatting sqref="BJ16:BJ19">
    <cfRule type="duplicateValues" dxfId="78" priority="57"/>
  </conditionalFormatting>
  <conditionalFormatting sqref="BJ17">
    <cfRule type="duplicateValues" dxfId="77" priority="47"/>
    <cfRule type="duplicateValues" dxfId="76" priority="48"/>
    <cfRule type="duplicateValues" dxfId="75" priority="55"/>
  </conditionalFormatting>
  <conditionalFormatting sqref="BJ18">
    <cfRule type="duplicateValues" dxfId="74" priority="49"/>
  </conditionalFormatting>
  <conditionalFormatting sqref="BJ18:BJ19">
    <cfRule type="duplicateValues" dxfId="73" priority="38"/>
    <cfRule type="duplicateValues" dxfId="72" priority="39"/>
    <cfRule type="duplicateValues" dxfId="71" priority="105"/>
    <cfRule type="duplicateValues" dxfId="70" priority="104"/>
  </conditionalFormatting>
  <conditionalFormatting sqref="BJ18:BJ22">
    <cfRule type="duplicateValues" dxfId="69" priority="118"/>
  </conditionalFormatting>
  <conditionalFormatting sqref="BJ18:BJ25">
    <cfRule type="duplicateValues" dxfId="68" priority="103"/>
  </conditionalFormatting>
  <conditionalFormatting sqref="BJ19:BJ20">
    <cfRule type="duplicateValues" dxfId="67" priority="40"/>
    <cfRule type="duplicateValues" dxfId="66" priority="106"/>
  </conditionalFormatting>
  <conditionalFormatting sqref="BJ20:BJ21">
    <cfRule type="duplicateValues" dxfId="65" priority="51"/>
    <cfRule type="duplicateValues" dxfId="64" priority="50"/>
  </conditionalFormatting>
  <conditionalFormatting sqref="BJ21:BJ22">
    <cfRule type="duplicateValues" dxfId="63" priority="44"/>
    <cfRule type="duplicateValues" dxfId="62" priority="45"/>
    <cfRule type="duplicateValues" dxfId="61" priority="52"/>
  </conditionalFormatting>
  <conditionalFormatting sqref="BJ22:BJ23">
    <cfRule type="duplicateValues" dxfId="60" priority="46"/>
  </conditionalFormatting>
  <conditionalFormatting sqref="BJ23:BJ24">
    <cfRule type="duplicateValues" dxfId="59" priority="101"/>
    <cfRule type="duplicateValues" dxfId="58" priority="100"/>
  </conditionalFormatting>
  <conditionalFormatting sqref="BJ24:BJ25">
    <cfRule type="duplicateValues" dxfId="57" priority="102"/>
  </conditionalFormatting>
  <conditionalFormatting sqref="BJ42:BJ47">
    <cfRule type="duplicateValues" dxfId="56" priority="128"/>
    <cfRule type="duplicateValues" dxfId="55" priority="127"/>
  </conditionalFormatting>
  <conditionalFormatting sqref="BJ51 BJ58 BJ55:BJ56">
    <cfRule type="duplicateValues" dxfId="54" priority="98"/>
    <cfRule type="duplicateValues" dxfId="53" priority="99"/>
  </conditionalFormatting>
  <conditionalFormatting sqref="BJ51:BJ53">
    <cfRule type="duplicateValues" dxfId="52" priority="82"/>
    <cfRule type="duplicateValues" dxfId="51" priority="81"/>
  </conditionalFormatting>
  <conditionalFormatting sqref="BJ53 BJ55">
    <cfRule type="duplicateValues" dxfId="50" priority="79"/>
    <cfRule type="duplicateValues" dxfId="49" priority="80"/>
  </conditionalFormatting>
  <conditionalFormatting sqref="BJ144">
    <cfRule type="duplicateValues" dxfId="48" priority="64"/>
    <cfRule type="duplicateValues" dxfId="47" priority="63"/>
  </conditionalFormatting>
  <conditionalFormatting sqref="BJ152">
    <cfRule type="duplicateValues" dxfId="46" priority="94"/>
    <cfRule type="duplicateValues" dxfId="45" priority="93"/>
  </conditionalFormatting>
  <conditionalFormatting sqref="BJ152:BJ153">
    <cfRule type="duplicateValues" dxfId="44" priority="120"/>
    <cfRule type="duplicateValues" dxfId="43" priority="119"/>
  </conditionalFormatting>
  <conditionalFormatting sqref="BJ153:BJ154">
    <cfRule type="duplicateValues" dxfId="42" priority="68"/>
    <cfRule type="duplicateValues" dxfId="41" priority="67"/>
  </conditionalFormatting>
  <conditionalFormatting sqref="BJ154:BJ155">
    <cfRule type="duplicateValues" dxfId="40" priority="96"/>
  </conditionalFormatting>
  <conditionalFormatting sqref="BJ154:BJ157">
    <cfRule type="duplicateValues" dxfId="39" priority="95"/>
  </conditionalFormatting>
  <conditionalFormatting sqref="BJ155:BJ156">
    <cfRule type="duplicateValues" dxfId="38" priority="69"/>
    <cfRule type="duplicateValues" dxfId="37" priority="70"/>
  </conditionalFormatting>
  <conditionalFormatting sqref="BJ156:BJ157">
    <cfRule type="duplicateValues" dxfId="36" priority="97"/>
  </conditionalFormatting>
  <conditionalFormatting sqref="BJ158 BJ161:BJ162">
    <cfRule type="duplicateValues" dxfId="35" priority="92"/>
  </conditionalFormatting>
  <conditionalFormatting sqref="BJ158">
    <cfRule type="duplicateValues" dxfId="34" priority="91"/>
  </conditionalFormatting>
  <conditionalFormatting sqref="BJ159">
    <cfRule type="duplicateValues" dxfId="33" priority="84"/>
    <cfRule type="duplicateValues" dxfId="32" priority="83"/>
  </conditionalFormatting>
  <conditionalFormatting sqref="BJ160">
    <cfRule type="duplicateValues" dxfId="31" priority="78"/>
    <cfRule type="duplicateValues" dxfId="30" priority="77"/>
  </conditionalFormatting>
  <conditionalFormatting sqref="BJ163">
    <cfRule type="duplicateValues" dxfId="29" priority="37"/>
    <cfRule type="duplicateValues" dxfId="28" priority="36"/>
  </conditionalFormatting>
  <conditionalFormatting sqref="BJ164">
    <cfRule type="duplicateValues" dxfId="27" priority="76"/>
    <cfRule type="duplicateValues" dxfId="26" priority="75"/>
  </conditionalFormatting>
  <conditionalFormatting sqref="BJ165">
    <cfRule type="duplicateValues" dxfId="25" priority="74"/>
    <cfRule type="duplicateValues" dxfId="24" priority="73"/>
  </conditionalFormatting>
  <conditionalFormatting sqref="BJ166">
    <cfRule type="duplicateValues" dxfId="23" priority="72"/>
    <cfRule type="duplicateValues" dxfId="22" priority="71"/>
  </conditionalFormatting>
  <conditionalFormatting sqref="BJ167:BJ168 BJ170:BJ171">
    <cfRule type="duplicateValues" dxfId="21" priority="90"/>
    <cfRule type="duplicateValues" dxfId="20" priority="89"/>
  </conditionalFormatting>
  <conditionalFormatting sqref="BJ169">
    <cfRule type="duplicateValues" dxfId="19" priority="66"/>
    <cfRule type="duplicateValues" dxfId="18" priority="65"/>
  </conditionalFormatting>
  <conditionalFormatting sqref="BJ173">
    <cfRule type="duplicateValues" dxfId="17" priority="88"/>
    <cfRule type="duplicateValues" dxfId="16" priority="87"/>
  </conditionalFormatting>
  <conditionalFormatting sqref="BJ174 BJ172">
    <cfRule type="duplicateValues" dxfId="15" priority="121"/>
    <cfRule type="duplicateValues" dxfId="14" priority="122"/>
  </conditionalFormatting>
  <conditionalFormatting sqref="BJ212:BJ213 BJ175">
    <cfRule type="duplicateValues" dxfId="13" priority="329"/>
    <cfRule type="duplicateValues" dxfId="12" priority="328"/>
  </conditionalFormatting>
  <conditionalFormatting sqref="BJ214:BJ215">
    <cfRule type="duplicateValues" dxfId="11" priority="86"/>
    <cfRule type="duplicateValues" dxfId="10" priority="85"/>
  </conditionalFormatting>
  <conditionalFormatting sqref="BJ224:BJ227">
    <cfRule type="duplicateValues" dxfId="9" priority="124"/>
    <cfRule type="duplicateValues" dxfId="8" priority="123"/>
  </conditionalFormatting>
  <conditionalFormatting sqref="BJ233">
    <cfRule type="duplicateValues" dxfId="7" priority="125"/>
  </conditionalFormatting>
  <conditionalFormatting sqref="BJ241:BJ247">
    <cfRule type="duplicateValues" dxfId="6" priority="132"/>
    <cfRule type="duplicateValues" dxfId="5" priority="131"/>
  </conditionalFormatting>
  <conditionalFormatting sqref="BJ248">
    <cfRule type="duplicateValues" dxfId="4" priority="134"/>
    <cfRule type="duplicateValues" dxfId="3" priority="133"/>
  </conditionalFormatting>
  <conditionalFormatting sqref="BJ249">
    <cfRule type="duplicateValues" dxfId="2" priority="126"/>
  </conditionalFormatting>
  <conditionalFormatting sqref="BJ261">
    <cfRule type="duplicateValues" dxfId="1" priority="34"/>
    <cfRule type="duplicateValues" dxfId="0" priority="35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Props1.xml><?xml version="1.0" encoding="utf-8"?>
<ds:datastoreItem xmlns:ds="http://schemas.openxmlformats.org/officeDocument/2006/customXml" ds:itemID="{1687D9C2-3DE9-4D6C-AE16-92BD622C67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2F698C-EA52-4C1C-9FD4-979B598278FF}"/>
</file>

<file path=customXml/itemProps3.xml><?xml version="1.0" encoding="utf-8"?>
<ds:datastoreItem xmlns:ds="http://schemas.openxmlformats.org/officeDocument/2006/customXml" ds:itemID="{92057BA8-044C-4CA9-BA1B-A8FE90330D20}">
  <ds:schemaRefs>
    <ds:schemaRef ds:uri="http://schemas.microsoft.com/office/2006/metadata/properties"/>
    <ds:schemaRef ds:uri="http://schemas.microsoft.com/office/infopath/2007/PartnerControls"/>
    <ds:schemaRef ds:uri="1c3f0a77-8646-483b-8825-c5c42cfc4399"/>
    <ds:schemaRef ds:uri="cf5e9047-9e24-4a09-8a6c-8f6e098785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說明頁_更新版</vt:lpstr>
      <vt:lpstr>FY26 Summary_1</vt:lpstr>
      <vt:lpstr>FY26 Summary_2</vt:lpstr>
      <vt:lpstr>FY26</vt:lpstr>
    </vt:vector>
  </TitlesOfParts>
  <Manager/>
  <Company>DARFON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hsu</dc:creator>
  <cp:keywords/>
  <dc:description/>
  <cp:lastModifiedBy>Betty_Wang(王紫蕙)</cp:lastModifiedBy>
  <cp:revision/>
  <cp:lastPrinted>2025-09-19T08:44:48Z</cp:lastPrinted>
  <dcterms:created xsi:type="dcterms:W3CDTF">2016-11-29T03:05:40Z</dcterms:created>
  <dcterms:modified xsi:type="dcterms:W3CDTF">2026-04-08T06:31:22Z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